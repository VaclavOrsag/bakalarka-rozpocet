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kumenty\disk-google-fbs\sekretar\ucetnictvi\"/>
    </mc:Choice>
  </mc:AlternateContent>
  <xr:revisionPtr revIDLastSave="0" documentId="13_ncr:1_{B7BEACBE-13CB-41E5-BC3B-4BD9FE8E15E7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Analýza střediska" sheetId="4" r:id="rId1"/>
    <sheet name="Analýza rozpočet" sheetId="6" r:id="rId2"/>
    <sheet name="Rozpočet" sheetId="7" r:id="rId3"/>
    <sheet name="Rozpočet-oficial" sheetId="8" r:id="rId4"/>
    <sheet name="Zdroj" sheetId="2" r:id="rId5"/>
    <sheet name="Střediska" sheetId="3" r:id="rId6"/>
    <sheet name="POHODA" sheetId="1" r:id="rId7"/>
  </sheet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8" l="1"/>
  <c r="C23" i="8"/>
  <c r="C21" i="8"/>
  <c r="C20" i="8"/>
  <c r="C13" i="8"/>
  <c r="C10" i="8"/>
  <c r="C7" i="8"/>
  <c r="C6" i="8"/>
  <c r="C4" i="8"/>
  <c r="C2" i="8" s="1"/>
  <c r="C15" i="8" s="1"/>
  <c r="D11" i="7"/>
  <c r="H1310" i="2"/>
  <c r="M1310" i="2"/>
  <c r="I5" i="7"/>
  <c r="I4" i="7"/>
  <c r="D14" i="7"/>
  <c r="D2" i="7"/>
  <c r="C19" i="8" l="1"/>
  <c r="C41" i="8" s="1"/>
  <c r="I34" i="7"/>
  <c r="C10" i="7"/>
  <c r="D5" i="7"/>
  <c r="I7" i="7"/>
  <c r="I3" i="7"/>
  <c r="I32" i="7"/>
  <c r="H34" i="7"/>
  <c r="H3" i="7"/>
  <c r="H23" i="7"/>
  <c r="C2" i="7"/>
  <c r="C8" i="7"/>
  <c r="C15" i="7"/>
  <c r="D8" i="7"/>
  <c r="D20" i="7" s="1"/>
  <c r="D7" i="7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Q876" i="2"/>
  <c r="D22" i="7" l="1"/>
  <c r="C20" i="7"/>
  <c r="M1211" i="2"/>
  <c r="H1211" i="2"/>
</calcChain>
</file>

<file path=xl/sharedStrings.xml><?xml version="1.0" encoding="utf-8"?>
<sst xmlns="http://schemas.openxmlformats.org/spreadsheetml/2006/main" count="14841" uniqueCount="2771">
  <si>
    <t>Zdroj: BV - bankovní výpis, PO - pokladna, PH - prodejna, IN - interní doklad, FP - faktura přijatá, FV - faktura vydaná, OP - ostatní pohledávka, OZ - ostatní závazek,  PZ - přijatá zálohová faktura, VZ - vydaná zálohová faktura, SKV - výdej, SKP - příjem, SKMV - výroba, SKMP - převod, IM - investiční majetek, LM - leasingový majetek</t>
  </si>
  <si>
    <t>Výsledovka po činnostech dokladově</t>
  </si>
  <si>
    <t>Strana 1</t>
  </si>
  <si>
    <t>FBS Olomouc, z. s.</t>
  </si>
  <si>
    <t>Rok: 2023</t>
  </si>
  <si>
    <t>IČ: 26548798</t>
  </si>
  <si>
    <t>Tisk vybraných záznamů</t>
  </si>
  <si>
    <t>Činnost:</t>
  </si>
  <si>
    <t>Datum</t>
  </si>
  <si>
    <t>Doklad</t>
  </si>
  <si>
    <t>D</t>
  </si>
  <si>
    <t>MD</t>
  </si>
  <si>
    <t>Firma</t>
  </si>
  <si>
    <t>Zdroj</t>
  </si>
  <si>
    <t>Text</t>
  </si>
  <si>
    <t>Náklady</t>
  </si>
  <si>
    <t>518300</t>
  </si>
  <si>
    <t>Pronájem haly</t>
  </si>
  <si>
    <t>D haly stř</t>
  </si>
  <si>
    <t>IN</t>
  </si>
  <si>
    <t>31.12.2023</t>
  </si>
  <si>
    <t>haly - rozdělení středisek</t>
  </si>
  <si>
    <t>521100</t>
  </si>
  <si>
    <t>Mzdové náklady dohody</t>
  </si>
  <si>
    <t>VL 2301</t>
  </si>
  <si>
    <t>31.01.2023</t>
  </si>
  <si>
    <t>DPP 01/23 HM+SD</t>
  </si>
  <si>
    <t>VL 2302</t>
  </si>
  <si>
    <t>28.02.2023</t>
  </si>
  <si>
    <t>DPP 02/23 HM+SD</t>
  </si>
  <si>
    <t>VL 2303</t>
  </si>
  <si>
    <t>31.03.2023</t>
  </si>
  <si>
    <t>DPP 03/23 HM+SD</t>
  </si>
  <si>
    <t>VL 2304</t>
  </si>
  <si>
    <t>30.04.2023</t>
  </si>
  <si>
    <t>DPP 04/23 HM+SD</t>
  </si>
  <si>
    <t>VL 2305</t>
  </si>
  <si>
    <t>31.05.2023</t>
  </si>
  <si>
    <t>DPP 05/23 HM+SD</t>
  </si>
  <si>
    <t>VL 2306</t>
  </si>
  <si>
    <t>30.06.2023</t>
  </si>
  <si>
    <t>DPP 06/23 HM+SD</t>
  </si>
  <si>
    <t>VL 2307</t>
  </si>
  <si>
    <t>31.07.2023</t>
  </si>
  <si>
    <t>DPP 07/23 HM+SD</t>
  </si>
  <si>
    <t>VL 2308</t>
  </si>
  <si>
    <t>31.08.2023</t>
  </si>
  <si>
    <t>DPP 08/23 HM+SD</t>
  </si>
  <si>
    <t>VL 2309</t>
  </si>
  <si>
    <t>30.09.2023</t>
  </si>
  <si>
    <t>DPP 09/23 HM+SD</t>
  </si>
  <si>
    <t>VL 2310</t>
  </si>
  <si>
    <t>31.10.2023</t>
  </si>
  <si>
    <t>DPP 10/23 HM+SD</t>
  </si>
  <si>
    <t>VL 2311</t>
  </si>
  <si>
    <t>30.11.2023</t>
  </si>
  <si>
    <t>DPP 11/23 HM+SD</t>
  </si>
  <si>
    <t>VL 2312</t>
  </si>
  <si>
    <t>DPP 12/23 HM+SD</t>
  </si>
  <si>
    <t>VL stř</t>
  </si>
  <si>
    <t>VL - rozdělení středisek</t>
  </si>
  <si>
    <t>549000</t>
  </si>
  <si>
    <t>Jiné ostatní náklady</t>
  </si>
  <si>
    <t>FIO0010282</t>
  </si>
  <si>
    <t>BV</t>
  </si>
  <si>
    <t>poplatek za pojištění</t>
  </si>
  <si>
    <t>FIO0020158</t>
  </si>
  <si>
    <t>FIO0030110</t>
  </si>
  <si>
    <t>FIO0040167</t>
  </si>
  <si>
    <t>FIO0050266</t>
  </si>
  <si>
    <t>FIO0060244</t>
  </si>
  <si>
    <t>FIO0070174</t>
  </si>
  <si>
    <t>FIO0080124</t>
  </si>
  <si>
    <t>FIO0090286</t>
  </si>
  <si>
    <t>FIO0100226</t>
  </si>
  <si>
    <t>FIO0110007</t>
  </si>
  <si>
    <t>FIO0120177</t>
  </si>
  <si>
    <t>559000</t>
  </si>
  <si>
    <t>Tvorba a použití opravných položek</t>
  </si>
  <si>
    <t>D 2312008</t>
  </si>
  <si>
    <t>Zúčtování OP</t>
  </si>
  <si>
    <t>Náklady celkem</t>
  </si>
  <si>
    <t>Výnosy</t>
  </si>
  <si>
    <t>602800</t>
  </si>
  <si>
    <t>Reklama</t>
  </si>
  <si>
    <t>VF2301009</t>
  </si>
  <si>
    <t>SNOWBALL s.r.o.</t>
  </si>
  <si>
    <t>FV</t>
  </si>
  <si>
    <t>Fakturujeme vám za reklamu na  tréninkových trikách  na základě smlouvy o reklamě ze dne 1.9.202</t>
  </si>
  <si>
    <t>684600</t>
  </si>
  <si>
    <t>Přijaté členské příspěvky</t>
  </si>
  <si>
    <t>D 2301003</t>
  </si>
  <si>
    <t>02.01.2023</t>
  </si>
  <si>
    <t>VPO - čl.příspěvky</t>
  </si>
  <si>
    <t>FIO0050260</t>
  </si>
  <si>
    <t>Banka příjem</t>
  </si>
  <si>
    <t>Výnosy celkem</t>
  </si>
  <si>
    <t>Hospodářský zisk za období</t>
  </si>
  <si>
    <t>Tisk vybraných záznamů: Datum &gt;= 01.01.2023, Datum &lt;= 31.12.2023</t>
  </si>
  <si>
    <t>Strana 2</t>
  </si>
  <si>
    <t>Strana 3</t>
  </si>
  <si>
    <t>1011</t>
  </si>
  <si>
    <t>512000</t>
  </si>
  <si>
    <t>Náklady na cestovné</t>
  </si>
  <si>
    <t>PF 2303006</t>
  </si>
  <si>
    <t>Mgr. Jan Žváček</t>
  </si>
  <si>
    <t>FP</t>
  </si>
  <si>
    <t>08.03.2023</t>
  </si>
  <si>
    <t>Doprava</t>
  </si>
  <si>
    <t>518150</t>
  </si>
  <si>
    <t>Trénování</t>
  </si>
  <si>
    <t>PF 2301012</t>
  </si>
  <si>
    <t>Lukáš Kočiřík</t>
  </si>
  <si>
    <t>Trenérské služby muži 1/2023</t>
  </si>
  <si>
    <t>PF 2302014</t>
  </si>
  <si>
    <t>Trenérské služby muži 2/2023</t>
  </si>
  <si>
    <t>PF 2303015</t>
  </si>
  <si>
    <t>Zdeněk Hányš</t>
  </si>
  <si>
    <t>30.03.2023</t>
  </si>
  <si>
    <t>Kondiční tréninky</t>
  </si>
  <si>
    <t>PF 2303013</t>
  </si>
  <si>
    <t>Trenérské služby muži 3/2023</t>
  </si>
  <si>
    <t>PF 2304016</t>
  </si>
  <si>
    <t>Trenérské služby muži 4/2023</t>
  </si>
  <si>
    <t>PF 2305021</t>
  </si>
  <si>
    <t>Trenérské služby muži 5/2023</t>
  </si>
  <si>
    <t>PF2306018</t>
  </si>
  <si>
    <t>Trenérské služby muži 6/2023</t>
  </si>
  <si>
    <t>PF2307003</t>
  </si>
  <si>
    <t>08.07.2023</t>
  </si>
  <si>
    <t>PF2307006</t>
  </si>
  <si>
    <t>Trenérské služby muži 7/2023</t>
  </si>
  <si>
    <t>PF 2308013</t>
  </si>
  <si>
    <t>Daniel Tichý</t>
  </si>
  <si>
    <t>Trénování za 08/2023</t>
  </si>
  <si>
    <t>PF 2308014</t>
  </si>
  <si>
    <t>Trenérské služby muži 8/2023</t>
  </si>
  <si>
    <t>PF 2309027</t>
  </si>
  <si>
    <t>Trenérské služby muži 9/2023</t>
  </si>
  <si>
    <t>PF 2310023</t>
  </si>
  <si>
    <t>Trenérské služby muži 10/2023</t>
  </si>
  <si>
    <t>PF 2310027</t>
  </si>
  <si>
    <t>PF 2311022</t>
  </si>
  <si>
    <t>Trenérské služby muži 11/2023</t>
  </si>
  <si>
    <t>PF 2312015</t>
  </si>
  <si>
    <t>Trenérské služby muži 12/2023</t>
  </si>
  <si>
    <t>PF 2312016</t>
  </si>
  <si>
    <t>518250</t>
  </si>
  <si>
    <t>Startovné turnaje</t>
  </si>
  <si>
    <t>PF 2308029</t>
  </si>
  <si>
    <t>Tělovýchovná jednota Tatran Střešovice, z. s.</t>
  </si>
  <si>
    <t>09.08.2023</t>
  </si>
  <si>
    <t>Startovné muži Czech open</t>
  </si>
  <si>
    <t>518450</t>
  </si>
  <si>
    <t>Ubytování</t>
  </si>
  <si>
    <t>PF 2307015</t>
  </si>
  <si>
    <t>Vysoká škola chemicko-technologická v Praze</t>
  </si>
  <si>
    <t>19.07.2023</t>
  </si>
  <si>
    <t>ubytování Czech open muži</t>
  </si>
  <si>
    <t>PF 2308003</t>
  </si>
  <si>
    <t>13.08.2023</t>
  </si>
  <si>
    <t>518460</t>
  </si>
  <si>
    <t>Přestup</t>
  </si>
  <si>
    <t>PF 2308002</t>
  </si>
  <si>
    <t>Fbc  Šternberk, z. s.</t>
  </si>
  <si>
    <t>12.08.2023</t>
  </si>
  <si>
    <t>Přestup hráčů</t>
  </si>
  <si>
    <t>PF 2308005</t>
  </si>
  <si>
    <t>FBC SLOVÁCKO</t>
  </si>
  <si>
    <t>15.08.2023</t>
  </si>
  <si>
    <t>Výchovné</t>
  </si>
  <si>
    <t>PF 2308018</t>
  </si>
  <si>
    <t>FBC OSTRAVA z.s.</t>
  </si>
  <si>
    <t>Výchovné Antoniazi</t>
  </si>
  <si>
    <t>PF 2310031</t>
  </si>
  <si>
    <t>TJ SOKOL Praha Král. Vinohrady</t>
  </si>
  <si>
    <t>03.10.2023</t>
  </si>
  <si>
    <t>Hostování Máca</t>
  </si>
  <si>
    <t>518500</t>
  </si>
  <si>
    <t>Rozhodčí</t>
  </si>
  <si>
    <t>D 2301007</t>
  </si>
  <si>
    <t>08.01.2023</t>
  </si>
  <si>
    <t>Rozhodčí Čajkaréna muži divize E</t>
  </si>
  <si>
    <t>D 2301017</t>
  </si>
  <si>
    <t>29.01.2023</t>
  </si>
  <si>
    <t>D 2303002</t>
  </si>
  <si>
    <t>04.03.2023</t>
  </si>
  <si>
    <t>D 2303003</t>
  </si>
  <si>
    <t>05.03.2023</t>
  </si>
  <si>
    <t>D 2308001</t>
  </si>
  <si>
    <t>20.08.2023</t>
  </si>
  <si>
    <t>Rozhodčí Čajkaréna muži</t>
  </si>
  <si>
    <t>D 2309002</t>
  </si>
  <si>
    <t>10.09.2023</t>
  </si>
  <si>
    <t>Rozhodčí Čajkaréna ženy, divize E</t>
  </si>
  <si>
    <t>D 2309006</t>
  </si>
  <si>
    <t>24.09.2023</t>
  </si>
  <si>
    <t>Rozhodčí Čajkaréna divize E</t>
  </si>
  <si>
    <t>D 2310005</t>
  </si>
  <si>
    <t>08.10.2023</t>
  </si>
  <si>
    <t>D 2311008</t>
  </si>
  <si>
    <t>24.11.2023</t>
  </si>
  <si>
    <t>D 2311009</t>
  </si>
  <si>
    <t>26.11.2023</t>
  </si>
  <si>
    <t>D 2312002</t>
  </si>
  <si>
    <t>09.12.2023</t>
  </si>
  <si>
    <t>518550</t>
  </si>
  <si>
    <t>Pořádání turnajů</t>
  </si>
  <si>
    <t>PV 2301003</t>
  </si>
  <si>
    <t>PO</t>
  </si>
  <si>
    <t>Pořádání</t>
  </si>
  <si>
    <t>PV 2301011</t>
  </si>
  <si>
    <t>Strana 4</t>
  </si>
  <si>
    <t>PV 2302006</t>
  </si>
  <si>
    <t>11.02.2023</t>
  </si>
  <si>
    <t>PV 2303002</t>
  </si>
  <si>
    <t>PV 2303003</t>
  </si>
  <si>
    <t>PV 2308018</t>
  </si>
  <si>
    <t>27.08.2023</t>
  </si>
  <si>
    <t>PV 2309009</t>
  </si>
  <si>
    <t>18.09.2023</t>
  </si>
  <si>
    <t>PV 2309011</t>
  </si>
  <si>
    <t>PV 2311014</t>
  </si>
  <si>
    <t>PV 2311015</t>
  </si>
  <si>
    <t>PV 2312002</t>
  </si>
  <si>
    <t>602000</t>
  </si>
  <si>
    <t>Tržby z prodeje služeb</t>
  </si>
  <si>
    <t>VF2302015</t>
  </si>
  <si>
    <t>Orel jednota Troubelice</t>
  </si>
  <si>
    <t>Fakturujeme Vám přestup Vojtěcha Nováka</t>
  </si>
  <si>
    <t>VF2302022</t>
  </si>
  <si>
    <t>FBK Orlicko Třebovsko, z.s.</t>
  </si>
  <si>
    <t>14.12.2023</t>
  </si>
  <si>
    <t>Fakturujeme Vám hostování Jana Štěpánka</t>
  </si>
  <si>
    <t>602600</t>
  </si>
  <si>
    <t>Startovné</t>
  </si>
  <si>
    <t>VF2303001</t>
  </si>
  <si>
    <t>FBC PIRATES OSTRAVA, z.s.</t>
  </si>
  <si>
    <t>Fakturujeme Vám startovné v 1. kole Poháru</t>
  </si>
  <si>
    <t>VF2303002</t>
  </si>
  <si>
    <t>Tělovýchovná jednota Spartak Bílovec z.s.</t>
  </si>
  <si>
    <t>VF2303003</t>
  </si>
  <si>
    <t>FBC Droždín, z.s.</t>
  </si>
  <si>
    <t>VF2303004</t>
  </si>
  <si>
    <t>SK Domaslavice, z.s.</t>
  </si>
  <si>
    <t>602760</t>
  </si>
  <si>
    <t>Turnaje</t>
  </si>
  <si>
    <t>D 2304011</t>
  </si>
  <si>
    <t>Zúčtování záloh Kuřim</t>
  </si>
  <si>
    <t>D 2307002</t>
  </si>
  <si>
    <t>Zúčtování záloh Czech open</t>
  </si>
  <si>
    <t>VF2302016</t>
  </si>
  <si>
    <t>Saros Olomouc, z.s.</t>
  </si>
  <si>
    <t>16.08.2023</t>
  </si>
  <si>
    <t>Fakturujeme Vám za přestup hráče Vojtěcha Waice</t>
  </si>
  <si>
    <t>FIO0090068</t>
  </si>
  <si>
    <t>13.09.2023</t>
  </si>
  <si>
    <t>Prochazka Adam - 23/24 - Muzi A</t>
  </si>
  <si>
    <t>FIO0090071</t>
  </si>
  <si>
    <t>Pecha Matej - 23/24 - Muzi A</t>
  </si>
  <si>
    <t>FIO0090163</t>
  </si>
  <si>
    <t>21.09.2023</t>
  </si>
  <si>
    <t>Kratochvil Jan - 23/24 - Muzi A</t>
  </si>
  <si>
    <t>FIO0090220</t>
  </si>
  <si>
    <t>26.09.2023</t>
  </si>
  <si>
    <t>Malicek Lukas - 23/24 - Muzi A</t>
  </si>
  <si>
    <t>FIO0090244</t>
  </si>
  <si>
    <t>27.09.2023</t>
  </si>
  <si>
    <t>Jurkulak Jakub - 23/24 - Muzi A</t>
  </si>
  <si>
    <t>FIO0100075</t>
  </si>
  <si>
    <t>09.10.2023</t>
  </si>
  <si>
    <t>Navratil Martin - 23/24 - Muzi A</t>
  </si>
  <si>
    <t>FIO0100079</t>
  </si>
  <si>
    <t>FIO0100173</t>
  </si>
  <si>
    <t>17.10.2023</t>
  </si>
  <si>
    <t>Skoupil Tomas - 23/24 - Muzi A</t>
  </si>
  <si>
    <t>FIO0100182</t>
  </si>
  <si>
    <t>18.10.2023</t>
  </si>
  <si>
    <t>Skoupil Tomas - 23/24 - Licence</t>
  </si>
  <si>
    <t>FIO0100183</t>
  </si>
  <si>
    <t>Novak Jiri - 23/24 - Licence</t>
  </si>
  <si>
    <t>FIO0100192</t>
  </si>
  <si>
    <t>20.10.2023</t>
  </si>
  <si>
    <t>Bistry Vojtech - 23/24 - Muzi A</t>
  </si>
  <si>
    <t>FIO0100193</t>
  </si>
  <si>
    <t>Czyz Martin - 23/24 - Licence</t>
  </si>
  <si>
    <t>FIO0100203</t>
  </si>
  <si>
    <t>24.10.2023</t>
  </si>
  <si>
    <t>Navratil Martin - 23/24 - Licence</t>
  </si>
  <si>
    <t>FIO0100220</t>
  </si>
  <si>
    <t>30.10.2023</t>
  </si>
  <si>
    <t>Pecha Matej - 23/24 - Licence</t>
  </si>
  <si>
    <t>FIO0110060</t>
  </si>
  <si>
    <t>09.11.2023</t>
  </si>
  <si>
    <t>Kratochvil Jan - 23/24 - Licence</t>
  </si>
  <si>
    <t>FIO0110119</t>
  </si>
  <si>
    <t>13.11.2023</t>
  </si>
  <si>
    <t>Novak Jiri - 23/24 - Muzi A</t>
  </si>
  <si>
    <t>FIO0110132</t>
  </si>
  <si>
    <t>15.11.2023</t>
  </si>
  <si>
    <t>Krhovjak Vojtech - 23/24 - Muzi A</t>
  </si>
  <si>
    <t>FIO0110134</t>
  </si>
  <si>
    <t>Malicek Lukas - 23/24 - Licence</t>
  </si>
  <si>
    <t>FIO0110136</t>
  </si>
  <si>
    <t>16.11.2023</t>
  </si>
  <si>
    <t>Husak Ondrej - 23/24 - Muzi A</t>
  </si>
  <si>
    <t>FIO0110142</t>
  </si>
  <si>
    <t>19.11.2023</t>
  </si>
  <si>
    <t>Godla Jakub - 23/24 - Muzi A</t>
  </si>
  <si>
    <t>FIO0110150</t>
  </si>
  <si>
    <t>FIO0110151</t>
  </si>
  <si>
    <t>25.11.2023</t>
  </si>
  <si>
    <t>Prochazka Adam - 23/24 - Licence</t>
  </si>
  <si>
    <t>FIO0110152</t>
  </si>
  <si>
    <t>Godla Jakub - 23/24 - Licence</t>
  </si>
  <si>
    <t>FIO0110153</t>
  </si>
  <si>
    <t>Krhovjak Vojtech - 23/24 - Licence</t>
  </si>
  <si>
    <t>FIO0110157</t>
  </si>
  <si>
    <t>27.11.2023</t>
  </si>
  <si>
    <t>Machacek Igor - 23/24 - Licence</t>
  </si>
  <si>
    <t>FIO0110158</t>
  </si>
  <si>
    <t>Machacek Igor - 23/24 - Muzi A</t>
  </si>
  <si>
    <t>FIO0110159</t>
  </si>
  <si>
    <t>Friedl Vit - 23/24 - Muzi A</t>
  </si>
  <si>
    <t>FIO0110160</t>
  </si>
  <si>
    <t>Bistry Vojtech - 23/24 - Licence</t>
  </si>
  <si>
    <t>FIO0110173</t>
  </si>
  <si>
    <t>Kopelec Bohdan - 23/24 - Muzi A</t>
  </si>
  <si>
    <t>Strana 5</t>
  </si>
  <si>
    <t>FIO0110174</t>
  </si>
  <si>
    <t>Kopelec Bohdan - 23/24 - Licence</t>
  </si>
  <si>
    <t>FIO0110005</t>
  </si>
  <si>
    <t>Stepanek Jan - 23/24 - Muzi A</t>
  </si>
  <si>
    <t>FIO0120007</t>
  </si>
  <si>
    <t>03.12.2023</t>
  </si>
  <si>
    <t>Mikulik Antonin - 23/24 - Licence</t>
  </si>
  <si>
    <t>FIO0120112</t>
  </si>
  <si>
    <t>platba licence - Jan Štěpánek</t>
  </si>
  <si>
    <t>D čl.p</t>
  </si>
  <si>
    <t>členské příspěvky - rozúčtování</t>
  </si>
  <si>
    <t>Strana 6</t>
  </si>
  <si>
    <t>1012</t>
  </si>
  <si>
    <t>D 2303015</t>
  </si>
  <si>
    <t>25.03.2023</t>
  </si>
  <si>
    <t>Rozhodčí Rooseveltova muži</t>
  </si>
  <si>
    <t>D 2311010</t>
  </si>
  <si>
    <t>FIO0090167</t>
  </si>
  <si>
    <t>Tomas pirek platba licence</t>
  </si>
  <si>
    <t>FIO0100015</t>
  </si>
  <si>
    <t>02.10.2023</t>
  </si>
  <si>
    <t>licence Doubek Muzi B</t>
  </si>
  <si>
    <t>FIO0100055</t>
  </si>
  <si>
    <t>06.10.2023</t>
  </si>
  <si>
    <t>Prispevky muzi B</t>
  </si>
  <si>
    <t>Strana 7</t>
  </si>
  <si>
    <t>1021</t>
  </si>
  <si>
    <t>PV 2302012</t>
  </si>
  <si>
    <t>21.02.2023</t>
  </si>
  <si>
    <t>Cestovné junioři</t>
  </si>
  <si>
    <t>PF 2301014</t>
  </si>
  <si>
    <t>Tomáš Hruška</t>
  </si>
  <si>
    <t>Trénování junioři 1/2023</t>
  </si>
  <si>
    <t>PF 2302018</t>
  </si>
  <si>
    <t>Trénování junioři 2/2023</t>
  </si>
  <si>
    <t>PF 2303028</t>
  </si>
  <si>
    <t>Trénování junioři 3/2023</t>
  </si>
  <si>
    <t>PF 2304017</t>
  </si>
  <si>
    <t>Trénování junioři 4/2023</t>
  </si>
  <si>
    <t>PF 2305030</t>
  </si>
  <si>
    <t>Trénování junioři 5/2023</t>
  </si>
  <si>
    <t>PF2306019</t>
  </si>
  <si>
    <t>05.06.2023</t>
  </si>
  <si>
    <t>Trénování skills, Ostrava cup</t>
  </si>
  <si>
    <t>PF2306016</t>
  </si>
  <si>
    <t>Trénování junioři 6/2023</t>
  </si>
  <si>
    <t>D 2301012</t>
  </si>
  <si>
    <t>15.01.2023</t>
  </si>
  <si>
    <t>Rozhodčí Čajkaréna junioři</t>
  </si>
  <si>
    <t>D 2301013</t>
  </si>
  <si>
    <t>20.01.2023</t>
  </si>
  <si>
    <t>D 2302001</t>
  </si>
  <si>
    <t>02.02.2023</t>
  </si>
  <si>
    <t>D 2302005</t>
  </si>
  <si>
    <t>12.02.2023</t>
  </si>
  <si>
    <t>D 2302007</t>
  </si>
  <si>
    <t>18.02.2023</t>
  </si>
  <si>
    <t>D 2302008</t>
  </si>
  <si>
    <t>19.02.2023</t>
  </si>
  <si>
    <t>D 2311005</t>
  </si>
  <si>
    <t>11.11.2023</t>
  </si>
  <si>
    <t>PV 2301004</t>
  </si>
  <si>
    <t>14.01.2023</t>
  </si>
  <si>
    <t>PV 2301006</t>
  </si>
  <si>
    <t>PV 2301007</t>
  </si>
  <si>
    <t>PV 2302001</t>
  </si>
  <si>
    <t>PV 2302007</t>
  </si>
  <si>
    <t>PV 2302009</t>
  </si>
  <si>
    <t>PV 2302011</t>
  </si>
  <si>
    <t>FIO0010031</t>
  </si>
  <si>
    <t>06.01.2023</t>
  </si>
  <si>
    <t>BLECHA JAN - 22/23 - JUNIORI 2. POLOLETI</t>
  </si>
  <si>
    <t>FIO0010038</t>
  </si>
  <si>
    <t>STRBAK TOMAS - 22/23 - JUNIORI 2. POLOLETI</t>
  </si>
  <si>
    <t>FIO0010187</t>
  </si>
  <si>
    <t>19.01.2023</t>
  </si>
  <si>
    <t>Kryštof Brzobohatý</t>
  </si>
  <si>
    <t>FIO0010251</t>
  </si>
  <si>
    <t>30.01.2023</t>
  </si>
  <si>
    <t>florbal</t>
  </si>
  <si>
    <t>FIO0020006</t>
  </si>
  <si>
    <t>01.02.2023</t>
  </si>
  <si>
    <t>Mikulik Antonin - 22/23 - Juniori 2. pololeti</t>
  </si>
  <si>
    <t>FIO0020015</t>
  </si>
  <si>
    <t>06.02.2023</t>
  </si>
  <si>
    <t>FIO0020029</t>
  </si>
  <si>
    <t>07.02.2023</t>
  </si>
  <si>
    <t>2304019 Ambrož</t>
  </si>
  <si>
    <t>FIO0030079</t>
  </si>
  <si>
    <t>15.03.2023</t>
  </si>
  <si>
    <t>Martin Horry</t>
  </si>
  <si>
    <t>FIO0040076</t>
  </si>
  <si>
    <t>11.04.2023</t>
  </si>
  <si>
    <t>FIO0050054</t>
  </si>
  <si>
    <t>06.05.2023</t>
  </si>
  <si>
    <t>FIO0050161</t>
  </si>
  <si>
    <t>14.05.2023</t>
  </si>
  <si>
    <t>Nykl Simon - 22/23 - Juniori 2. pololeti</t>
  </si>
  <si>
    <t>FIO0050162</t>
  </si>
  <si>
    <t>Nykl Simon - 22/23 - Licence</t>
  </si>
  <si>
    <t>Strana 8</t>
  </si>
  <si>
    <t>FIO0090054</t>
  </si>
  <si>
    <t>Hoferek Jakub - 23/24 - Juniori 1.pololeti</t>
  </si>
  <si>
    <t>FIO0090154</t>
  </si>
  <si>
    <t>20.09.2023</t>
  </si>
  <si>
    <t>STRBAK TOMAS - 23/24 - JUNIORI 1. POLOLETI</t>
  </si>
  <si>
    <t>FIO0090199</t>
  </si>
  <si>
    <t>Danis Martin - 23/24 - Juniori 1. pololeti</t>
  </si>
  <si>
    <t>FIO0090218</t>
  </si>
  <si>
    <t>Blecha Jan - 23/24 - Juniori 1. pololeti</t>
  </si>
  <si>
    <t>FIO0090229</t>
  </si>
  <si>
    <t>Kryštof Novák - platba - junioři</t>
  </si>
  <si>
    <t>FIO0090236</t>
  </si>
  <si>
    <t>Romanovsky Matej - 23/24 - Juniori1. pololeti</t>
  </si>
  <si>
    <t>FIO0090248</t>
  </si>
  <si>
    <t>28.09.2023</t>
  </si>
  <si>
    <t>Dosoudil Jan - 23/24 - Juniori 1. pololeti</t>
  </si>
  <si>
    <t>FIO0090279</t>
  </si>
  <si>
    <t>Jelinek Tomas - 23/24 - Juniori 1.pololeti</t>
  </si>
  <si>
    <t>FIO0100004</t>
  </si>
  <si>
    <t>Adam Novák - platba - junioři</t>
  </si>
  <si>
    <t>FIO0100093</t>
  </si>
  <si>
    <t>10.10.2023</t>
  </si>
  <si>
    <t>Brzobohaty Krystof - 23/24 - Juniori 1. pololeti</t>
  </si>
  <si>
    <t>FIO0100190</t>
  </si>
  <si>
    <t>FIO0110019</t>
  </si>
  <si>
    <t>06.11.2023</t>
  </si>
  <si>
    <t>Platba 23/24 licence - Kryštof Novák</t>
  </si>
  <si>
    <t>FIO0110067</t>
  </si>
  <si>
    <t>FIO0110140</t>
  </si>
  <si>
    <t>17.11.2023</t>
  </si>
  <si>
    <t>Antoniazi Patrik - 23/24 - Licence</t>
  </si>
  <si>
    <t>FIO0110144</t>
  </si>
  <si>
    <t>20.11.2023</t>
  </si>
  <si>
    <t>Nykl Simon - 23/24 - Juniori 1. pololeti</t>
  </si>
  <si>
    <t>FIO0110145</t>
  </si>
  <si>
    <t>Nykl Simon - 23/24 - Licence</t>
  </si>
  <si>
    <t>FIO0110001</t>
  </si>
  <si>
    <t>29.11.2023</t>
  </si>
  <si>
    <t>Strana 9</t>
  </si>
  <si>
    <t>1031</t>
  </si>
  <si>
    <t>PF 2305006</t>
  </si>
  <si>
    <t>FBC Přerov, z.s.</t>
  </si>
  <si>
    <t>10.05.2023</t>
  </si>
  <si>
    <t>Příspěvek turnaje</t>
  </si>
  <si>
    <t>PF 2305018</t>
  </si>
  <si>
    <t>30.05.2023</t>
  </si>
  <si>
    <t>Startovné Ostrava cup</t>
  </si>
  <si>
    <t>PF 2312004</t>
  </si>
  <si>
    <t>13.12.2023</t>
  </si>
  <si>
    <t>PF 2309021</t>
  </si>
  <si>
    <t>Základní škola Uničov, U Stadionu 849</t>
  </si>
  <si>
    <t>29.09.2023</t>
  </si>
  <si>
    <t>Přestup Slavík</t>
  </si>
  <si>
    <t>D 2302009</t>
  </si>
  <si>
    <t>Rozhodčí Rooseveltova dorostenci</t>
  </si>
  <si>
    <t>D 2303009</t>
  </si>
  <si>
    <t>11.03.2023</t>
  </si>
  <si>
    <t>Rozhodčí Čajkaréna dorostenci</t>
  </si>
  <si>
    <t>D 2309004</t>
  </si>
  <si>
    <t>23.09.2023</t>
  </si>
  <si>
    <t>D 2309005</t>
  </si>
  <si>
    <t>D 2311001</t>
  </si>
  <si>
    <t>04.11.2023</t>
  </si>
  <si>
    <t>D 2305007</t>
  </si>
  <si>
    <t>Zúčtování záloh Ostrava</t>
  </si>
  <si>
    <t>FIO0010032</t>
  </si>
  <si>
    <t>Sofronieski Alex</t>
  </si>
  <si>
    <t>FIO0010033</t>
  </si>
  <si>
    <t>Kutil Filip - 22/23 - Dorostenci 2. pololeti</t>
  </si>
  <si>
    <t>FIO0010042</t>
  </si>
  <si>
    <t>Vilém Bodnar 2006 - dorostenci</t>
  </si>
  <si>
    <t>FIO0010169</t>
  </si>
  <si>
    <t>17.01.2023</t>
  </si>
  <si>
    <t>Hoferek Jakub - 22/23 - Dorostenci2. pololeti</t>
  </si>
  <si>
    <t>FIO0010188</t>
  </si>
  <si>
    <t>Danis Martin - 22/23 - Dorostenci 2. pololeti</t>
  </si>
  <si>
    <t>FIO0010190</t>
  </si>
  <si>
    <t>22.01.2023</t>
  </si>
  <si>
    <t>Pavlik Martin - 22/23 - Dorostenci 2. pololeti</t>
  </si>
  <si>
    <t>FIO0010206</t>
  </si>
  <si>
    <t>24.01.2023</t>
  </si>
  <si>
    <t>DOROSTENCŮ 2 POL</t>
  </si>
  <si>
    <t>FIO0010216</t>
  </si>
  <si>
    <t>25.01.2023</t>
  </si>
  <si>
    <t>Jan Vysloužil</t>
  </si>
  <si>
    <t>FIO0010235</t>
  </si>
  <si>
    <t>Adam Novák - dorost - 2 pololetí</t>
  </si>
  <si>
    <t>FIO0010236</t>
  </si>
  <si>
    <t>Kryštof Novák - dorost - 2 pololetí</t>
  </si>
  <si>
    <t>FIO0010237</t>
  </si>
  <si>
    <t>Krejci Lukas - 22/23 - Dorostenci 2. pololeti</t>
  </si>
  <si>
    <t>FIO0010265</t>
  </si>
  <si>
    <t>Ettel Martin - 22/23 - Dorostenci 2. pololeti</t>
  </si>
  <si>
    <t>FIO0010276</t>
  </si>
  <si>
    <t>Matěj Romanovský florbal.</t>
  </si>
  <si>
    <t>FIO0010281</t>
  </si>
  <si>
    <t>FIO0020127</t>
  </si>
  <si>
    <t>20.02.2023</t>
  </si>
  <si>
    <t>Vrana Simon - 22/23 - Dorostenci 2. pololeti</t>
  </si>
  <si>
    <t>FIO0090074</t>
  </si>
  <si>
    <t>FIO0090082</t>
  </si>
  <si>
    <t>14.09.2023</t>
  </si>
  <si>
    <t>Mach Stepan - 23/24 - Dorostenci 1. pololeti</t>
  </si>
  <si>
    <t>FIO0090092</t>
  </si>
  <si>
    <t>Tosenovsky Marek - 23/24 - Dorostenci 1. pololeti</t>
  </si>
  <si>
    <t>FIO0090095</t>
  </si>
  <si>
    <t>15.09.2023</t>
  </si>
  <si>
    <t>Kutil Filip - 23/24 - Dorostenci 1. pololeti</t>
  </si>
  <si>
    <t>FIO0090102</t>
  </si>
  <si>
    <t>Slavik Jan - 23/24 - Dorostenci 1.pololeti</t>
  </si>
  <si>
    <t>FIO0090110</t>
  </si>
  <si>
    <t>17.09.2023</t>
  </si>
  <si>
    <t>Marenistiak Simon - 23/24 - Dorostenci 1. pololeti</t>
  </si>
  <si>
    <t>FIO0090130</t>
  </si>
  <si>
    <t>19.09.2023</t>
  </si>
  <si>
    <t>FIO0090161</t>
  </si>
  <si>
    <t>Tomasek Marek - 23/24 - Dorostenci1. pololeti</t>
  </si>
  <si>
    <t>FIO0090227</t>
  </si>
  <si>
    <t>Sofronieski Alex - 23/24 - Dorostenci 1. pololeti</t>
  </si>
  <si>
    <t>Strana 10</t>
  </si>
  <si>
    <t>FIO0090228</t>
  </si>
  <si>
    <t>dorostenci 1.pol.</t>
  </si>
  <si>
    <t>FIO0090259</t>
  </si>
  <si>
    <t>Krejci Lukas - 23/24 - Dorostenci 1. pololeti</t>
  </si>
  <si>
    <t>FIO0090268</t>
  </si>
  <si>
    <t>Strasil Samuel - 23/24 - Dorostenci 1. pololeti</t>
  </si>
  <si>
    <t>FIO0090277</t>
  </si>
  <si>
    <t>Příspěvky RV</t>
  </si>
  <si>
    <t>FIO0100008</t>
  </si>
  <si>
    <t>Spurny Jan - 23/24 - Dorostenci 1.pololeti</t>
  </si>
  <si>
    <t>FIO0100018</t>
  </si>
  <si>
    <t>Student Ondrej - 23/24 - Dorostenci 1. pololeti</t>
  </si>
  <si>
    <t>FIO0100072</t>
  </si>
  <si>
    <t>Becica Radim - 23/24 - Dorostenci 1. pololeti</t>
  </si>
  <si>
    <t>FIO0100147</t>
  </si>
  <si>
    <t>16.10.2023</t>
  </si>
  <si>
    <t>FBS Olomouc, Jakub Málek</t>
  </si>
  <si>
    <t>FIO0100174</t>
  </si>
  <si>
    <t>Daniel Drápal</t>
  </si>
  <si>
    <t>FIO0110027</t>
  </si>
  <si>
    <t>07.11.2023</t>
  </si>
  <si>
    <t>Vratka čl. příspěvků Tomášek 23-24</t>
  </si>
  <si>
    <t>Strana 11</t>
  </si>
  <si>
    <t>1041</t>
  </si>
  <si>
    <t>PF 2301019</t>
  </si>
  <si>
    <t>Tomáš Skoupil</t>
  </si>
  <si>
    <t>Trenérské služby 01/2023</t>
  </si>
  <si>
    <t>PF 2302016</t>
  </si>
  <si>
    <t>Trenérské služby 02/2023</t>
  </si>
  <si>
    <t>PF 2303017</t>
  </si>
  <si>
    <t>Trenérské služby 03/2023</t>
  </si>
  <si>
    <t>PF 2304015</t>
  </si>
  <si>
    <t>Trenérské služby 04/2023</t>
  </si>
  <si>
    <t>PF 2305023</t>
  </si>
  <si>
    <t>Trenérské služby 05/2023</t>
  </si>
  <si>
    <t>PF2306010</t>
  </si>
  <si>
    <t>Trenérské služby 06/2023</t>
  </si>
  <si>
    <t>PF2307008</t>
  </si>
  <si>
    <t>Trenérské služby 07/2023</t>
  </si>
  <si>
    <t>PF 2308025</t>
  </si>
  <si>
    <t>Trenérské služby 08/2023</t>
  </si>
  <si>
    <t>PF 2309023</t>
  </si>
  <si>
    <t>Trenérské služby 09/2023</t>
  </si>
  <si>
    <t>PF 2310017</t>
  </si>
  <si>
    <t>Trenérské služby 10/2023</t>
  </si>
  <si>
    <t>PF 2311020</t>
  </si>
  <si>
    <t>Trenérské služby 11/2023</t>
  </si>
  <si>
    <t>PF 2312025</t>
  </si>
  <si>
    <t>Trenérské služby 12/2023</t>
  </si>
  <si>
    <t>PF 2304010</t>
  </si>
  <si>
    <t>SC Hattrick Brno Florbalová škola, z.s.</t>
  </si>
  <si>
    <t>28.04.2023</t>
  </si>
  <si>
    <t>Startovné Open game kids</t>
  </si>
  <si>
    <t>PF 2305033</t>
  </si>
  <si>
    <t>IMOS facility, a.s.</t>
  </si>
  <si>
    <t>07.05.2023</t>
  </si>
  <si>
    <t>ubytování st.žáci</t>
  </si>
  <si>
    <t>D 2302010</t>
  </si>
  <si>
    <t>25.02.2023</t>
  </si>
  <si>
    <t>Rozhodčí Rooseveltova st.žáci</t>
  </si>
  <si>
    <t>D 2303005</t>
  </si>
  <si>
    <t>06.03.2023</t>
  </si>
  <si>
    <t>Rozhodčí Uničov st.žáci</t>
  </si>
  <si>
    <t>D 2303006</t>
  </si>
  <si>
    <t>10.03.2023</t>
  </si>
  <si>
    <t>Rozhodčí Přerov st.žáci</t>
  </si>
  <si>
    <t>D 2304005</t>
  </si>
  <si>
    <t>15.04.2023</t>
  </si>
  <si>
    <t>D 2307001</t>
  </si>
  <si>
    <t>Zúčtování záloh Open game</t>
  </si>
  <si>
    <t>D 2305001</t>
  </si>
  <si>
    <t>Zúčtování záloh MČR</t>
  </si>
  <si>
    <t>FIO0010022</t>
  </si>
  <si>
    <t>05.01.2023</t>
  </si>
  <si>
    <t>Juricek Tomas - 22/23 - Starsi zaci 2. pololeti</t>
  </si>
  <si>
    <t>FIO0010024</t>
  </si>
  <si>
    <t>Coufal Prokop - 22/23 - Starsi zaci 2. pololeti</t>
  </si>
  <si>
    <t>FIO0010046</t>
  </si>
  <si>
    <t>florbal Balner Jakub 2.pol 22/23</t>
  </si>
  <si>
    <t>FIO0010057</t>
  </si>
  <si>
    <t>09.01.2023</t>
  </si>
  <si>
    <t>Becica Radim - 22/23 - Starsi zaci2. pololeti 2303884</t>
  </si>
  <si>
    <t>FIO0010062</t>
  </si>
  <si>
    <t>22/23 - Starší žáci 2. pololetí Filip Veselý</t>
  </si>
  <si>
    <t>FIO0010066</t>
  </si>
  <si>
    <t>10.01.2023</t>
  </si>
  <si>
    <t>Sebastian Bajer - 2.pololetí</t>
  </si>
  <si>
    <t>FIO0010079</t>
  </si>
  <si>
    <t>Slavik Jan - 22/23 - Starsi zaci 2. pololeti</t>
  </si>
  <si>
    <t>FIO0010119</t>
  </si>
  <si>
    <t>12.01.2023</t>
  </si>
  <si>
    <t>Adam Beneš</t>
  </si>
  <si>
    <t>Strana 12</t>
  </si>
  <si>
    <t>FIO0010123</t>
  </si>
  <si>
    <t>Ondřej Dočkal</t>
  </si>
  <si>
    <t>FIO0010145</t>
  </si>
  <si>
    <t>16.01.2023</t>
  </si>
  <si>
    <t>22/23 starší žáci 2. pololetí 2303902</t>
  </si>
  <si>
    <t>FIO0010147</t>
  </si>
  <si>
    <t>Marek Opluštil</t>
  </si>
  <si>
    <t>FIO0010172</t>
  </si>
  <si>
    <t>18.01.2023</t>
  </si>
  <si>
    <t>Tomasek Marek - 22/23 - Starsi zaci 2. pololeti</t>
  </si>
  <si>
    <t>FIO0010181</t>
  </si>
  <si>
    <t>Jakub Málek, FBS Olomouc</t>
  </si>
  <si>
    <t>FIO0010186</t>
  </si>
  <si>
    <t>Adam Ulmann</t>
  </si>
  <si>
    <t>FIO0010210</t>
  </si>
  <si>
    <t>čl. příspěvek - FBS Ol.-VOJTA</t>
  </si>
  <si>
    <t>FIO0010217</t>
  </si>
  <si>
    <t>Tosenovsky Marek - 22/23 - Starsi zaci 2. pololeti</t>
  </si>
  <si>
    <t>FIO0010242</t>
  </si>
  <si>
    <t>Spurny Jan - 22/23 - Starsi zaci 2. pololeti</t>
  </si>
  <si>
    <t>FIO0010246</t>
  </si>
  <si>
    <t>Bak Alex - 22/23 - Starsi zaci 2. pololeti</t>
  </si>
  <si>
    <t>FIO0010248</t>
  </si>
  <si>
    <t>Horalek Ondrej - 22/23 - Starsi zaci 2. pololeti</t>
  </si>
  <si>
    <t>FIO0010263</t>
  </si>
  <si>
    <t>Grohman Andre - 22/23 - Starsi zaci 2. pololeti</t>
  </si>
  <si>
    <t>FIO0010267</t>
  </si>
  <si>
    <t>Mach Stepan - 22/23 - Starsi zaci 2. pololeti</t>
  </si>
  <si>
    <t>FIO0010275</t>
  </si>
  <si>
    <t>Krumpholz Tadeas - 22/23 - Starsi zaci 2. pololeti</t>
  </si>
  <si>
    <t>FIO0020010</t>
  </si>
  <si>
    <t>Jan Borik</t>
  </si>
  <si>
    <t>FIO0020025</t>
  </si>
  <si>
    <t>Becica Radim - 22/23 - Starsi zaci 2. pololeti 2303884</t>
  </si>
  <si>
    <t>FIO0020030</t>
  </si>
  <si>
    <t>Strasil Samuel - 22/23 - Starsi zaci 2. pololeti</t>
  </si>
  <si>
    <t>FIO0020129</t>
  </si>
  <si>
    <t>platba členského příspěvku</t>
  </si>
  <si>
    <t>FIO0040142</t>
  </si>
  <si>
    <t>27.04.2023</t>
  </si>
  <si>
    <t>Šimon Mareništiak</t>
  </si>
  <si>
    <t>FIO0090052</t>
  </si>
  <si>
    <t>Juricek Tomas - 23/24 - Starsi zaci 1. pololeti</t>
  </si>
  <si>
    <t>FIO0090056</t>
  </si>
  <si>
    <t>Krumpholz Tadeas - 23/24 - Starsi zaci 1. pololeti</t>
  </si>
  <si>
    <t>FIO0090069</t>
  </si>
  <si>
    <t>Tkadlec Martin - 23/24 - Starsi zaci 1. pololeti</t>
  </si>
  <si>
    <t>FIO0090081</t>
  </si>
  <si>
    <t>Coufal Prokop - 23/24 - Starsi zaci 1. pololeti</t>
  </si>
  <si>
    <t>FIO0090083</t>
  </si>
  <si>
    <t>FIO0090108</t>
  </si>
  <si>
    <t>Mazac Vojtech - 23/24 - Starsi zaci 1. pololeti</t>
  </si>
  <si>
    <t>FIO0090112</t>
  </si>
  <si>
    <t>23/24 - Starší žáci 1. pololetí Filip Veselý</t>
  </si>
  <si>
    <t>FIO0090116</t>
  </si>
  <si>
    <t>ZACPAL LUKAS - 23/24 - STARSI ZACI1. POLOLETI</t>
  </si>
  <si>
    <t>FIO0090118</t>
  </si>
  <si>
    <t>Jakub Balner - Florbal 2 pol 23</t>
  </si>
  <si>
    <t>FIO0090119</t>
  </si>
  <si>
    <t>TISON JAN - 23/24 - STARSI ZACI 1.POLOLETI</t>
  </si>
  <si>
    <t>FIO0090121</t>
  </si>
  <si>
    <t>FIO0090170</t>
  </si>
  <si>
    <t>22.09.2023</t>
  </si>
  <si>
    <t>FIO0090176</t>
  </si>
  <si>
    <t>Kuba Jakub - 23/24 - Starsi zaci 1. pololeti</t>
  </si>
  <si>
    <t>FIO0090186</t>
  </si>
  <si>
    <t>25.09.2023</t>
  </si>
  <si>
    <t>Tomasek Jakub - 23/24 - Starsi zaci 1. pololeti</t>
  </si>
  <si>
    <t>FIO0090231</t>
  </si>
  <si>
    <t>Karny Jakub - 23/24 - Starsi zaci 1. pololeti</t>
  </si>
  <si>
    <t>FIO0090238</t>
  </si>
  <si>
    <t>Pedriali Samuele-Strži 1.pololetí</t>
  </si>
  <si>
    <t>FIO0090241</t>
  </si>
  <si>
    <t>Kravacek Lukas - 23/24 - Starsi zaci 1. pololeti</t>
  </si>
  <si>
    <t>FIO0090247</t>
  </si>
  <si>
    <t>Štěpán Walter - starší žáci - 1.pol. 2023/24</t>
  </si>
  <si>
    <t>FIO0090256</t>
  </si>
  <si>
    <t>Kobza Tobias - 23/24 - Starsi zaci1. pololeti</t>
  </si>
  <si>
    <t>FIO0090267</t>
  </si>
  <si>
    <t>Michal Špaček</t>
  </si>
  <si>
    <t>FIO0090276</t>
  </si>
  <si>
    <t>FIO0090278</t>
  </si>
  <si>
    <t>Bak Alex - 23/24 - Starsi zaci 1. pololeti</t>
  </si>
  <si>
    <t>FIO0090280</t>
  </si>
  <si>
    <t>Marcian Petr - 23/24 - Starsi zaci 1. pololeti</t>
  </si>
  <si>
    <t>FIO0090284</t>
  </si>
  <si>
    <t>Grohman Andre - 23/24 - Starsi zaci 1. pololeti</t>
  </si>
  <si>
    <t>FIO0090287</t>
  </si>
  <si>
    <t>Horalek Ondrej - 23/24 - Starsi zaci 1. pololeti</t>
  </si>
  <si>
    <t>FIO0100002</t>
  </si>
  <si>
    <t>01.10.2023</t>
  </si>
  <si>
    <t>Vrana Simon - 23/24 - Starsi zaci 1. pololeti</t>
  </si>
  <si>
    <t>FIO0100042</t>
  </si>
  <si>
    <t>05.10.2023</t>
  </si>
  <si>
    <t>Svitak Dominik - 23/24 - Starsi zaci 1. pololeti</t>
  </si>
  <si>
    <t>FIO0100047</t>
  </si>
  <si>
    <t>FIO0100078</t>
  </si>
  <si>
    <t>hugo blazek fbs olomouc</t>
  </si>
  <si>
    <t>FIO0100141</t>
  </si>
  <si>
    <t>15.10.2023</t>
  </si>
  <si>
    <t>Urban Michal - 23/24 - Starsi zaci 1. pololeti</t>
  </si>
  <si>
    <t>FIO0110135</t>
  </si>
  <si>
    <t>Strana 13</t>
  </si>
  <si>
    <t>1051</t>
  </si>
  <si>
    <t>518100</t>
  </si>
  <si>
    <t>Ostatní služby</t>
  </si>
  <si>
    <t>D 2305008</t>
  </si>
  <si>
    <t>Ubytování Ostrava</t>
  </si>
  <si>
    <t>PF 2301018</t>
  </si>
  <si>
    <t>Trénování za 01/2023</t>
  </si>
  <si>
    <t>PF 2302020</t>
  </si>
  <si>
    <t>Trénování za 02/2023</t>
  </si>
  <si>
    <t>PF 2303030</t>
  </si>
  <si>
    <t>Trénování za 03/2023</t>
  </si>
  <si>
    <t>PF 2303031</t>
  </si>
  <si>
    <t>PF 2304019</t>
  </si>
  <si>
    <t>Trénování za 04/2023</t>
  </si>
  <si>
    <t>PF 2304025</t>
  </si>
  <si>
    <t>PF 2305019</t>
  </si>
  <si>
    <t>Trénování za 05/2023</t>
  </si>
  <si>
    <t>PF2306009</t>
  </si>
  <si>
    <t>Trénování za 06/2023</t>
  </si>
  <si>
    <t>PF 2309025</t>
  </si>
  <si>
    <t>Trénování za 09/2023</t>
  </si>
  <si>
    <t>PF 2310018</t>
  </si>
  <si>
    <t>Trénování za 10/2023</t>
  </si>
  <si>
    <t>PF 2311016</t>
  </si>
  <si>
    <t>Trénování za 11/2023</t>
  </si>
  <si>
    <t>PF 2312024</t>
  </si>
  <si>
    <t>Trénování za 12/2023</t>
  </si>
  <si>
    <t>PF 2303005</t>
  </si>
  <si>
    <t>Ostravské hry, z.s.</t>
  </si>
  <si>
    <t>07.03.2023</t>
  </si>
  <si>
    <t>PF 2305010</t>
  </si>
  <si>
    <t>Luminatec s.r.o.</t>
  </si>
  <si>
    <t>17.05.2023</t>
  </si>
  <si>
    <t>ubytování 2-4.6. Ostrava</t>
  </si>
  <si>
    <t>PF2306024</t>
  </si>
  <si>
    <t>25.06.2023</t>
  </si>
  <si>
    <t>ubytování ml.žáci</t>
  </si>
  <si>
    <t>D 2301006</t>
  </si>
  <si>
    <t>07.01.2023</t>
  </si>
  <si>
    <t>Rozhodčí Rooseveltova ml.žáci</t>
  </si>
  <si>
    <t>D 2303011</t>
  </si>
  <si>
    <t>18.03.2023</t>
  </si>
  <si>
    <t>D 2304007</t>
  </si>
  <si>
    <t>29.04.2023</t>
  </si>
  <si>
    <t>D 2304008</t>
  </si>
  <si>
    <t>D 2310002</t>
  </si>
  <si>
    <t>07.10.2023</t>
  </si>
  <si>
    <t>D 2311007</t>
  </si>
  <si>
    <t>18.11.2023</t>
  </si>
  <si>
    <t>FIO0010030</t>
  </si>
  <si>
    <t>KANA ROBERT - 22/23 - MLADSI ZACI 2. POLOLETI</t>
  </si>
  <si>
    <t>FIO0010035</t>
  </si>
  <si>
    <t>Prilesky Max - 22/23 - Mladsi zaci 2. pololeti</t>
  </si>
  <si>
    <t>FIO0010044</t>
  </si>
  <si>
    <t>Vystrcil Marek - 22/23 - Mladsi zaci 2. pololeti</t>
  </si>
  <si>
    <t>Strana 14</t>
  </si>
  <si>
    <t>FIO0010047</t>
  </si>
  <si>
    <t>Stojan Eduard - 22/23 - Mladsi zaci 2. pololeti</t>
  </si>
  <si>
    <t>FIO0010055</t>
  </si>
  <si>
    <t>platba - členství FBS</t>
  </si>
  <si>
    <t>FIO0010058</t>
  </si>
  <si>
    <t>Tadeáš Micek</t>
  </si>
  <si>
    <t>FIO0010081</t>
  </si>
  <si>
    <t>Slavik Jakub - 22/23 - Mladsi zaci2. pololeti</t>
  </si>
  <si>
    <t>FIO0010085</t>
  </si>
  <si>
    <t>11.01.2023</t>
  </si>
  <si>
    <t>FIO0010090</t>
  </si>
  <si>
    <t>Mazac Vojtech - 22/23 - Mladsi zaci 2. pololeti</t>
  </si>
  <si>
    <t>FIO0010120</t>
  </si>
  <si>
    <t>Sluka Filip - 22/23 - Mladsi zaci 2. pololeti</t>
  </si>
  <si>
    <t>FIO0010133</t>
  </si>
  <si>
    <t>13.01.2023</t>
  </si>
  <si>
    <t>Filip Jakša</t>
  </si>
  <si>
    <t>FIO0010134</t>
  </si>
  <si>
    <t>Jakub Jakša</t>
  </si>
  <si>
    <t>FIO0010140</t>
  </si>
  <si>
    <t>Kuba Jakub - 22/23 - Mladsi zaci 2. pololeti</t>
  </si>
  <si>
    <t>FIO0010143</t>
  </si>
  <si>
    <t>FILIP NEPLECH</t>
  </si>
  <si>
    <t>FIO0010146</t>
  </si>
  <si>
    <t>Erik Opluštil</t>
  </si>
  <si>
    <t>FIO0010148</t>
  </si>
  <si>
    <t>Kobza Tobiáš</t>
  </si>
  <si>
    <t>FIO0010165</t>
  </si>
  <si>
    <t>Nejezchleba Jakub - 22/23 - Mladsizaci 2. pololeti</t>
  </si>
  <si>
    <t>FIO0010166</t>
  </si>
  <si>
    <t>Svitak Dominik - 22/23 - Mladsi zaci 2. pololeti</t>
  </si>
  <si>
    <t>FIO0010184</t>
  </si>
  <si>
    <t>Tomasek Jakub - 22/23 - Mladsi zaci 2. pololeti</t>
  </si>
  <si>
    <t>FIO0010194</t>
  </si>
  <si>
    <t>23.01.2023</t>
  </si>
  <si>
    <t>Marcian Petr - 22/23 - Mladsi zaci2. pololeti</t>
  </si>
  <si>
    <t>FIO0010207</t>
  </si>
  <si>
    <t>Janu Premysl - 22/23 - Mladsi zaci2. pololeti</t>
  </si>
  <si>
    <t>FIO0010213</t>
  </si>
  <si>
    <t>Stojan Simon - 22/23 - Mladsi zaci2. pololeti</t>
  </si>
  <si>
    <t>FIO0010214</t>
  </si>
  <si>
    <t>Cech Marek - 22/23 - Mladsi zaci 2. pololeti</t>
  </si>
  <si>
    <t>FIO0010215</t>
  </si>
  <si>
    <t>Cech Viktor - 22/23 - Mladsi zaci 2. pololeti</t>
  </si>
  <si>
    <t>FIO0010220</t>
  </si>
  <si>
    <t>26.01.2023</t>
  </si>
  <si>
    <t>Kravacek Lukas - 22/23 - Mladsi zaci 2. pololeti</t>
  </si>
  <si>
    <t>FIO0010247</t>
  </si>
  <si>
    <t>Karny Jakub - 22/23 - Mladsi zaci 2. pololeti</t>
  </si>
  <si>
    <t>FIO0010258</t>
  </si>
  <si>
    <t>Hugo Blažek</t>
  </si>
  <si>
    <t>FIO0010262</t>
  </si>
  <si>
    <t>Vondra Tomáš</t>
  </si>
  <si>
    <t>FIO0010271</t>
  </si>
  <si>
    <t>Vrabel Ondřej</t>
  </si>
  <si>
    <t>FIO0020001</t>
  </si>
  <si>
    <t>ZACPAL LUKAS - 22/23 - MLADSI ZACI2. POLOLETI</t>
  </si>
  <si>
    <t>FIO0020005</t>
  </si>
  <si>
    <t>Minarik Jiri - 22/23 - Mladsi zaci2. pololeti</t>
  </si>
  <si>
    <t>FIO0020009</t>
  </si>
  <si>
    <t>FIO0020022</t>
  </si>
  <si>
    <t>Urban Michal - 22/23 - Mladsi zaci 2. pololeti</t>
  </si>
  <si>
    <t>FIO0020023</t>
  </si>
  <si>
    <t>Matyáš Pospíšil - Mladší žáci 2. pololetí</t>
  </si>
  <si>
    <t>FIO0020130</t>
  </si>
  <si>
    <t>František Janků</t>
  </si>
  <si>
    <t>FIO0030097</t>
  </si>
  <si>
    <t>23.03.2023</t>
  </si>
  <si>
    <t>Tkadlecová</t>
  </si>
  <si>
    <t>FIO0040001</t>
  </si>
  <si>
    <t>03.04.2023</t>
  </si>
  <si>
    <t>Mencik Max - 22/23 - Mladsi zaci 2. pololeti</t>
  </si>
  <si>
    <t>FIO0050075</t>
  </si>
  <si>
    <t>09.05.2023</t>
  </si>
  <si>
    <t>TISON JAN - 22/23 - MLADSI ZACI 2.POLOLETI</t>
  </si>
  <si>
    <t>FIO0090064</t>
  </si>
  <si>
    <t>PLATBA ONDREJ VYROUBAL</t>
  </si>
  <si>
    <t>FIO0090065</t>
  </si>
  <si>
    <t>Minarik Jiri - 23/24 - Mladsi zaci 1. pololeti</t>
  </si>
  <si>
    <t>FIO0090066</t>
  </si>
  <si>
    <t>Vystrcil Marek - 23/24 - Mladsi zaci 1. pololeti</t>
  </si>
  <si>
    <t>FIO0090070</t>
  </si>
  <si>
    <t>FIO0090078</t>
  </si>
  <si>
    <t>Juna Richard - 23/24 - Mladsi zaci1. pololeti</t>
  </si>
  <si>
    <t>FIO0090084</t>
  </si>
  <si>
    <t>Jan Matzner</t>
  </si>
  <si>
    <t>FIO0090094</t>
  </si>
  <si>
    <t>Robin Pokluda 2012</t>
  </si>
  <si>
    <t>FIO0090096</t>
  </si>
  <si>
    <t>Horky Vojtech - 23/24 - Mladsi zaci 1. pololeti</t>
  </si>
  <si>
    <t>FIO0090098</t>
  </si>
  <si>
    <t>Stojan Eduard - 23/24 - Mladsi zaci 1. pololeti</t>
  </si>
  <si>
    <t>FIO0090103</t>
  </si>
  <si>
    <t>Slavik Jakub - 23/24 - Mladsi zaci1. pololeti</t>
  </si>
  <si>
    <t>FIO0090104</t>
  </si>
  <si>
    <t>TISON TOMAS - 23/24 - MLADSI ZACI 1. POLOLETI</t>
  </si>
  <si>
    <t>FIO0090106</t>
  </si>
  <si>
    <t>FIO0090115</t>
  </si>
  <si>
    <t>Mencik Max - 23/24 - Mladsi zaci 1. pololeti</t>
  </si>
  <si>
    <t>FIO0090120</t>
  </si>
  <si>
    <t>FILIP NEPLECH - MLŽI 1.POL</t>
  </si>
  <si>
    <t>FIO0090129</t>
  </si>
  <si>
    <t>FIO0090133</t>
  </si>
  <si>
    <t>FIO0090134</t>
  </si>
  <si>
    <t>Filip Jaksa</t>
  </si>
  <si>
    <t>FIO0090139</t>
  </si>
  <si>
    <t>Cech Viktor - 23/24 - Mladsi zaci 1. pololeti</t>
  </si>
  <si>
    <t>FIO0090140</t>
  </si>
  <si>
    <t>Cech Marek - 23/24 - Mladsi zaci 1. pololeti</t>
  </si>
  <si>
    <t>FIO0090142</t>
  </si>
  <si>
    <t>MACHACEK TOMAS - 23/24 - MLADSI ZACI 1. POLOLETI</t>
  </si>
  <si>
    <t>FIO0090160</t>
  </si>
  <si>
    <t>FBS Olomouc - 1. pololetí 2023/2024Lukáš Vítek - mladší žáci FLORBAL</t>
  </si>
  <si>
    <t>FIO0090166</t>
  </si>
  <si>
    <t>Prilesky Max - 23/24 - Mladsi zaci 1. pololeti</t>
  </si>
  <si>
    <t>FIO0090168</t>
  </si>
  <si>
    <t>Menzel Jakub - 23/24 - Mladsi zaci 1. pololeti</t>
  </si>
  <si>
    <t>FIO0090172</t>
  </si>
  <si>
    <t>KANA ROBERT - 23/24 - MLADSI ZACI 1. POLOLETI</t>
  </si>
  <si>
    <t>FIO0090190</t>
  </si>
  <si>
    <t>Orolin Jaroslav - 23/24 - Mladsi zaci 1. pololeti</t>
  </si>
  <si>
    <t>FIO0090196</t>
  </si>
  <si>
    <t>Janu Premysl - 23/24 - Mladsi zaci 1. pololeti</t>
  </si>
  <si>
    <t>FIO0090221</t>
  </si>
  <si>
    <t>FIO0090222</t>
  </si>
  <si>
    <t>Vesecky Stepan - 23/24 - Mladsi zaci 1. pololeti</t>
  </si>
  <si>
    <t>FIO0090224</t>
  </si>
  <si>
    <t>Sluka Filip - 23/24 - Mladsi zaci 1. pololeti</t>
  </si>
  <si>
    <t>FIO0090230</t>
  </si>
  <si>
    <t>Stojan Simon - 23/24 - Mladsi zaci1. pololeti</t>
  </si>
  <si>
    <t>FIO0090235</t>
  </si>
  <si>
    <t>FIO0090237</t>
  </si>
  <si>
    <t>Albert Hruška</t>
  </si>
  <si>
    <t>FIO0090266</t>
  </si>
  <si>
    <t>Vojtěch Špaček</t>
  </si>
  <si>
    <t>FIO0090283</t>
  </si>
  <si>
    <t>FIO0100003</t>
  </si>
  <si>
    <t>Matyáš Pospíšil - 1 pololetí 2023 mladší žáci</t>
  </si>
  <si>
    <t>Strana 15</t>
  </si>
  <si>
    <t>FIO0100011</t>
  </si>
  <si>
    <t>Horak Adam - 23/24 - Mladsi zaci 1. pololeti</t>
  </si>
  <si>
    <t>FIO0100021</t>
  </si>
  <si>
    <t>04.10.2023</t>
  </si>
  <si>
    <t>Halamka Ondrej - 23/24 - Mladsi zaci 1. pololeti</t>
  </si>
  <si>
    <t>FIO0100056</t>
  </si>
  <si>
    <t>FIO0100105</t>
  </si>
  <si>
    <t>11.10.2023</t>
  </si>
  <si>
    <t>Jasik Vojtech - 23/24 - Mladsi zaci 1. pololeti</t>
  </si>
  <si>
    <t>FIO0100133</t>
  </si>
  <si>
    <t>12.10.2023</t>
  </si>
  <si>
    <t>Holik Tomas - 23/24 - Mladsi zaci 1. pololeti</t>
  </si>
  <si>
    <t>Strana 16</t>
  </si>
  <si>
    <t>1061</t>
  </si>
  <si>
    <t>501500</t>
  </si>
  <si>
    <t>Strava akce</t>
  </si>
  <si>
    <t>PV 2306002</t>
  </si>
  <si>
    <t>28.06.2023</t>
  </si>
  <si>
    <t>Strava - Ostrava cup</t>
  </si>
  <si>
    <t>PF2307002</t>
  </si>
  <si>
    <t>01.07.2023</t>
  </si>
  <si>
    <t>Startovné, ubytování, strava Open game kids</t>
  </si>
  <si>
    <t>PV 2306001</t>
  </si>
  <si>
    <t>Cestovné</t>
  </si>
  <si>
    <t>PF 2305002</t>
  </si>
  <si>
    <t>Tělocvičná jednota Sokol Brno I</t>
  </si>
  <si>
    <t>03.05.2023</t>
  </si>
  <si>
    <t>Startovné na Turnaji elévů</t>
  </si>
  <si>
    <t>PF 2305022</t>
  </si>
  <si>
    <t>TJ Spartak Hluk, z. s.</t>
  </si>
  <si>
    <t>Startovné Spartak Cup</t>
  </si>
  <si>
    <t>PF 2308031</t>
  </si>
  <si>
    <t>TOP HOTELS GROUP a.s.</t>
  </si>
  <si>
    <t>26.08.2023</t>
  </si>
  <si>
    <t>ubytování 24.-26.8. Praha</t>
  </si>
  <si>
    <t>D 2304001</t>
  </si>
  <si>
    <t>01.04.2023</t>
  </si>
  <si>
    <t>Rozhodčí Rooseveltova elévové</t>
  </si>
  <si>
    <t>D 2310007</t>
  </si>
  <si>
    <t>14.10.2023</t>
  </si>
  <si>
    <t>D 2312001</t>
  </si>
  <si>
    <t>D 2305005</t>
  </si>
  <si>
    <t>Zúčtování záloh PFC</t>
  </si>
  <si>
    <t>D 2305006</t>
  </si>
  <si>
    <t>Zúčtování záloh Sokol cup</t>
  </si>
  <si>
    <t>D 2306002</t>
  </si>
  <si>
    <t>Zúčtování záloh Spartak</t>
  </si>
  <si>
    <t>FIO0010026</t>
  </si>
  <si>
    <t>Holik Tomas - 22/23 - Elevove 2. pololeti</t>
  </si>
  <si>
    <t>FIO0010027</t>
  </si>
  <si>
    <t>Prilesky Matyas - 22/23 - Elevove 2. pololeti</t>
  </si>
  <si>
    <t>FIO0010029</t>
  </si>
  <si>
    <t>MACHACEK TOMAS - 22/23 - ELEVOVE 2. POLOLETI</t>
  </si>
  <si>
    <t>FIO0010039</t>
  </si>
  <si>
    <t>FIO0010041</t>
  </si>
  <si>
    <t>Elévové 2.pol.22/23 - Nagy Vojtěch</t>
  </si>
  <si>
    <t>FIO0010050</t>
  </si>
  <si>
    <t>Kacálek Jiří</t>
  </si>
  <si>
    <t>FIO0010051</t>
  </si>
  <si>
    <t>Robin Pokluda - Elévové 22/23 2.pol.</t>
  </si>
  <si>
    <t>FIO0010060</t>
  </si>
  <si>
    <t>Matyáš Milan, sk. Elevove</t>
  </si>
  <si>
    <t>FIO0010061</t>
  </si>
  <si>
    <t>Lostak Dominik - 22/23 - Elevove 2. pololeti</t>
  </si>
  <si>
    <t>FIO0010083</t>
  </si>
  <si>
    <t>Orolin Jaroslav - 22/23 - Elevove 2. pololeti</t>
  </si>
  <si>
    <t>FIO0010086</t>
  </si>
  <si>
    <t>FIO0010127</t>
  </si>
  <si>
    <t>Platba Tomáš Neuman 2013</t>
  </si>
  <si>
    <t>Strana 17</t>
  </si>
  <si>
    <t>FIO0010162</t>
  </si>
  <si>
    <t>Prochazka Matej - 22/23 - Elevove 2. pololeti</t>
  </si>
  <si>
    <t>FIO0010164</t>
  </si>
  <si>
    <t>Svitak Matyas - 22/23 - Elevove 2.pololeti</t>
  </si>
  <si>
    <t>FIO0010171</t>
  </si>
  <si>
    <t>FIO0010173</t>
  </si>
  <si>
    <t>FIO0010176</t>
  </si>
  <si>
    <t>Sofronieski Mario</t>
  </si>
  <si>
    <t>FIO0010189</t>
  </si>
  <si>
    <t>Jan Protiva - druhé pololetí 2023</t>
  </si>
  <si>
    <t>FIO0010208</t>
  </si>
  <si>
    <t>FBS florbal 2. pololetí L. Ondráček</t>
  </si>
  <si>
    <t>FIO0010221</t>
  </si>
  <si>
    <t>Grombir Jan - 22/23 - Elevove 2. pololeti</t>
  </si>
  <si>
    <t>FIO0010239</t>
  </si>
  <si>
    <t>FIO0010244</t>
  </si>
  <si>
    <t>FIO0010252</t>
  </si>
  <si>
    <t>FIO0010253</t>
  </si>
  <si>
    <t>Platba florbal Vesecký</t>
  </si>
  <si>
    <t>FIO0010255</t>
  </si>
  <si>
    <t>Daniel Konečný</t>
  </si>
  <si>
    <t>FIO0010264</t>
  </si>
  <si>
    <t>Grohman Gregory - 22/23 - Elevove 2. pololeti</t>
  </si>
  <si>
    <t>FIO0020027</t>
  </si>
  <si>
    <t>Halamka Ondřej</t>
  </si>
  <si>
    <t>FIO0020053</t>
  </si>
  <si>
    <t>08.02.2023</t>
  </si>
  <si>
    <t>Vojtech Vičar</t>
  </si>
  <si>
    <t>FIO0020072</t>
  </si>
  <si>
    <t>Becica Richard - 22/23 - Elevove 2. pololeti</t>
  </si>
  <si>
    <t>FIO0020082</t>
  </si>
  <si>
    <t>15.02.2023</t>
  </si>
  <si>
    <t>Vratka příspěvku Matyáš Milan</t>
  </si>
  <si>
    <t>FIO0040023</t>
  </si>
  <si>
    <t>05.04.2023</t>
  </si>
  <si>
    <t>Glier Jiri - 22/23 - Elevove 2. pololeti</t>
  </si>
  <si>
    <t>FIO0050008</t>
  </si>
  <si>
    <t>02.05.2023</t>
  </si>
  <si>
    <t>Martin Gemmel</t>
  </si>
  <si>
    <t>FIO0050076</t>
  </si>
  <si>
    <t>TISON TOMAS - 22/23 - ELEVOVE 2. POLOLETI</t>
  </si>
  <si>
    <t>FIO0050085</t>
  </si>
  <si>
    <t>Šimon Boxan, členské příspěvky</t>
  </si>
  <si>
    <t>FIO0090053</t>
  </si>
  <si>
    <t>Rajhel Tomas - 23/24 - Elevove 1. pololeti</t>
  </si>
  <si>
    <t>FIO0090058</t>
  </si>
  <si>
    <t>Valenta Jiri - 23/24 - Elevove 1. pololeti</t>
  </si>
  <si>
    <t>FIO0090077</t>
  </si>
  <si>
    <t>Glier Jiri - 23/24 - Elevove 1. pololeti</t>
  </si>
  <si>
    <t>FIO0090085</t>
  </si>
  <si>
    <t>Fuchs Tobias - 23/24 - Elevove 1. pololeti</t>
  </si>
  <si>
    <t>FIO0090086</t>
  </si>
  <si>
    <t>Prycl Pavel - 23/24 - Elevove 1. pololeti</t>
  </si>
  <si>
    <t>FIO0090088</t>
  </si>
  <si>
    <t>Lostak Dominik - 23/24 - Elevove 1. pololeti</t>
  </si>
  <si>
    <t>FIO0090089</t>
  </si>
  <si>
    <t>FIO0090099</t>
  </si>
  <si>
    <t>Matěj Šíma</t>
  </si>
  <si>
    <t>FIO0090100</t>
  </si>
  <si>
    <t>Pospisil Adam - 23/24 - Elevove 1. pololeti</t>
  </si>
  <si>
    <t>FIO0090105</t>
  </si>
  <si>
    <t>FIO0090107</t>
  </si>
  <si>
    <t>Grombir Jan - 23/24 - Elevove 1. pololeti</t>
  </si>
  <si>
    <t>FIO0090111</t>
  </si>
  <si>
    <t>Skoda Robert - 2324 - Elevove 1. pololeti</t>
  </si>
  <si>
    <t>FIO0090114</t>
  </si>
  <si>
    <t>Krystynik Simon - 23/24 - Elevove 1. pololeti</t>
  </si>
  <si>
    <t>FIO0090122</t>
  </si>
  <si>
    <t>Dvorak Erik - 23/24 - Elevove 1. pololeti</t>
  </si>
  <si>
    <t>FIO0090152</t>
  </si>
  <si>
    <t>Tesseny Frantisek - 23/24 - Elevove 1. pololeti</t>
  </si>
  <si>
    <t>FIO0090153</t>
  </si>
  <si>
    <t>platba Tomáš Neuman</t>
  </si>
  <si>
    <t>FIO0090162</t>
  </si>
  <si>
    <t>Vochta Benedikt - 23/24 - Elevove 1. pololeti</t>
  </si>
  <si>
    <t>FIO0090165</t>
  </si>
  <si>
    <t>Prilesky Matyas - 23/24 - Elevove 1. pololeti</t>
  </si>
  <si>
    <t>FIO0090194</t>
  </si>
  <si>
    <t>Masaryk Jan - 23/24 - Elevove 1. pololeti</t>
  </si>
  <si>
    <t>FIO0090197</t>
  </si>
  <si>
    <t>Florian Matej - 23/24 - Elevove 1. pololeti</t>
  </si>
  <si>
    <t>FIO0090201</t>
  </si>
  <si>
    <t>Zadorožný Ondřej - 23/24 - Elevove</t>
  </si>
  <si>
    <t>FIO0090226</t>
  </si>
  <si>
    <t>Sofronieski Mario - 23/24 - Elevove 1. pololeti</t>
  </si>
  <si>
    <t>FIO0090272</t>
  </si>
  <si>
    <t>Kacalek Jiri - 23/24 - Elevove 1. pololeti</t>
  </si>
  <si>
    <t>FIO0090285</t>
  </si>
  <si>
    <t>Grohman Gregory - 23/24 - Elevove 1. pololeti</t>
  </si>
  <si>
    <t>FIO0100023</t>
  </si>
  <si>
    <t>Svitak Matyas - 23/24 - Elevove 1. pololeti</t>
  </si>
  <si>
    <t>FIO0100058</t>
  </si>
  <si>
    <t>FIO0100073</t>
  </si>
  <si>
    <t>Becica Richard - 23/24 - Elevove 1. pololeti</t>
  </si>
  <si>
    <t>FIO0110020</t>
  </si>
  <si>
    <t>Vitamvas Karel - 23/24 - Elevove 1. pololeti</t>
  </si>
  <si>
    <t>Strana 18</t>
  </si>
  <si>
    <t>1071</t>
  </si>
  <si>
    <t>PF 2304027</t>
  </si>
  <si>
    <t>ProEvent Makers, z.s.</t>
  </si>
  <si>
    <t>10.04.2023</t>
  </si>
  <si>
    <t>Startovné na PFC spring</t>
  </si>
  <si>
    <t>D 2303004</t>
  </si>
  <si>
    <t>Rozhodčí Rooseveltova přípravka</t>
  </si>
  <si>
    <t>D 2312003</t>
  </si>
  <si>
    <t>16.12.2023</t>
  </si>
  <si>
    <t>FIO0010025</t>
  </si>
  <si>
    <t>Skoda Robert - 2223 - Pripravka 2. pololeti</t>
  </si>
  <si>
    <t>FIO0010028</t>
  </si>
  <si>
    <t>MACHACEK DAVID - 22/23 - PRIPRAVKA2. POLOLETI</t>
  </si>
  <si>
    <t>FIO0010043</t>
  </si>
  <si>
    <t>Kubicek Daniel - 22/23 - Pripravka2. pololeti</t>
  </si>
  <si>
    <t>FIO0010064</t>
  </si>
  <si>
    <t>FIO0010068</t>
  </si>
  <si>
    <t>Pospisil Adam - 22/23 - Pripravka 2. pololeti</t>
  </si>
  <si>
    <t>FIO0010082</t>
  </si>
  <si>
    <t>Jesina - florbal</t>
  </si>
  <si>
    <t>FIO0010088</t>
  </si>
  <si>
    <t>JIŘÍ VALENTA</t>
  </si>
  <si>
    <t>FIO0010122</t>
  </si>
  <si>
    <t>Masaryk Jan - 22/23 - Pripravka 2. pololeti</t>
  </si>
  <si>
    <t>FIO0010141</t>
  </si>
  <si>
    <t>Ota Hradil</t>
  </si>
  <si>
    <t>FIO0010178</t>
  </si>
  <si>
    <t>Hušák Viktor - 22/23 - Pripravka 2. pololeti</t>
  </si>
  <si>
    <t>FIO0010180</t>
  </si>
  <si>
    <t>Rajhel Tomas - 22/23 - Pripravka 2. pololeti</t>
  </si>
  <si>
    <t>FIO0010192</t>
  </si>
  <si>
    <t>Nejezchleba David - 22/23 - Pripravka 2. pololeti</t>
  </si>
  <si>
    <t>FIO0010193</t>
  </si>
  <si>
    <t>Krystynik Simon - 22/23 - Pripravka 2. pololeti</t>
  </si>
  <si>
    <t>FIO0010195</t>
  </si>
  <si>
    <t>Matěj Šíma - přípravka-platba II.pololetí</t>
  </si>
  <si>
    <t>FIO0010204</t>
  </si>
  <si>
    <t>Ondřej Zadorožný - přípravka 22-23,2.pololetí</t>
  </si>
  <si>
    <t>FIO0010254</t>
  </si>
  <si>
    <t>Dobry Tobias - 22/23 - Pripravka 2. pololeti</t>
  </si>
  <si>
    <t>FIO0010259</t>
  </si>
  <si>
    <t>alois blažek</t>
  </si>
  <si>
    <t>FIO0010260</t>
  </si>
  <si>
    <t>Alois Blažek Florbal</t>
  </si>
  <si>
    <t>FIO0010261</t>
  </si>
  <si>
    <t>Kilián Blažek florbal</t>
  </si>
  <si>
    <t>FIO0010266</t>
  </si>
  <si>
    <t>Mikulka Robin - 22/23 - Pripravka 2. pololeti</t>
  </si>
  <si>
    <t>FIO0010273</t>
  </si>
  <si>
    <t>Akai Samuel - 22/23 - Pripravka 2.pololeti</t>
  </si>
  <si>
    <t>FIO0010279</t>
  </si>
  <si>
    <t>florbal Matouš</t>
  </si>
  <si>
    <t>FIO0020008</t>
  </si>
  <si>
    <t>Vratka čl. př. 2023 2. pol. Alois Blažek</t>
  </si>
  <si>
    <t>FIO0020012</t>
  </si>
  <si>
    <t>Stehlik Karel - 22/23 - Pripravka 2. pololeti</t>
  </si>
  <si>
    <t>FIO0030019</t>
  </si>
  <si>
    <t>Bobek Alex - 22/23 - Pripravka 2. pololeti</t>
  </si>
  <si>
    <t>FIO0050223</t>
  </si>
  <si>
    <t>25.05.2023</t>
  </si>
  <si>
    <t>FIO0090141</t>
  </si>
  <si>
    <t>MACHACEK DAVID - 23/24 - PRIPRAVKA1. POLOLETI</t>
  </si>
  <si>
    <t>FIO0090182</t>
  </si>
  <si>
    <t>FIO0090223</t>
  </si>
  <si>
    <t>janek jesina florbal</t>
  </si>
  <si>
    <t>FIO0090239</t>
  </si>
  <si>
    <t>Akai Samuel - 23/24 - Pripravka 1.pololeti</t>
  </si>
  <si>
    <t>FIO0090281</t>
  </si>
  <si>
    <t>Tesarik Matous - 23/24 - Pripravka 1. pololeti</t>
  </si>
  <si>
    <t>FIO0090282</t>
  </si>
  <si>
    <t>Tesarik Stepan - 23/24 - Pripravka 1. pololeti</t>
  </si>
  <si>
    <t>FIO0100020</t>
  </si>
  <si>
    <t>Kominek Jakub - 23/24 - Pripravka 1. pololeti</t>
  </si>
  <si>
    <t>Strana 19</t>
  </si>
  <si>
    <t>FIO0100059</t>
  </si>
  <si>
    <t>Prochazka Viktor - 23/24 - KrouzekSpojencu</t>
  </si>
  <si>
    <t>FIO0100060</t>
  </si>
  <si>
    <t>Gerlich Alex - 23/24 - Pripravka 1. pololeti</t>
  </si>
  <si>
    <t>VF2302017</t>
  </si>
  <si>
    <t>Ministerstvo obrany</t>
  </si>
  <si>
    <t xml:space="preserve">Fakturujeme Vám pernamentku služeb klubu FBS Olomouc, pro syna Jana Brunclíka (2016) </t>
  </si>
  <si>
    <t>FIO0100091</t>
  </si>
  <si>
    <t>Mikulka Robin - 23/24 - Pripravka 1. pololeti</t>
  </si>
  <si>
    <t>FIO0100135</t>
  </si>
  <si>
    <t>13.10.2023</t>
  </si>
  <si>
    <t>Pumprla Lukas - 23/24 - Pripravka 1. pololeti</t>
  </si>
  <si>
    <t>FIO0100175</t>
  </si>
  <si>
    <t>Stehlik Karel - 23/24 - Pripravka 1. pololeti</t>
  </si>
  <si>
    <t>FIO0100184</t>
  </si>
  <si>
    <t>Kubicek Krystof - 23/24 - Pripravka 1. pololeti</t>
  </si>
  <si>
    <t>FIO0100207</t>
  </si>
  <si>
    <t>26.10.2023</t>
  </si>
  <si>
    <t>FIO0100221</t>
  </si>
  <si>
    <t>Prochazka Viktor - 23/24 - Pripravka 1. pololeti</t>
  </si>
  <si>
    <t>FIO0120107</t>
  </si>
  <si>
    <t>12.12.2023</t>
  </si>
  <si>
    <t>Raiskub Matyas - 23/24 - Pripravka 1. pololeti</t>
  </si>
  <si>
    <t>Strana 20</t>
  </si>
  <si>
    <t>2011</t>
  </si>
  <si>
    <t>D 2303016</t>
  </si>
  <si>
    <t>Strava teambuilding</t>
  </si>
  <si>
    <t>PV 2301008</t>
  </si>
  <si>
    <t>Cestovné extraliga žen</t>
  </si>
  <si>
    <t>PV 2302013</t>
  </si>
  <si>
    <t>Cestovné Extraliga žen</t>
  </si>
  <si>
    <t>PV 2302014</t>
  </si>
  <si>
    <t>PV 2302015</t>
  </si>
  <si>
    <t>Cestovné Zmrzlá 01/23</t>
  </si>
  <si>
    <t>PV 2302016</t>
  </si>
  <si>
    <t>Cestovné Dlouhá 01/23</t>
  </si>
  <si>
    <t>PV 2302017</t>
  </si>
  <si>
    <t>Cestovné Šablaturová 01/23</t>
  </si>
  <si>
    <t>PV 2302018</t>
  </si>
  <si>
    <t>Cestovné Maděrová 01/23</t>
  </si>
  <si>
    <t>PV 2302019</t>
  </si>
  <si>
    <t>PV 2303011</t>
  </si>
  <si>
    <t>27.03.2023</t>
  </si>
  <si>
    <t>PV 2303012</t>
  </si>
  <si>
    <t>Cestovné Zmrzlá 02/23</t>
  </si>
  <si>
    <t>PV 2303013</t>
  </si>
  <si>
    <t>Cestovné Dlouhá 02/23</t>
  </si>
  <si>
    <t>PV 2303014</t>
  </si>
  <si>
    <t>Cestovné Šablaturová 02/23</t>
  </si>
  <si>
    <t>PV 2303015</t>
  </si>
  <si>
    <t>Cestovné Soušková 02/23</t>
  </si>
  <si>
    <t>PV 2303016</t>
  </si>
  <si>
    <t>Cestovné Suchánková 02/23</t>
  </si>
  <si>
    <t>PV 2304006</t>
  </si>
  <si>
    <t>06.04.2023</t>
  </si>
  <si>
    <t>Cestovné Zmrzlá 03/23</t>
  </si>
  <si>
    <t>PV 2304007</t>
  </si>
  <si>
    <t>Cestovné Dlouhá 03/23</t>
  </si>
  <si>
    <t>PV 2308009</t>
  </si>
  <si>
    <t>PV 2309003</t>
  </si>
  <si>
    <t>Cestovné Zmrzlá 8/23</t>
  </si>
  <si>
    <t>PV 2309004</t>
  </si>
  <si>
    <t>Cestovné Dlouhá 8/23</t>
  </si>
  <si>
    <t>PV 2309005</t>
  </si>
  <si>
    <t>Cestovné Kuchařová 8/23</t>
  </si>
  <si>
    <t>PV 2309007</t>
  </si>
  <si>
    <t>PV 2309008</t>
  </si>
  <si>
    <t>PV 2310005</t>
  </si>
  <si>
    <t>23.10.2023</t>
  </si>
  <si>
    <t>PV 2310006</t>
  </si>
  <si>
    <t>Cestovné Dlouhá 9/23</t>
  </si>
  <si>
    <t>PV 2310007</t>
  </si>
  <si>
    <t>Cestovné Baumgartner 9/23</t>
  </si>
  <si>
    <t>PV 2310008</t>
  </si>
  <si>
    <t>Cestovné Kuchařová 9/23</t>
  </si>
  <si>
    <t>PV 2311011</t>
  </si>
  <si>
    <t>Cestovné Soušková 10/23</t>
  </si>
  <si>
    <t>PV 2311012</t>
  </si>
  <si>
    <t>Cestovné Dlouhá 10/23</t>
  </si>
  <si>
    <t>PV 2311013</t>
  </si>
  <si>
    <t>Cestovné Kuchařová 10/23</t>
  </si>
  <si>
    <t>PV 2311016</t>
  </si>
  <si>
    <t>PV 2311020</t>
  </si>
  <si>
    <t>PV 2311021</t>
  </si>
  <si>
    <t>Cestovné Suchánková 5/23</t>
  </si>
  <si>
    <t>PV 2311022</t>
  </si>
  <si>
    <t>Cestovné Zmrzlá 6,7/23</t>
  </si>
  <si>
    <t>PV 2311023</t>
  </si>
  <si>
    <t>Cestovné Dlouhá 7/23</t>
  </si>
  <si>
    <t>PV 2312004</t>
  </si>
  <si>
    <t>Cestovné Soušková 11/23</t>
  </si>
  <si>
    <t>PV 2312005</t>
  </si>
  <si>
    <t>Cestovné Kuchařová 11/23</t>
  </si>
  <si>
    <t>PF 2312007</t>
  </si>
  <si>
    <t>20.12.2023</t>
  </si>
  <si>
    <t>PV 2312008</t>
  </si>
  <si>
    <t>21.12.2023</t>
  </si>
  <si>
    <t>PV 2312010</t>
  </si>
  <si>
    <t>29.12.2023</t>
  </si>
  <si>
    <t>Cestovné Soušková 12/23</t>
  </si>
  <si>
    <t>PV 2312011</t>
  </si>
  <si>
    <t>Cestovné Kuchařová 12/23</t>
  </si>
  <si>
    <t>PV 2312012</t>
  </si>
  <si>
    <t>Cestovné Dlouhá 12/23</t>
  </si>
  <si>
    <t>PV 2312006</t>
  </si>
  <si>
    <t>PF 2308028</t>
  </si>
  <si>
    <t>Startovné ženy Czech open</t>
  </si>
  <si>
    <t>PF 2308008</t>
  </si>
  <si>
    <t>Florbal Židenice, z.s.</t>
  </si>
  <si>
    <t>18.08.2023</t>
  </si>
  <si>
    <t>Startovné 1.kolo poháru žen</t>
  </si>
  <si>
    <t>PV 2303008</t>
  </si>
  <si>
    <t>14.03.2023</t>
  </si>
  <si>
    <t>Pronájem školící místnosti</t>
  </si>
  <si>
    <t>Strana 21</t>
  </si>
  <si>
    <t>PF 2303032</t>
  </si>
  <si>
    <t>Vysoká škola báňská - Technická univerzita Ostrava</t>
  </si>
  <si>
    <t>ubytování teambuilding</t>
  </si>
  <si>
    <t>PF 2305009</t>
  </si>
  <si>
    <t>16.05.2023</t>
  </si>
  <si>
    <t>ubytování</t>
  </si>
  <si>
    <t>PF 2308006</t>
  </si>
  <si>
    <t>FLORBAL CHODOV z.s.</t>
  </si>
  <si>
    <t>17.08.2023</t>
  </si>
  <si>
    <t>D 2301005</t>
  </si>
  <si>
    <t>03.01.2023</t>
  </si>
  <si>
    <t>Rozhodčí Čajkaréna ženy A</t>
  </si>
  <si>
    <t>D 2301016</t>
  </si>
  <si>
    <t>28.01.2023</t>
  </si>
  <si>
    <t xml:space="preserve">Rozhodčí Čajkaréna ženy </t>
  </si>
  <si>
    <t>D 2302006</t>
  </si>
  <si>
    <t>D 2303007</t>
  </si>
  <si>
    <t xml:space="preserve">Rozhodčí Olomouc ženy </t>
  </si>
  <si>
    <t>D 2303010</t>
  </si>
  <si>
    <t>12.03.2023</t>
  </si>
  <si>
    <t>D 2309003</t>
  </si>
  <si>
    <t>16.09.2023</t>
  </si>
  <si>
    <t>Rozhodčí Čajkaréna ženy</t>
  </si>
  <si>
    <t>D 2309008</t>
  </si>
  <si>
    <t>D 2310004</t>
  </si>
  <si>
    <t>D 2310010</t>
  </si>
  <si>
    <t>29.10.2023</t>
  </si>
  <si>
    <t>D 2311004</t>
  </si>
  <si>
    <t>D 2311011</t>
  </si>
  <si>
    <t>PV 2301001</t>
  </si>
  <si>
    <t>PV 2301009</t>
  </si>
  <si>
    <t>PV 2301010</t>
  </si>
  <si>
    <t>PV 2303005</t>
  </si>
  <si>
    <t>PV 2303006</t>
  </si>
  <si>
    <t>PV 2309002</t>
  </si>
  <si>
    <t>PV 2309006</t>
  </si>
  <si>
    <t>PV 2309015</t>
  </si>
  <si>
    <t>PV 2310001</t>
  </si>
  <si>
    <t>PV 2310002</t>
  </si>
  <si>
    <t>PV 2310013</t>
  </si>
  <si>
    <t>PV 2311007</t>
  </si>
  <si>
    <t>PV 2311008</t>
  </si>
  <si>
    <t>12.11.2023</t>
  </si>
  <si>
    <t>VF2302014</t>
  </si>
  <si>
    <t>Bulldogs Brno</t>
  </si>
  <si>
    <t>07.08.2023</t>
  </si>
  <si>
    <t>Fakturujeme Vám hostování Martina Frankové</t>
  </si>
  <si>
    <t>VF2302019</t>
  </si>
  <si>
    <t>Fakturujeme Vám hostování Martiny Frankové</t>
  </si>
  <si>
    <t>VF2301006</t>
  </si>
  <si>
    <t>IP Systém a.s.</t>
  </si>
  <si>
    <t>Fakturujeme Vám částku 200.000,- Kč dle smlouvy o reklamě ze dne 31.8.2023</t>
  </si>
  <si>
    <t>VF2301008</t>
  </si>
  <si>
    <t>Ing. Radislav Řehák</t>
  </si>
  <si>
    <t xml:space="preserve">Fakturujeme Vám částku 100.000,- Kč na základě smlouvy o reklamě ze dne 5. 9. 2023_x000D_
</t>
  </si>
  <si>
    <t>Strana 22</t>
  </si>
  <si>
    <t>Strana 23</t>
  </si>
  <si>
    <t>2012</t>
  </si>
  <si>
    <t>D 2301014</t>
  </si>
  <si>
    <t>Rozhodčí Rooseveltova ženy B</t>
  </si>
  <si>
    <t>D 2304002</t>
  </si>
  <si>
    <t>02.04.2023</t>
  </si>
  <si>
    <t>Rozhodčí Rooseveltova 2.liga žen</t>
  </si>
  <si>
    <t>FIO0090126</t>
  </si>
  <si>
    <t>Licence ženy B</t>
  </si>
  <si>
    <t>FIO0110069</t>
  </si>
  <si>
    <t>Příspěvky ženy B</t>
  </si>
  <si>
    <t>Strana 24</t>
  </si>
  <si>
    <t>2021</t>
  </si>
  <si>
    <t>PV 2304002</t>
  </si>
  <si>
    <t>04.04.2023</t>
  </si>
  <si>
    <t>Cestovné juniorky</t>
  </si>
  <si>
    <t>PV 2304003</t>
  </si>
  <si>
    <t>PV 2305002</t>
  </si>
  <si>
    <t>PV 2305003</t>
  </si>
  <si>
    <t>PV 2311006</t>
  </si>
  <si>
    <t>PV 2311017</t>
  </si>
  <si>
    <t>PV 2311018</t>
  </si>
  <si>
    <t>PV 2312003</t>
  </si>
  <si>
    <t>513000</t>
  </si>
  <si>
    <t>Náklady na reprezentaci</t>
  </si>
  <si>
    <t>PV 2304001</t>
  </si>
  <si>
    <t>Občerstvení</t>
  </si>
  <si>
    <t>PF 2310012</t>
  </si>
  <si>
    <t>Ondřej Čoček</t>
  </si>
  <si>
    <t>Trénování juniorky 10/2023</t>
  </si>
  <si>
    <t>PF 2311013</t>
  </si>
  <si>
    <t>Trénování juniorky 11/2023</t>
  </si>
  <si>
    <t>PF 2312018</t>
  </si>
  <si>
    <t>Trénování juniorky 12/2023</t>
  </si>
  <si>
    <t>PF 2303003</t>
  </si>
  <si>
    <t>Tělocvičná jednota Sokol Olšany u Prostějova</t>
  </si>
  <si>
    <t>Pronájem sportovní haly juniorky</t>
  </si>
  <si>
    <t>PF 2303019</t>
  </si>
  <si>
    <t>TJ Lokomotiva Olomouc z.s.</t>
  </si>
  <si>
    <t>Pronájem atletické dráhy a haly</t>
  </si>
  <si>
    <t>15.12.2023</t>
  </si>
  <si>
    <t>PF 2309032</t>
  </si>
  <si>
    <t xml:space="preserve">ubytování </t>
  </si>
  <si>
    <t>PF 2310011</t>
  </si>
  <si>
    <t>PF 2311001</t>
  </si>
  <si>
    <t>1.SC Vítkovice z.s.</t>
  </si>
  <si>
    <t>01.11.2023</t>
  </si>
  <si>
    <t>Výchovné Poláchová</t>
  </si>
  <si>
    <t>D 2301010</t>
  </si>
  <si>
    <t>Rozhodčí Čajkaréna juniorky</t>
  </si>
  <si>
    <t>D 2301011</t>
  </si>
  <si>
    <t>D 2301015</t>
  </si>
  <si>
    <t>D 2302003</t>
  </si>
  <si>
    <t>09.02.2023</t>
  </si>
  <si>
    <t>D 2302004</t>
  </si>
  <si>
    <t>D 2303001</t>
  </si>
  <si>
    <t>Rozhodčí Olšany juniorky</t>
  </si>
  <si>
    <t>D 2303008</t>
  </si>
  <si>
    <t>D 2303012</t>
  </si>
  <si>
    <t>19.03.2023</t>
  </si>
  <si>
    <t>D 2303014</t>
  </si>
  <si>
    <t>D 2304003</t>
  </si>
  <si>
    <t>D 2309001</t>
  </si>
  <si>
    <t>09.09.2023</t>
  </si>
  <si>
    <t>D 2309009</t>
  </si>
  <si>
    <t>D 2310006</t>
  </si>
  <si>
    <t>D 2310009</t>
  </si>
  <si>
    <t>D 2311002</t>
  </si>
  <si>
    <t>D 2311003</t>
  </si>
  <si>
    <t>05.11.2023</t>
  </si>
  <si>
    <t>D 2312005</t>
  </si>
  <si>
    <t>PV 2301005</t>
  </si>
  <si>
    <t>PV 2302005</t>
  </si>
  <si>
    <t>PV 2302010</t>
  </si>
  <si>
    <t>Strana 25</t>
  </si>
  <si>
    <t>PV 2303001</t>
  </si>
  <si>
    <t>PV 2303004</t>
  </si>
  <si>
    <t>PV 2303009</t>
  </si>
  <si>
    <t>PV 2303010</t>
  </si>
  <si>
    <t>PV 2304005</t>
  </si>
  <si>
    <t>PV 2309001</t>
  </si>
  <si>
    <t>PV 2309016</t>
  </si>
  <si>
    <t>PV 2310010</t>
  </si>
  <si>
    <t>PV 2310011</t>
  </si>
  <si>
    <t>PV 2311004</t>
  </si>
  <si>
    <t>PV 2311005</t>
  </si>
  <si>
    <t>PV 2312009</t>
  </si>
  <si>
    <t>FIO0010054</t>
  </si>
  <si>
    <t>Nejedla Veronika - 22/23 - Juniorky 2. pololeti</t>
  </si>
  <si>
    <t>FIO0010063</t>
  </si>
  <si>
    <t>tereza hlaviznová JUN</t>
  </si>
  <si>
    <t>FIO0010084</t>
  </si>
  <si>
    <t>Vaculova Gabriela - 22/23 - Juniorky 2. pololeti</t>
  </si>
  <si>
    <t>FIO0010124</t>
  </si>
  <si>
    <t>FIO0010144</t>
  </si>
  <si>
    <t>Horcickova Klara - 22/23 - Juniorky 2. pololeti</t>
  </si>
  <si>
    <t>FIO0010167</t>
  </si>
  <si>
    <t>FIO0010209</t>
  </si>
  <si>
    <t>Michaela Zmrzlá - platba ČP - 2. část</t>
  </si>
  <si>
    <t>FIO0010212</t>
  </si>
  <si>
    <t>Hodulikova Klara - 22/23 - Juniorky 2. pololeti</t>
  </si>
  <si>
    <t>FIO0010238</t>
  </si>
  <si>
    <t>FIO0090080</t>
  </si>
  <si>
    <t>FIO0090109</t>
  </si>
  <si>
    <t>Hodulikova Klara - 23/24 - Juniorky 1. pololeti</t>
  </si>
  <si>
    <t>FIO0090136</t>
  </si>
  <si>
    <t>Vaculova Gabriela - 23/24 - Juniorky 1. pololeti</t>
  </si>
  <si>
    <t>FIO0090155</t>
  </si>
  <si>
    <t>MAJEROVA LUCIE - 23/24 - JUNIORKY 1. POLOLETI</t>
  </si>
  <si>
    <t>FIO0090198</t>
  </si>
  <si>
    <t>Cechova Kristyna - 23/24 - Juniorky 1. pololeti</t>
  </si>
  <si>
    <t>FIO0090249</t>
  </si>
  <si>
    <t>FIO0090261</t>
  </si>
  <si>
    <t>Mrázková Veronika - FBS</t>
  </si>
  <si>
    <t>FIO0090270</t>
  </si>
  <si>
    <t>Keclikova Kristyna - 23/24 - Juniorky 1. pololeti</t>
  </si>
  <si>
    <t>FIO0090271</t>
  </si>
  <si>
    <t>Horcickova Klara - 23/24 - Juniorky 1. pololeti</t>
  </si>
  <si>
    <t>FIO0100012</t>
  </si>
  <si>
    <t>Stoklaskova Katerina - 23/24 - Juniorky 1. pololeti</t>
  </si>
  <si>
    <t>FIO0100080</t>
  </si>
  <si>
    <t>Krupičková Nikola</t>
  </si>
  <si>
    <t>FIO0100146</t>
  </si>
  <si>
    <t>Nejedla Veronika - 23/24 - Juniorky 1. pololeti</t>
  </si>
  <si>
    <t>FIO0100157</t>
  </si>
  <si>
    <t>Cockova Katerina - 23/24 - Juniorky 1. pololeti</t>
  </si>
  <si>
    <t>FIO0110068</t>
  </si>
  <si>
    <t>Logrová Lada Hana</t>
  </si>
  <si>
    <t>Strana 26</t>
  </si>
  <si>
    <t>2031</t>
  </si>
  <si>
    <t>PF 2304005</t>
  </si>
  <si>
    <t>25.04.2023</t>
  </si>
  <si>
    <t>PF 2308017</t>
  </si>
  <si>
    <t>AC Sparta Praha - florbal, z. s.</t>
  </si>
  <si>
    <t>Startovné Salming cup</t>
  </si>
  <si>
    <t>PF 2303008</t>
  </si>
  <si>
    <t xml:space="preserve">Pronájem sportovní haly </t>
  </si>
  <si>
    <t>PF 2303014</t>
  </si>
  <si>
    <t>Synex Group DC s.r.o.</t>
  </si>
  <si>
    <t>28.03.2023</t>
  </si>
  <si>
    <t>PF 2304026</t>
  </si>
  <si>
    <t>CZECHOTEL s.r.o.</t>
  </si>
  <si>
    <t>Ubytování dorostenky MČR</t>
  </si>
  <si>
    <t>PF 2308012</t>
  </si>
  <si>
    <t>30.08.2023</t>
  </si>
  <si>
    <t>D 2301008</t>
  </si>
  <si>
    <t>Rozhodčí Rooseveltova dorostenky</t>
  </si>
  <si>
    <t>D 2303013</t>
  </si>
  <si>
    <t>Rozhodčí Horní Suchá dorostenky</t>
  </si>
  <si>
    <t>D 2310003</t>
  </si>
  <si>
    <t>D 2309011</t>
  </si>
  <si>
    <t>Zúčtování záloh Salming cup</t>
  </si>
  <si>
    <t>FIO0010065</t>
  </si>
  <si>
    <t xml:space="preserve"> pošta 509564 06.01.2023 č 1PETRAZERZÁNOVA*ZERZÁNOVÁ VALENTÝ NA</t>
  </si>
  <si>
    <t>FIO0010138</t>
  </si>
  <si>
    <t>Gajdosova Viktorie - 22/23 - Dorostenky 2. pololeti</t>
  </si>
  <si>
    <t>FIO0010191</t>
  </si>
  <si>
    <t>Veronika Mrázková</t>
  </si>
  <si>
    <t>FIO0010211</t>
  </si>
  <si>
    <t>FIO0010223</t>
  </si>
  <si>
    <t>27.01.2023</t>
  </si>
  <si>
    <t>Stoklaskova Katerina - 22/23 - Dorostenky 2. pololeti</t>
  </si>
  <si>
    <t>FIO0010234</t>
  </si>
  <si>
    <t>Cechova Kristyna - 22/23 - Dorostenky 2. pololeti</t>
  </si>
  <si>
    <t>FIO0010270</t>
  </si>
  <si>
    <t>Cockova Katerina - 22/23 - Dorostenky 2. pololeti</t>
  </si>
  <si>
    <t>FIO0010277</t>
  </si>
  <si>
    <t>Keclíková Kristýna</t>
  </si>
  <si>
    <t>FIO0010280</t>
  </si>
  <si>
    <t>FIO0020019</t>
  </si>
  <si>
    <t>FBS Olomouc - Adéla Brostíkovásezóna 22/23 2.pololetí</t>
  </si>
  <si>
    <t>FIO0020064</t>
  </si>
  <si>
    <t>10.02.2023</t>
  </si>
  <si>
    <t>Majerova Lucie - 22/23 - Dorostenky 2. pololeti</t>
  </si>
  <si>
    <t>FIO0020077</t>
  </si>
  <si>
    <t>14.02.2023</t>
  </si>
  <si>
    <t>Velenová Adéla</t>
  </si>
  <si>
    <t>FIO0030002</t>
  </si>
  <si>
    <t>01.03.2023</t>
  </si>
  <si>
    <t>Kratochvílová Natálie - Dorostenky 22/23 2. pololetí</t>
  </si>
  <si>
    <t>FIO0040119</t>
  </si>
  <si>
    <t>24.04.2023</t>
  </si>
  <si>
    <t>Logrova Lada - 22/23 - Dorostenky 2. pololeti</t>
  </si>
  <si>
    <t>FIO0090059</t>
  </si>
  <si>
    <t>Velenova Adela - 23/24 - Dorostenky 1. pololeti</t>
  </si>
  <si>
    <t>FIO0090067</t>
  </si>
  <si>
    <t>Stýblová Tatiana - Dorostenky 1. pololetí</t>
  </si>
  <si>
    <t>FIO0090072</t>
  </si>
  <si>
    <t>Pallova Sophie - 23/24 - Dorostenky 1. pololeti</t>
  </si>
  <si>
    <t>FIO0090097</t>
  </si>
  <si>
    <t>Blazkova Adela - 23/24 - Dorostenky 1. pololeti</t>
  </si>
  <si>
    <t>FIO0090124</t>
  </si>
  <si>
    <t>FIO0090164</t>
  </si>
  <si>
    <t>FIO0090177</t>
  </si>
  <si>
    <t>Fišerová Jana</t>
  </si>
  <si>
    <t>Strana 27</t>
  </si>
  <si>
    <t>FIO0090265</t>
  </si>
  <si>
    <t>Mlčochová Anna</t>
  </si>
  <si>
    <t>FIO0100005</t>
  </si>
  <si>
    <t>Pribikova Sabina - 23/24 - Dorostenky 1. pololeti</t>
  </si>
  <si>
    <t>FIO0100041</t>
  </si>
  <si>
    <t>FIO0100045</t>
  </si>
  <si>
    <t>Zaoralova Lucie - 23/24 - Dorostenky 1. pololeti</t>
  </si>
  <si>
    <t>FIO0100094</t>
  </si>
  <si>
    <t>Kratochvílová Natálie - Dorostenky 23/24 1. pololetí</t>
  </si>
  <si>
    <t>FIO0100150</t>
  </si>
  <si>
    <t>FBS Olomouc - Adéla Brostíkovásezóna 23/24 1.pololetí</t>
  </si>
  <si>
    <t>Strana 28</t>
  </si>
  <si>
    <t>2041</t>
  </si>
  <si>
    <t>501999</t>
  </si>
  <si>
    <t>Materiál - NEUZNATELNĚ</t>
  </si>
  <si>
    <t>D 2305004</t>
  </si>
  <si>
    <t>Kalmar - neuzn.výdaje</t>
  </si>
  <si>
    <t>D 2301009</t>
  </si>
  <si>
    <t>Rozhodčí Rooseveltova st.žákyně</t>
  </si>
  <si>
    <t>D 2304006</t>
  </si>
  <si>
    <t>22.04.2023</t>
  </si>
  <si>
    <t>D 2310008</t>
  </si>
  <si>
    <t>FIO0010023</t>
  </si>
  <si>
    <t>22/23 - Starší žákyně Jana Fišerová 2. pololetí</t>
  </si>
  <si>
    <t>FIO0010034</t>
  </si>
  <si>
    <t>Duskova Barbora - 22/23 - Starsi zakyne 2. pololeti</t>
  </si>
  <si>
    <t>FIO0010045</t>
  </si>
  <si>
    <t>Zaoralova Lucie - 22/23 - Starsi zakyne 2. pololeti</t>
  </si>
  <si>
    <t>FIO0010080</t>
  </si>
  <si>
    <t>Stýblová Tatiana - 2. pololetí</t>
  </si>
  <si>
    <t>FIO0010136</t>
  </si>
  <si>
    <t>Florbal - starší žákyně - 2022-2023 - Navrátilová</t>
  </si>
  <si>
    <t>FIO0010137</t>
  </si>
  <si>
    <t>Bartikova Nina - 22/23 - Starsi zakyne 2. pololeti</t>
  </si>
  <si>
    <t>FIO0010179</t>
  </si>
  <si>
    <t>Vratka příspěvek 1. pololetí Dušková Barbora</t>
  </si>
  <si>
    <t>FIO0010182</t>
  </si>
  <si>
    <t>Valerie Geržová</t>
  </si>
  <si>
    <t>VF2302001</t>
  </si>
  <si>
    <t>Základní škola a Mateřská škola Olomouc, Svatoplukova 11, příspěvková organizace</t>
  </si>
  <si>
    <t>Fakturujeme vám členský příspěvek florbalového oddílu FBS Olomouc na 2. pololetí sezóny 2022-202</t>
  </si>
  <si>
    <t>FIO0010240</t>
  </si>
  <si>
    <t>Andresova Denisa - 22/23 - Starsi zakyne 2. pololeti</t>
  </si>
  <si>
    <t>FIO0010241</t>
  </si>
  <si>
    <t>Andresova Aneta - 22/23 - Starsi zakyne 2. pololeti</t>
  </si>
  <si>
    <t>FIO0010243</t>
  </si>
  <si>
    <t>SEdláčková Eliška 2009</t>
  </si>
  <si>
    <t>FIO0010245</t>
  </si>
  <si>
    <t>Tereza Mrnková</t>
  </si>
  <si>
    <t>FIO0010272</t>
  </si>
  <si>
    <t>FIO0010274</t>
  </si>
  <si>
    <t>FIO0010278</t>
  </si>
  <si>
    <t>FIO0020003</t>
  </si>
  <si>
    <t>Pribikova Sabina - 22/23 - Starsi zakyne 2. pololeti</t>
  </si>
  <si>
    <t>FIO0020007</t>
  </si>
  <si>
    <t>FIO0090057</t>
  </si>
  <si>
    <t>FIO0090079</t>
  </si>
  <si>
    <t>Valarikova Eliska - 23/24 - Starsizakyne 1. pololeti</t>
  </si>
  <si>
    <t>FIO0090087</t>
  </si>
  <si>
    <t>PLATBA</t>
  </si>
  <si>
    <t>FIO0090093</t>
  </si>
  <si>
    <t>Navratilova Lucie - 23/24 - Starsi zakyne 1. pololeti</t>
  </si>
  <si>
    <t>FIO0090132</t>
  </si>
  <si>
    <t>FIO0090181</t>
  </si>
  <si>
    <t>Julie Hradilova</t>
  </si>
  <si>
    <t>FIO0090184</t>
  </si>
  <si>
    <t>Masarykova Linda - 23/24 - Starsi zakyne 1. pololeti</t>
  </si>
  <si>
    <t>FIO0090191</t>
  </si>
  <si>
    <t>Emma Henklová (st.ž.)</t>
  </si>
  <si>
    <t>FIO0090262</t>
  </si>
  <si>
    <t>Krckova Lucie - 23/24 - Starsi zakyne 1. pololeti</t>
  </si>
  <si>
    <t>FIO0090269</t>
  </si>
  <si>
    <t>FIO0090273</t>
  </si>
  <si>
    <t>Bartikova Nina - 23/24 - Starsi zakyne 1. pololeti</t>
  </si>
  <si>
    <t>FIO0090274</t>
  </si>
  <si>
    <t>FIO0100001</t>
  </si>
  <si>
    <t>Švestková Zuzana</t>
  </si>
  <si>
    <t>FIO0100016</t>
  </si>
  <si>
    <t>Andresova Denisa - 23/24 - Starsi zakyne 1. pololeti</t>
  </si>
  <si>
    <t>FIO0100017</t>
  </si>
  <si>
    <t>Andresova Aneta - 23/24 - Starsi zakyne 1. pololeti</t>
  </si>
  <si>
    <t>Strana 29</t>
  </si>
  <si>
    <t>Strana 30</t>
  </si>
  <si>
    <t>2051</t>
  </si>
  <si>
    <t>D 2302002</t>
  </si>
  <si>
    <t>05.02.2023</t>
  </si>
  <si>
    <t>Rozhodčí Rooseveltova ml.žákyně</t>
  </si>
  <si>
    <t>D 2310001</t>
  </si>
  <si>
    <t>Rozhodčí Čajkaréna mladší žákyně</t>
  </si>
  <si>
    <t>D 2311006</t>
  </si>
  <si>
    <t>FIO0090055</t>
  </si>
  <si>
    <t>Klosova Zuzana - 23/24 - Mladsi zakyne 1. pololeti</t>
  </si>
  <si>
    <t>FIO0090073</t>
  </si>
  <si>
    <t>Klicova Karolina - 23/24 - Mladsi zakyne 1. pololeti</t>
  </si>
  <si>
    <t>FIO0090076</t>
  </si>
  <si>
    <t>Hlavinkova Nela - 23/24 - Mladsi zakyne 1. pololeti</t>
  </si>
  <si>
    <t>FIO0090090</t>
  </si>
  <si>
    <t>Holcikova Sofie 5.5.2012</t>
  </si>
  <si>
    <t>FIO0090101</t>
  </si>
  <si>
    <t>Zinchenko Daria - 23/24 - Mladsi zakyne 1. pololeti</t>
  </si>
  <si>
    <t>FIO0090117</t>
  </si>
  <si>
    <t>ZACPALOVA LUCIE - 23/24 - MLADSI ZAKYNE 1. POLOLETI</t>
  </si>
  <si>
    <t>FIO0090127</t>
  </si>
  <si>
    <t>Hrbackova Anita - 23/24 - Mladsi zakyne 1. pololeti</t>
  </si>
  <si>
    <t>FIO0090128</t>
  </si>
  <si>
    <t>FIO0090138</t>
  </si>
  <si>
    <t>Zapletalova Ema - 23/24 - Mladsi zakyne 1. pololeti</t>
  </si>
  <si>
    <t>FIO0090185</t>
  </si>
  <si>
    <t>Eliska Kamaradova 1pol. 23/24</t>
  </si>
  <si>
    <t>FIO0090260</t>
  </si>
  <si>
    <t>23/24 - Mladší žákyně 1. pololetí Trešlová Elen</t>
  </si>
  <si>
    <t>FIO0090263</t>
  </si>
  <si>
    <t>OSTADALOVA LUCIE - 23/24 - MLADSI ZAKYNE 1. POLOLETI</t>
  </si>
  <si>
    <t>FIO0090264</t>
  </si>
  <si>
    <t>Sobotkova Veronika - 23/24 - Mladsi zakyne 1. pololeti</t>
  </si>
  <si>
    <t>Strana 31</t>
  </si>
  <si>
    <t>2061</t>
  </si>
  <si>
    <t>D 2302011</t>
  </si>
  <si>
    <t>26.02.2023</t>
  </si>
  <si>
    <t>Rozhodčí Rooseveltova elévky</t>
  </si>
  <si>
    <t>FIO0010040</t>
  </si>
  <si>
    <t>FIO0010053</t>
  </si>
  <si>
    <t>Duskova Anna - 22/23 - Elevky 2. pololeti</t>
  </si>
  <si>
    <t>FIO0010056</t>
  </si>
  <si>
    <t>Klicova Karolina - 22/23 - Elevky 2. pololeti</t>
  </si>
  <si>
    <t>FIO0010121</t>
  </si>
  <si>
    <t>Masarykova Linda - 22/23 - Elevky 2. pololeti</t>
  </si>
  <si>
    <t>FIO0010125</t>
  </si>
  <si>
    <t>Zapletalová Marie</t>
  </si>
  <si>
    <t>FIO0010126</t>
  </si>
  <si>
    <t>Zapletalová Ema</t>
  </si>
  <si>
    <t>FIO0010131</t>
  </si>
  <si>
    <t>Hrouzkova Tereza - 22/23 - Elevky 2. pololeti</t>
  </si>
  <si>
    <t>FIO0010132</t>
  </si>
  <si>
    <t>FIO0010139</t>
  </si>
  <si>
    <t>Bilkova Julie - 22/23 - Elevky 2. pololeti</t>
  </si>
  <si>
    <t>FIO0010142</t>
  </si>
  <si>
    <t>Hradilova Julie</t>
  </si>
  <si>
    <t>FIO0010168</t>
  </si>
  <si>
    <t>Platba za 2.pololetí - Viola Číhalová (elévky)</t>
  </si>
  <si>
    <t>FIO0010175</t>
  </si>
  <si>
    <t>Sofronieská Sara</t>
  </si>
  <si>
    <t>FIO0010183</t>
  </si>
  <si>
    <t>Henklová Emma</t>
  </si>
  <si>
    <t>FIO0010205</t>
  </si>
  <si>
    <t>Hlavinkova Nela - 22/23 - Elevky 2. pololeti</t>
  </si>
  <si>
    <t>FIO0010218</t>
  </si>
  <si>
    <t>Sobotkova Veronika - 22/23 - Elevky 2. pololeti</t>
  </si>
  <si>
    <t>FIO0010219</t>
  </si>
  <si>
    <t>FIO0010222</t>
  </si>
  <si>
    <t>Kamaradova Eliska - 22/23 - Elevkymladsi zakyne 2. polole</t>
  </si>
  <si>
    <t>FIO0010233</t>
  </si>
  <si>
    <t>Sourozenec Martin Švestka</t>
  </si>
  <si>
    <t>FIO0010256</t>
  </si>
  <si>
    <t>OSTADALOVA LUCIE - 22/23 - ELEVKY 2. POLOLETI</t>
  </si>
  <si>
    <t>FIO0010268</t>
  </si>
  <si>
    <t>Hrbackova Anita - 22/23 - Elevky 2. pololeti</t>
  </si>
  <si>
    <t>FIO0010269</t>
  </si>
  <si>
    <t>Hrbackova Karla - 22/23 - Elevky 2. pololeti</t>
  </si>
  <si>
    <t>FIO0020002</t>
  </si>
  <si>
    <t>ZACPALOVA LUCIE - 22/23 - ELEVKY 2. POLOLETI</t>
  </si>
  <si>
    <t>FIO0020004</t>
  </si>
  <si>
    <t>Urbaskova Marie - 22/23 - Elevky 2. pololeti</t>
  </si>
  <si>
    <t>FIO0020011</t>
  </si>
  <si>
    <t>Jirickova Beata - 22/23 - Elevky 2. pololeti</t>
  </si>
  <si>
    <t>FIO0020021</t>
  </si>
  <si>
    <t>Tily Violet - 22/23 - Elevky 2. pololeti</t>
  </si>
  <si>
    <t>FIO0030017</t>
  </si>
  <si>
    <t>Emílie Koutná Elévky 22/23 2.pololetí</t>
  </si>
  <si>
    <t>FIO0040089</t>
  </si>
  <si>
    <t>14.04.2023</t>
  </si>
  <si>
    <t>FIO0090063</t>
  </si>
  <si>
    <t>URBANKOVA SOFIE - 23/24 - ELEVKY 1. POLOLETI</t>
  </si>
  <si>
    <t>FIO0090113</t>
  </si>
  <si>
    <t>FIO0090137</t>
  </si>
  <si>
    <t>Zapletalova Marie - 23/24 - Elevky 1. pololeti</t>
  </si>
  <si>
    <t>FIO0090150</t>
  </si>
  <si>
    <t>Bilkova Julie - 23/24 - Elevky 1. pololeti</t>
  </si>
  <si>
    <t>FIO0090169</t>
  </si>
  <si>
    <t>Martinkova Alzbeta - 23/24 - Elevky 1. pololeti</t>
  </si>
  <si>
    <t>FIO0090171</t>
  </si>
  <si>
    <t>LAZNICKOVA EMA - 23/24 - ELEVKY 1.POLOLETI</t>
  </si>
  <si>
    <t>FIO0090192</t>
  </si>
  <si>
    <t>FIO0090219</t>
  </si>
  <si>
    <t>Číhalová Viola - 23/24 - Elévky 1.pololetí</t>
  </si>
  <si>
    <t>FIO0090225</t>
  </si>
  <si>
    <t>Sofronieska Sara - 23/24 - Elevky 1. pololeti</t>
  </si>
  <si>
    <t>FIO0090243</t>
  </si>
  <si>
    <t>Hrouzkova Tereza - 23/24 - Elevky 1. pololeti</t>
  </si>
  <si>
    <t>FIO0100006</t>
  </si>
  <si>
    <t>Jirickova Beata - 23/24 - Elevky 1. pololeti</t>
  </si>
  <si>
    <t>FIO0100009</t>
  </si>
  <si>
    <t>Kucerova Emilie - 23/24 - Elevky 1. pololeti</t>
  </si>
  <si>
    <t>FIO0100010</t>
  </si>
  <si>
    <t>Kucerova Olivie - 23/24 - Elevky 1. pololeti</t>
  </si>
  <si>
    <t>FIO0100061</t>
  </si>
  <si>
    <t>Koutna Emilie - 23/24 - Elevky 1. pololeti</t>
  </si>
  <si>
    <t>FIO0100088</t>
  </si>
  <si>
    <t>Kubíková Julie</t>
  </si>
  <si>
    <t>FIO0100104</t>
  </si>
  <si>
    <t>Tily Violet - 23/24 - Elevky 1. pololeti</t>
  </si>
  <si>
    <t>Strana 32</t>
  </si>
  <si>
    <t>FIO0100188</t>
  </si>
  <si>
    <t>19.10.2023</t>
  </si>
  <si>
    <t>Vratka čl. příspěvky Lázničková Ema</t>
  </si>
  <si>
    <t>FIO0100191</t>
  </si>
  <si>
    <t>Kocourkova Nela - 23/24 - Elevky 1. pololeti</t>
  </si>
  <si>
    <t>Strana 33</t>
  </si>
  <si>
    <t>3011</t>
  </si>
  <si>
    <t>501200</t>
  </si>
  <si>
    <t>Materiál ostatní</t>
  </si>
  <si>
    <t>D 2308007</t>
  </si>
  <si>
    <t>D 2308005</t>
  </si>
  <si>
    <t>Jeseník - jízdné</t>
  </si>
  <si>
    <t>D 2308006</t>
  </si>
  <si>
    <t>Jeseník - bazén</t>
  </si>
  <si>
    <t>518350</t>
  </si>
  <si>
    <t>Pronájem haly soustř.</t>
  </si>
  <si>
    <t>PF 2308030</t>
  </si>
  <si>
    <t>Střední průmyslová škola Jeseník</t>
  </si>
  <si>
    <t>19.08.2023</t>
  </si>
  <si>
    <t>Pronájem haly Jeseník</t>
  </si>
  <si>
    <t>PF 2308019</t>
  </si>
  <si>
    <t>Technické služby Jeseník a. s.</t>
  </si>
  <si>
    <t>D 2308004</t>
  </si>
  <si>
    <t>Pořádání - Jeseník</t>
  </si>
  <si>
    <t>602750</t>
  </si>
  <si>
    <t>Soustředění</t>
  </si>
  <si>
    <t>D 2308003</t>
  </si>
  <si>
    <t>Zúčtování záloh Jeseník</t>
  </si>
  <si>
    <t>Strana 34</t>
  </si>
  <si>
    <t>3012</t>
  </si>
  <si>
    <t>PV 2308011</t>
  </si>
  <si>
    <t>Mat.ost. - Červená Voda</t>
  </si>
  <si>
    <t>PV 2308012</t>
  </si>
  <si>
    <t>Léky - Červená Voda</t>
  </si>
  <si>
    <t>PV 2308010</t>
  </si>
  <si>
    <t>Strava - Červená Voda</t>
  </si>
  <si>
    <t>PF 2309001</t>
  </si>
  <si>
    <t>FC Jiskra 2008, z.s.</t>
  </si>
  <si>
    <t>04.09.2023</t>
  </si>
  <si>
    <t>Strava Červená Voda</t>
  </si>
  <si>
    <t>PF 2309018</t>
  </si>
  <si>
    <t>Tělovýchovná jednota Jablonné nad Orlicí, z.s.</t>
  </si>
  <si>
    <t>Pronájem mantinelů Červená Voda</t>
  </si>
  <si>
    <t>PF 2308001</t>
  </si>
  <si>
    <t>10.08.2023</t>
  </si>
  <si>
    <t>Pronájem haly Červená Voda</t>
  </si>
  <si>
    <t>PF 2308020</t>
  </si>
  <si>
    <t>Heroltická, s.r.o.</t>
  </si>
  <si>
    <t>ubytování,strava Červená Voda</t>
  </si>
  <si>
    <t>PV 2308013</t>
  </si>
  <si>
    <t>D 2309007</t>
  </si>
  <si>
    <t>Zúčtování záloh Červená Voda</t>
  </si>
  <si>
    <t>Strana 35</t>
  </si>
  <si>
    <t>3013</t>
  </si>
  <si>
    <t>PV 2308002</t>
  </si>
  <si>
    <t>Kanc.potřeby - Prostějov</t>
  </si>
  <si>
    <t>PV 2308003</t>
  </si>
  <si>
    <t>Léky - Prostějov</t>
  </si>
  <si>
    <t>PF 2304007</t>
  </si>
  <si>
    <t>Střední škola designu a módy, Prostějov</t>
  </si>
  <si>
    <t>Strava Prostějov</t>
  </si>
  <si>
    <t>PF 2308011</t>
  </si>
  <si>
    <t>25.08.2023</t>
  </si>
  <si>
    <t>PV 2308001</t>
  </si>
  <si>
    <t>Strava - Prostějov</t>
  </si>
  <si>
    <t>PV 2308004</t>
  </si>
  <si>
    <t>Jízdné - Prostějov</t>
  </si>
  <si>
    <t>PV 2308005</t>
  </si>
  <si>
    <t>Bazén - Prostějov</t>
  </si>
  <si>
    <t>PF 2305015</t>
  </si>
  <si>
    <t>Sportcentrum - dům dětí a mládeže Prostějov, příspěvková organizace</t>
  </si>
  <si>
    <t>22.05.2023</t>
  </si>
  <si>
    <t>Pronájem učebny a sport.haly Vápenice</t>
  </si>
  <si>
    <t>PF 2309015</t>
  </si>
  <si>
    <t>Pronájem haly Prostějov</t>
  </si>
  <si>
    <t>PF 2308015</t>
  </si>
  <si>
    <t>Ubytování Prostějov</t>
  </si>
  <si>
    <t>PV 2308006</t>
  </si>
  <si>
    <t>D 2308002</t>
  </si>
  <si>
    <t>Zúčtování záloh Prostějov</t>
  </si>
  <si>
    <t>Strana 36</t>
  </si>
  <si>
    <t>3014</t>
  </si>
  <si>
    <t>PV 2308015</t>
  </si>
  <si>
    <t>Mat.ost. - PK II.</t>
  </si>
  <si>
    <t>PV 2307005</t>
  </si>
  <si>
    <t>27.07.2023</t>
  </si>
  <si>
    <t>Kanc.potřeby - PK I.</t>
  </si>
  <si>
    <t>PF 2303002</t>
  </si>
  <si>
    <t>Jindřich Kolovrátník</t>
  </si>
  <si>
    <t>03.03.2023</t>
  </si>
  <si>
    <t>Strava jarní kemp</t>
  </si>
  <si>
    <t>PV 2303007</t>
  </si>
  <si>
    <t>Strava - kemp</t>
  </si>
  <si>
    <t>PF 2305012</t>
  </si>
  <si>
    <t>21.05.2023</t>
  </si>
  <si>
    <t>Strava jarní skills kemp</t>
  </si>
  <si>
    <t>PV 2307004</t>
  </si>
  <si>
    <t>Strava - PK I.</t>
  </si>
  <si>
    <t>PF2307013</t>
  </si>
  <si>
    <t>28.07.2023</t>
  </si>
  <si>
    <t>Strava příměstský tábor</t>
  </si>
  <si>
    <t>PF 2308007</t>
  </si>
  <si>
    <t>Strava příměstský kemp</t>
  </si>
  <si>
    <t>PV 2308014</t>
  </si>
  <si>
    <t>Strava - PK II.</t>
  </si>
  <si>
    <t>PV 2305006</t>
  </si>
  <si>
    <t>Občerstvení hostů na skills</t>
  </si>
  <si>
    <t>PF 2305007</t>
  </si>
  <si>
    <t>Jezdecký areál Olomouc s.r.o.</t>
  </si>
  <si>
    <t>11.05.2023</t>
  </si>
  <si>
    <t>ubytování Pazdera + skills kemp</t>
  </si>
  <si>
    <t>PV 2304004</t>
  </si>
  <si>
    <t>PV 2305004</t>
  </si>
  <si>
    <t>PV 2307003</t>
  </si>
  <si>
    <t>Pořádání PK I.</t>
  </si>
  <si>
    <t>PV 2308016</t>
  </si>
  <si>
    <t>602770</t>
  </si>
  <si>
    <t>Příměstský kemp</t>
  </si>
  <si>
    <t>D 2308009</t>
  </si>
  <si>
    <t>Zúčtování záloh</t>
  </si>
  <si>
    <t>Strana 37</t>
  </si>
  <si>
    <t>3020</t>
  </si>
  <si>
    <t>D 2305003</t>
  </si>
  <si>
    <t>Kalmar - strava</t>
  </si>
  <si>
    <t>PF 2304008</t>
  </si>
  <si>
    <t>Weco-Travel (CZ) s.r.o.</t>
  </si>
  <si>
    <t>Trajekt Švédsko</t>
  </si>
  <si>
    <t>PF 2305005</t>
  </si>
  <si>
    <t>PF 2305014</t>
  </si>
  <si>
    <t>AUTOBUSY - KONEČNÝ s.r.o.</t>
  </si>
  <si>
    <t>Doprava - Švédsko</t>
  </si>
  <si>
    <t>PF2306022</t>
  </si>
  <si>
    <t>13.06.2023</t>
  </si>
  <si>
    <t>PF 2305008</t>
  </si>
  <si>
    <t>Kalmarsund Floorball Cup</t>
  </si>
  <si>
    <t>startovné Švédsko</t>
  </si>
  <si>
    <t>PF2306021</t>
  </si>
  <si>
    <t>Gariana s.r.o.</t>
  </si>
  <si>
    <t>06.06.2023</t>
  </si>
  <si>
    <t>ubytování Kalmar</t>
  </si>
  <si>
    <t>545000</t>
  </si>
  <si>
    <t>Kurzové ztráty</t>
  </si>
  <si>
    <t>FIO0050195</t>
  </si>
  <si>
    <t>18.05.2023</t>
  </si>
  <si>
    <t>Kursové ztráty - závazky</t>
  </si>
  <si>
    <t>549100</t>
  </si>
  <si>
    <t>Pojištění Kooperativa, Generali</t>
  </si>
  <si>
    <t>D 2305002</t>
  </si>
  <si>
    <t>Kalmar - pojištění</t>
  </si>
  <si>
    <t>D 2307004</t>
  </si>
  <si>
    <t>Zúčtování záloh Kalmar</t>
  </si>
  <si>
    <t>Strana 38</t>
  </si>
  <si>
    <t>3024</t>
  </si>
  <si>
    <t>D 2306003</t>
  </si>
  <si>
    <t>Zúčtování záloh Hummel</t>
  </si>
  <si>
    <t>Strana 39</t>
  </si>
  <si>
    <t>3027</t>
  </si>
  <si>
    <t>PV 2307001</t>
  </si>
  <si>
    <t>04.07.2023</t>
  </si>
  <si>
    <t>PF2307012</t>
  </si>
  <si>
    <t>Prague Games Club z.s.</t>
  </si>
  <si>
    <t>Startovné Prague games</t>
  </si>
  <si>
    <t>PF 2305032</t>
  </si>
  <si>
    <t>ubytování Prague games</t>
  </si>
  <si>
    <t>PF2307001</t>
  </si>
  <si>
    <t>ubytování PG</t>
  </si>
  <si>
    <t>D 2307003</t>
  </si>
  <si>
    <t>Zúčtování záloh Prague games</t>
  </si>
  <si>
    <t>PP 2308001</t>
  </si>
  <si>
    <t>St.žáci Prague games</t>
  </si>
  <si>
    <t>Strana 40</t>
  </si>
  <si>
    <t>3028</t>
  </si>
  <si>
    <t>D 2312007</t>
  </si>
  <si>
    <t>Zúčtování záloh Gothia</t>
  </si>
  <si>
    <t>Strana 41</t>
  </si>
  <si>
    <t>4011</t>
  </si>
  <si>
    <t>PF 2301003</t>
  </si>
  <si>
    <t>Fakultní základní škola Olomouc, Tererovo nám. 1, příspěvková organizace</t>
  </si>
  <si>
    <t>Pronájem tělocvičny 1-5/2023</t>
  </si>
  <si>
    <t>PF 2309017</t>
  </si>
  <si>
    <t>Pronájem sportovní haly 9-12/2023</t>
  </si>
  <si>
    <t>D 2312009</t>
  </si>
  <si>
    <t>Zúčtování záloh kroužek</t>
  </si>
  <si>
    <t>Strana 42</t>
  </si>
  <si>
    <t>4021</t>
  </si>
  <si>
    <t>PF 2305013</t>
  </si>
  <si>
    <t>F a V s.r.o.</t>
  </si>
  <si>
    <t>Beseda</t>
  </si>
  <si>
    <t>PF2306020</t>
  </si>
  <si>
    <t>Jan Pazdera</t>
  </si>
  <si>
    <t>Trénování skills</t>
  </si>
  <si>
    <t>602740</t>
  </si>
  <si>
    <t>Skills</t>
  </si>
  <si>
    <t>D 2308010</t>
  </si>
  <si>
    <t>D 2303018</t>
  </si>
  <si>
    <t>D 2304010</t>
  </si>
  <si>
    <t>Strana 43</t>
  </si>
  <si>
    <t>4031</t>
  </si>
  <si>
    <t>518160</t>
  </si>
  <si>
    <t>Sekretář</t>
  </si>
  <si>
    <t>PF2306011</t>
  </si>
  <si>
    <t>Sekretář, manažer 6/23</t>
  </si>
  <si>
    <t>PF2307007</t>
  </si>
  <si>
    <t>Sekretář, manažer 7/23</t>
  </si>
  <si>
    <t>PF 2308026</t>
  </si>
  <si>
    <t>Sekretář, manažer 8/23</t>
  </si>
  <si>
    <t>PF 2309024</t>
  </si>
  <si>
    <t>Sekretář, manažer 9/23</t>
  </si>
  <si>
    <t>PF 2310016</t>
  </si>
  <si>
    <t>Sekretář, manažer 10/23</t>
  </si>
  <si>
    <t>PF 2311021</t>
  </si>
  <si>
    <t>Sekretář, manažer 11/23</t>
  </si>
  <si>
    <t>PF 2312021</t>
  </si>
  <si>
    <t>Sekretář, manažer 12/23</t>
  </si>
  <si>
    <t>518700</t>
  </si>
  <si>
    <t>Internet</t>
  </si>
  <si>
    <t>PF 2301017</t>
  </si>
  <si>
    <t>Soc.sítě za 01/2023.</t>
  </si>
  <si>
    <t>PF 2302019</t>
  </si>
  <si>
    <t>Soc.sítě za 02/2023.</t>
  </si>
  <si>
    <t>PF 2303029</t>
  </si>
  <si>
    <t>Soc.sítě za 03/2023.</t>
  </si>
  <si>
    <t>PF 2304020</t>
  </si>
  <si>
    <t>Soc.sítě za 04/2023.</t>
  </si>
  <si>
    <t>PF 2305020</t>
  </si>
  <si>
    <t>Soc.sítě za 05/2023.</t>
  </si>
  <si>
    <t>PF2306008</t>
  </si>
  <si>
    <t>Soc.sítě za 06/2023.</t>
  </si>
  <si>
    <t>691500</t>
  </si>
  <si>
    <t>VF2302010</t>
  </si>
  <si>
    <t>Český florbal</t>
  </si>
  <si>
    <t>21.06.2023</t>
  </si>
  <si>
    <t>Fakturujeme vám na základě Smlouvy o spolupráci "Komplexní rozvoj oddílů" za poskytnuté sportovn</t>
  </si>
  <si>
    <t>Strana 44</t>
  </si>
  <si>
    <t>4041</t>
  </si>
  <si>
    <t>PF2307010</t>
  </si>
  <si>
    <t>Trénování junioři 7/2023</t>
  </si>
  <si>
    <t>PF 2308022</t>
  </si>
  <si>
    <t>Trénování junioři 8/2023</t>
  </si>
  <si>
    <t>518170</t>
  </si>
  <si>
    <t>Šéftrenér</t>
  </si>
  <si>
    <t>PF 2301015</t>
  </si>
  <si>
    <t>Služby šéftrenéra/sport. managera 01/2023</t>
  </si>
  <si>
    <t>PF 2302017</t>
  </si>
  <si>
    <t>Služby šéftrenéra/sport. managera 02/2023</t>
  </si>
  <si>
    <t>PF 2303027</t>
  </si>
  <si>
    <t>Služby šéftrenéra/sport. managera 03/2023</t>
  </si>
  <si>
    <t>PF 2304018</t>
  </si>
  <si>
    <t>Služby šéftrenéra/sport. managera 04/2023</t>
  </si>
  <si>
    <t>PF 2305025</t>
  </si>
  <si>
    <t>Služby šéftrenéra/sport. managera 05/2023</t>
  </si>
  <si>
    <t>PF2306014</t>
  </si>
  <si>
    <t>Služby šéftrenéra/sport. managera 06/2023</t>
  </si>
  <si>
    <t>PF2306015</t>
  </si>
  <si>
    <t>Bonus leden-červen</t>
  </si>
  <si>
    <t>PF2307009</t>
  </si>
  <si>
    <t>Služby šéftrenéra/sport. managera 07/2023</t>
  </si>
  <si>
    <t>PF 2308027</t>
  </si>
  <si>
    <t>Služby šéftrenéra/sport. managera 08/2023</t>
  </si>
  <si>
    <t>PF 2309026</t>
  </si>
  <si>
    <t>Služby šéftrenéra/sport. managera 09/2023</t>
  </si>
  <si>
    <t>PF 2310015</t>
  </si>
  <si>
    <t>Služby šéftrenéra/sport. managera 10/2023</t>
  </si>
  <si>
    <t>PF 2311025</t>
  </si>
  <si>
    <t>Služby šéftrenéra/sport. managera 11/2023</t>
  </si>
  <si>
    <t>PF 2312014</t>
  </si>
  <si>
    <t>Služby šéftrenéra/sport. managera 12/2023</t>
  </si>
  <si>
    <t>VF2302011</t>
  </si>
  <si>
    <t>Fakturujeme vám na základě Smlouvy o spolupráci "Komplexní rozvoj oddílů" za poskytnuté organiza</t>
  </si>
  <si>
    <t>Strana 45</t>
  </si>
  <si>
    <t>5011</t>
  </si>
  <si>
    <t>PV 2302002</t>
  </si>
  <si>
    <t>Cestovné stáž</t>
  </si>
  <si>
    <t>PV 2302003</t>
  </si>
  <si>
    <t>Cestovné hospitace Budišov</t>
  </si>
  <si>
    <t>PV 2308007</t>
  </si>
  <si>
    <t>PV 2308008</t>
  </si>
  <si>
    <t>PV 2310012</t>
  </si>
  <si>
    <t>Cestovné Reimer</t>
  </si>
  <si>
    <t>PV 2311010</t>
  </si>
  <si>
    <t>14.11.2023</t>
  </si>
  <si>
    <t>PV 2311019</t>
  </si>
  <si>
    <t>Cestovné Hruška</t>
  </si>
  <si>
    <t>PF 2310030</t>
  </si>
  <si>
    <t>21.10.2023</t>
  </si>
  <si>
    <t>Limonády Bohemsca</t>
  </si>
  <si>
    <t>PF 2311026</t>
  </si>
  <si>
    <t>03.11.2023</t>
  </si>
  <si>
    <t>PF 2312006</t>
  </si>
  <si>
    <t>PF 2301023</t>
  </si>
  <si>
    <t>Vstupné</t>
  </si>
  <si>
    <t>D 2303017</t>
  </si>
  <si>
    <t>Oprava dveří za Lipník</t>
  </si>
  <si>
    <t>D 2304012</t>
  </si>
  <si>
    <t>Vstupenky</t>
  </si>
  <si>
    <t>PF2307005</t>
  </si>
  <si>
    <t>Michal Struž</t>
  </si>
  <si>
    <t>25.07.2023</t>
  </si>
  <si>
    <t>Fotografie</t>
  </si>
  <si>
    <t>PF 2308036</t>
  </si>
  <si>
    <t>Pavel Kratochvíl</t>
  </si>
  <si>
    <t>Poplatek veletrh</t>
  </si>
  <si>
    <t>PF 2310019</t>
  </si>
  <si>
    <t>NEJLEPŠÍ ADRESA a.s.</t>
  </si>
  <si>
    <t>Registrace na portálu Olomouc.cz</t>
  </si>
  <si>
    <t>PF 2310010</t>
  </si>
  <si>
    <t>PF 2312017</t>
  </si>
  <si>
    <t>518360</t>
  </si>
  <si>
    <t>Pronájem kanceláře</t>
  </si>
  <si>
    <t>PF 2312005</t>
  </si>
  <si>
    <t>Střední škola polytechnická, Olomouc, Rooseveltova 79</t>
  </si>
  <si>
    <t>Pronájem neb.prostor 12/2023</t>
  </si>
  <si>
    <t>PV 2308017</t>
  </si>
  <si>
    <t>PV 2305005</t>
  </si>
  <si>
    <t>Pořádání veletrh sportů</t>
  </si>
  <si>
    <t>PV 2307002</t>
  </si>
  <si>
    <t>Pořádání Moravia expo</t>
  </si>
  <si>
    <t>PV 2312001</t>
  </si>
  <si>
    <t>01.12.2023</t>
  </si>
  <si>
    <t>Pořádání sport.dopoledne</t>
  </si>
  <si>
    <t>Poštovné</t>
  </si>
  <si>
    <t>PV 2309010</t>
  </si>
  <si>
    <t>542000</t>
  </si>
  <si>
    <t>Ostatní pokuty a penále</t>
  </si>
  <si>
    <t>D 2304009</t>
  </si>
  <si>
    <t>Pokuta FÚ</t>
  </si>
  <si>
    <t>D 2306001</t>
  </si>
  <si>
    <t>20.06.2023</t>
  </si>
  <si>
    <t>546000</t>
  </si>
  <si>
    <t>Dary</t>
  </si>
  <si>
    <t>FIO0020081</t>
  </si>
  <si>
    <t>FBS Olomouc</t>
  </si>
  <si>
    <t>FIO0030059</t>
  </si>
  <si>
    <t>13.03.2023</t>
  </si>
  <si>
    <t>Charitativní utkání FBS Olomouc</t>
  </si>
  <si>
    <t>FIO0110179</t>
  </si>
  <si>
    <t>28.11.2023</t>
  </si>
  <si>
    <t>FBS Olomouc 26.11.2023</t>
  </si>
  <si>
    <t>Strana 46</t>
  </si>
  <si>
    <t>D 2301001</t>
  </si>
  <si>
    <t>Poj.pod.rizik Trend</t>
  </si>
  <si>
    <t>D 2304004</t>
  </si>
  <si>
    <t>Pojištění rizik Trend</t>
  </si>
  <si>
    <t>551000</t>
  </si>
  <si>
    <t>Odpisy dlouhodobého majetku</t>
  </si>
  <si>
    <t>D 2312004</t>
  </si>
  <si>
    <t>Odpisy</t>
  </si>
  <si>
    <t>VF2301001</t>
  </si>
  <si>
    <t xml:space="preserve">Fakturujeme Vám pronájem mantinelů na SH Rooseveltova_x000D_
</t>
  </si>
  <si>
    <t>VF2301003</t>
  </si>
  <si>
    <t>David Polánek</t>
  </si>
  <si>
    <t>16.04.2023</t>
  </si>
  <si>
    <t>VF2301004</t>
  </si>
  <si>
    <t xml:space="preserve">Fakturujeme Vám pronájem mantinelů na SGO únor - duben 2023_x000D_
</t>
  </si>
  <si>
    <t>VF2301005</t>
  </si>
  <si>
    <t>Peaches IBK, z.s.</t>
  </si>
  <si>
    <t xml:space="preserve">Fakturujeme Vám pronájem mantinelů pro Peaches kemp v termínu 16-21.7.2023_x000D_
</t>
  </si>
  <si>
    <t>VF2301017</t>
  </si>
  <si>
    <t xml:space="preserve">Fakturujeme Vám pronájem mantinelů na SGO září - prosinec 2023_x000D_
</t>
  </si>
  <si>
    <t>D 2301004</t>
  </si>
  <si>
    <t>VPO - reklama</t>
  </si>
  <si>
    <t>D 2301018</t>
  </si>
  <si>
    <t>Reklama Heemma</t>
  </si>
  <si>
    <t>VF2301002</t>
  </si>
  <si>
    <t>Pivovary CZ Group a. s.</t>
  </si>
  <si>
    <t xml:space="preserve">Fakturujeme Vám částku 49.316,- Kč na základě Smlouvy o reklamě a prezentaci z 30. 3. 2023._x000D_
</t>
  </si>
  <si>
    <t>PP 2308003</t>
  </si>
  <si>
    <t>Samigas</t>
  </si>
  <si>
    <t>VF2301007</t>
  </si>
  <si>
    <t>Galerie Šantovka a.s.</t>
  </si>
  <si>
    <t>Fakturujeme Vám částku 60.000,- Kč dle smlouvy o reklamě ze dne 28.6.2023</t>
  </si>
  <si>
    <t>VF2301010</t>
  </si>
  <si>
    <t>MONTERBET s.r.o.</t>
  </si>
  <si>
    <t>01.09.2023</t>
  </si>
  <si>
    <t>Fakturujeme Vám částku 15.000,- Kč dle smlouvy o reklamě  ze dne 1. 9. 2023</t>
  </si>
  <si>
    <t>VF2301011</t>
  </si>
  <si>
    <t>Fakturujeme Vám částku 30.000,- Kč dle smlouvy o reklamě  ze dne 1. 9. 2023</t>
  </si>
  <si>
    <t>VF2301012</t>
  </si>
  <si>
    <t>BB Haná s.r.o.</t>
  </si>
  <si>
    <t>Fakturujeme Vám částku 10.000 na základě smlouvy o reklamě a propagaci ze dne 12.9.2022</t>
  </si>
  <si>
    <t>VF2301013</t>
  </si>
  <si>
    <t>Fakturujeme Vám částku 20.000 na základě smlouvy o reklamě a propagaci ze dne 1.9.2023</t>
  </si>
  <si>
    <t>D 2309010</t>
  </si>
  <si>
    <t>Reklama Poláček Petr</t>
  </si>
  <si>
    <t>VF2301015</t>
  </si>
  <si>
    <t>Cash trade s.r.o.</t>
  </si>
  <si>
    <t>Fakturujeme Vám částku 36.000,- Kč dle smlouvy o reklamě  ze dne 1. 9. 2022</t>
  </si>
  <si>
    <t>VF2301016</t>
  </si>
  <si>
    <t>SPORTAGON CZ s.r.o.</t>
  </si>
  <si>
    <t>Marketingové plnění 2023</t>
  </si>
  <si>
    <t>VF2301018</t>
  </si>
  <si>
    <t>Pohostinství u Popelků</t>
  </si>
  <si>
    <t>Fakturujeme Vám částku 11.000,- Kč dle smlouvy o reklamě  ze dne 1. 9. 2023</t>
  </si>
  <si>
    <t>682000</t>
  </si>
  <si>
    <t>Přijaté příspěvky (dary)</t>
  </si>
  <si>
    <t>FIO0020137</t>
  </si>
  <si>
    <t>23.02.2023</t>
  </si>
  <si>
    <t>FIO0030076</t>
  </si>
  <si>
    <t>FIO0110177</t>
  </si>
  <si>
    <t>Sponzorsky dar</t>
  </si>
  <si>
    <t>FIO0110180</t>
  </si>
  <si>
    <t>FIO0120009</t>
  </si>
  <si>
    <t>04.12.2023</t>
  </si>
  <si>
    <t>Dar florbal</t>
  </si>
  <si>
    <t>691200</t>
  </si>
  <si>
    <t>Provozní dotace kraj</t>
  </si>
  <si>
    <t>FIO0030080</t>
  </si>
  <si>
    <t>16.03.2023</t>
  </si>
  <si>
    <t>FIO0080015</t>
  </si>
  <si>
    <t>08.08.2023</t>
  </si>
  <si>
    <t>691300</t>
  </si>
  <si>
    <t>Provozní dotace město</t>
  </si>
  <si>
    <t>FIO0040115</t>
  </si>
  <si>
    <t>21.04.2023</t>
  </si>
  <si>
    <t>FIO0040116</t>
  </si>
  <si>
    <t>691400</t>
  </si>
  <si>
    <t>Provozní dotace NSA</t>
  </si>
  <si>
    <t>FIO0050202</t>
  </si>
  <si>
    <t>19.05.2023</t>
  </si>
  <si>
    <t>GPIDNSA0X0070GFY1GPORCK</t>
  </si>
  <si>
    <t>FIO0070115</t>
  </si>
  <si>
    <t>20.07.2023</t>
  </si>
  <si>
    <t>GPIDNSA0X007NOT51GPORCK</t>
  </si>
  <si>
    <t>Strana 47</t>
  </si>
  <si>
    <t>Strana 48</t>
  </si>
  <si>
    <t>5012</t>
  </si>
  <si>
    <t>PV 2309014</t>
  </si>
  <si>
    <t>Čipy</t>
  </si>
  <si>
    <t>PV 2310003</t>
  </si>
  <si>
    <t>Izolační pásky</t>
  </si>
  <si>
    <t>PV 2310009</t>
  </si>
  <si>
    <t>Vařič + toustovač</t>
  </si>
  <si>
    <t>PV 2310004</t>
  </si>
  <si>
    <t>Léky</t>
  </si>
  <si>
    <t>PV 2310014</t>
  </si>
  <si>
    <t>PF 2301009</t>
  </si>
  <si>
    <t>Střední škola polytechnická</t>
  </si>
  <si>
    <t>Pronájem SŠP kanceláře  01/2023</t>
  </si>
  <si>
    <t>PF 2302012</t>
  </si>
  <si>
    <t>Pronájem SŠP kanceláře  02/2023</t>
  </si>
  <si>
    <t>PF 2303025</t>
  </si>
  <si>
    <t>Pronájem SŠP kanceláře  03/2023</t>
  </si>
  <si>
    <t>PF 2304022</t>
  </si>
  <si>
    <t>Pronájem SŠP kanceláře  04/2023</t>
  </si>
  <si>
    <t>PF 2305029</t>
  </si>
  <si>
    <t>Pronájem SŠP kanceláře  05/2023</t>
  </si>
  <si>
    <t>PF2306013</t>
  </si>
  <si>
    <t>Pronájem SŠP kanceláře  06/2023</t>
  </si>
  <si>
    <t>PF2307011</t>
  </si>
  <si>
    <t>Pronájem kanceláře 07/2023</t>
  </si>
  <si>
    <t>PF 2308016</t>
  </si>
  <si>
    <t>Pronájem kanceláře 08/2023</t>
  </si>
  <si>
    <t>PF 2309035</t>
  </si>
  <si>
    <t>Pronájem kanceláře 09/2023</t>
  </si>
  <si>
    <t>PF 2310024</t>
  </si>
  <si>
    <t>Pronájem kanceláře 10/2023</t>
  </si>
  <si>
    <t>PF 2311018</t>
  </si>
  <si>
    <t>Pronájem kanceláře 11/2023</t>
  </si>
  <si>
    <t>PF 2312023</t>
  </si>
  <si>
    <t>Pronájem kanceláře 12/2023</t>
  </si>
  <si>
    <t>Strana 49</t>
  </si>
  <si>
    <t>5031</t>
  </si>
  <si>
    <t>PF 2301004</t>
  </si>
  <si>
    <t>1. SC Vítkovice z. s.</t>
  </si>
  <si>
    <t>Strana 50</t>
  </si>
  <si>
    <t>5032</t>
  </si>
  <si>
    <t>PF 2311015</t>
  </si>
  <si>
    <t>Český florbal s.r.o.</t>
  </si>
  <si>
    <t>Časopis Media guide</t>
  </si>
  <si>
    <t>PF 2309008</t>
  </si>
  <si>
    <t>12.09.2023</t>
  </si>
  <si>
    <t>Videoplatforma</t>
  </si>
  <si>
    <t>PF2306025</t>
  </si>
  <si>
    <t>29.06.2023</t>
  </si>
  <si>
    <t xml:space="preserve">Startovné </t>
  </si>
  <si>
    <t>PF2307014</t>
  </si>
  <si>
    <t>518400</t>
  </si>
  <si>
    <t>FIO0010005</t>
  </si>
  <si>
    <t>Hostování</t>
  </si>
  <si>
    <t>FIO0010036</t>
  </si>
  <si>
    <t>FIO0010048</t>
  </si>
  <si>
    <t>FIO0010049</t>
  </si>
  <si>
    <t>Licence</t>
  </si>
  <si>
    <t>FIO0010089</t>
  </si>
  <si>
    <t>Střídavé hostování</t>
  </si>
  <si>
    <t>FIO0020063</t>
  </si>
  <si>
    <t>Platba licence</t>
  </si>
  <si>
    <t>FIO0020075</t>
  </si>
  <si>
    <t>13.02.2023</t>
  </si>
  <si>
    <t>Platba za hostování</t>
  </si>
  <si>
    <t>FIO0020118</t>
  </si>
  <si>
    <t>16.02.2023</t>
  </si>
  <si>
    <t>Platba licence rozhodčí</t>
  </si>
  <si>
    <t>FIO0030094</t>
  </si>
  <si>
    <t>22.03.2023</t>
  </si>
  <si>
    <t>FIO0070084</t>
  </si>
  <si>
    <t>14.07.2023</t>
  </si>
  <si>
    <t>hostování a přestup</t>
  </si>
  <si>
    <t>FIO0070123</t>
  </si>
  <si>
    <t>21.07.2023</t>
  </si>
  <si>
    <t>Přestup Vatter</t>
  </si>
  <si>
    <t>FIO0070126</t>
  </si>
  <si>
    <t>23.07.2023</t>
  </si>
  <si>
    <t>Hostování a přestup</t>
  </si>
  <si>
    <t>FIO0070150</t>
  </si>
  <si>
    <t>Přestup a hostování</t>
  </si>
  <si>
    <t>FIO0070160</t>
  </si>
  <si>
    <t>FIO0080008</t>
  </si>
  <si>
    <t>04.08.2023</t>
  </si>
  <si>
    <t>Platba za přestupy</t>
  </si>
  <si>
    <t>FIO0080009</t>
  </si>
  <si>
    <t>05.08.2023</t>
  </si>
  <si>
    <t>Platba licence trenérů</t>
  </si>
  <si>
    <t>FIO0080013</t>
  </si>
  <si>
    <t>přestup</t>
  </si>
  <si>
    <t>FIO0080017</t>
  </si>
  <si>
    <t>Platba licencí</t>
  </si>
  <si>
    <t>FIO0080047</t>
  </si>
  <si>
    <t>11.08.2023</t>
  </si>
  <si>
    <t>Platba za přestup</t>
  </si>
  <si>
    <t>FIO0080077</t>
  </si>
  <si>
    <t>Přestupy</t>
  </si>
  <si>
    <t>FIO0080091</t>
  </si>
  <si>
    <t>Licence a hostování</t>
  </si>
  <si>
    <t>FIO0080093</t>
  </si>
  <si>
    <t>platba licence</t>
  </si>
  <si>
    <t>FIO0080110</t>
  </si>
  <si>
    <t>24.08.2023</t>
  </si>
  <si>
    <t>Platba licenci</t>
  </si>
  <si>
    <t>FIO0080112</t>
  </si>
  <si>
    <t>FIO0080113</t>
  </si>
  <si>
    <t>FIO0090008</t>
  </si>
  <si>
    <t>05.09.2023</t>
  </si>
  <si>
    <t>FIO0090009</t>
  </si>
  <si>
    <t>FIO0090010</t>
  </si>
  <si>
    <t>06.09.2023</t>
  </si>
  <si>
    <t>Školení a licence</t>
  </si>
  <si>
    <t>FIO0090012</t>
  </si>
  <si>
    <t>Licence a střídavý start</t>
  </si>
  <si>
    <t>FIO0090013</t>
  </si>
  <si>
    <t>07.09.2023</t>
  </si>
  <si>
    <t>FIO0090015</t>
  </si>
  <si>
    <t>FIO0090016</t>
  </si>
  <si>
    <t>FIO0090017</t>
  </si>
  <si>
    <t>08.09.2023</t>
  </si>
  <si>
    <t>FIO0090018</t>
  </si>
  <si>
    <t>FIO0090091</t>
  </si>
  <si>
    <t>platba licence rozhodčí</t>
  </si>
  <si>
    <t>FIO0090131</t>
  </si>
  <si>
    <t>Licence rozhodčí</t>
  </si>
  <si>
    <t>FIO0090158</t>
  </si>
  <si>
    <t>FIO0090246</t>
  </si>
  <si>
    <t>FIO0090275</t>
  </si>
  <si>
    <t>FIO0100019</t>
  </si>
  <si>
    <t>FIO0100054</t>
  </si>
  <si>
    <t>platba hostování</t>
  </si>
  <si>
    <t>FIO0100057</t>
  </si>
  <si>
    <t>FIO0100092</t>
  </si>
  <si>
    <t>FIO0100181</t>
  </si>
  <si>
    <t>FIO0100213</t>
  </si>
  <si>
    <t>02.11.2023</t>
  </si>
  <si>
    <t>FIO0110107</t>
  </si>
  <si>
    <t>Strana 51</t>
  </si>
  <si>
    <t>FIO0110141</t>
  </si>
  <si>
    <t>FIO0110176</t>
  </si>
  <si>
    <t>platba za hostování</t>
  </si>
  <si>
    <t>FIO0120002</t>
  </si>
  <si>
    <t>02.12.2023</t>
  </si>
  <si>
    <t>FIO0120012</t>
  </si>
  <si>
    <t>05.12.2023</t>
  </si>
  <si>
    <t>FIO0120041</t>
  </si>
  <si>
    <t>08.12.2023</t>
  </si>
  <si>
    <t>Strana 52</t>
  </si>
  <si>
    <t>5051</t>
  </si>
  <si>
    <t>PF 2301002</t>
  </si>
  <si>
    <t>OLC Systems s.r.o.</t>
  </si>
  <si>
    <t>Poskytnutí dat z www.ceskyflorbal.cz</t>
  </si>
  <si>
    <t>D 2301002</t>
  </si>
  <si>
    <t>eos servisní poplatek</t>
  </si>
  <si>
    <t>PF 2301001</t>
  </si>
  <si>
    <t>Hosting k doméně FBSOLOMOUC.CZ a roční poplatek za doménu.</t>
  </si>
  <si>
    <t>PF 2305003</t>
  </si>
  <si>
    <t>eos media s.r.o.</t>
  </si>
  <si>
    <t>Klubový web</t>
  </si>
  <si>
    <t>PF 2308023</t>
  </si>
  <si>
    <t>Strana 53</t>
  </si>
  <si>
    <t>5061</t>
  </si>
  <si>
    <t>PV 2306003</t>
  </si>
  <si>
    <t>PF 2303010</t>
  </si>
  <si>
    <t>20.03.2023</t>
  </si>
  <si>
    <t>Oprava poškozených dveří</t>
  </si>
  <si>
    <t>PF 2301010</t>
  </si>
  <si>
    <t>Pronájem sportovní plochy 01/2023</t>
  </si>
  <si>
    <t>PF 2301011</t>
  </si>
  <si>
    <t>Střední škola zemědělská a zahradnická, Olomouc, U Hradiska 4</t>
  </si>
  <si>
    <t>Pronájem tělocvičny 01/2023</t>
  </si>
  <si>
    <t>PF 2301013</t>
  </si>
  <si>
    <t>Základní škola  Olomouc, tř. Spojenců 8, příspěvková organizace</t>
  </si>
  <si>
    <t>PF 2301016</t>
  </si>
  <si>
    <t>Slovanské gymnázium</t>
  </si>
  <si>
    <t>Pronájem sportovní haly za 01/2023</t>
  </si>
  <si>
    <t>PF 2301021</t>
  </si>
  <si>
    <t>Obchodní akademie, Olomouc, tř. Spojenců 11</t>
  </si>
  <si>
    <t>PF 2301022</t>
  </si>
  <si>
    <t>Gymnázium, Olomouc, Čajkovského 9</t>
  </si>
  <si>
    <t>Pronájem sportovní haly 01/2023</t>
  </si>
  <si>
    <t>PF 2302009</t>
  </si>
  <si>
    <t>24.02.2023</t>
  </si>
  <si>
    <t>Pronájem tělocvičny 02/2023</t>
  </si>
  <si>
    <t>PF 2302010</t>
  </si>
  <si>
    <t>PF 2302011</t>
  </si>
  <si>
    <t>Pronájem sportovní plochy 02/2023</t>
  </si>
  <si>
    <t>PF 2302013</t>
  </si>
  <si>
    <t>PF 2302021</t>
  </si>
  <si>
    <t>Pronájem sportovní haly 02/2023</t>
  </si>
  <si>
    <t>PF 2302022</t>
  </si>
  <si>
    <t>Pronájem sportovní haly za 02/2023</t>
  </si>
  <si>
    <t>PF 2303020</t>
  </si>
  <si>
    <t>Pronájem tělocvičny 03/2023</t>
  </si>
  <si>
    <t>PF 2303021</t>
  </si>
  <si>
    <t>Pronájem sportovní haly 03/2023</t>
  </si>
  <si>
    <t>PF 2303022</t>
  </si>
  <si>
    <t>PF 2303023</t>
  </si>
  <si>
    <t>PF 2303024</t>
  </si>
  <si>
    <t>Pronájem sportovní haly za 03/2023</t>
  </si>
  <si>
    <t>PF 2303026</t>
  </si>
  <si>
    <t>Pronájem sportovní plochy 03/2023</t>
  </si>
  <si>
    <t>PF 2304011</t>
  </si>
  <si>
    <t>Pronájem sportovní haly za 04/2023</t>
  </si>
  <si>
    <t>PF 2304012</t>
  </si>
  <si>
    <t>Pronájem tělocvičny 04/2023</t>
  </si>
  <si>
    <t>PF 2304013</t>
  </si>
  <si>
    <t>PF 2304021</t>
  </si>
  <si>
    <t>Pronájem sportovní plochy 04/2023</t>
  </si>
  <si>
    <t>PF 2304023</t>
  </si>
  <si>
    <t>PF 2304024</t>
  </si>
  <si>
    <t>Pronájem sportovní haly 04/2023</t>
  </si>
  <si>
    <t>PF 2305016</t>
  </si>
  <si>
    <t>Pronájem tělocvičny 05/2023</t>
  </si>
  <si>
    <t>PF 2305026</t>
  </si>
  <si>
    <t>PF 2305027</t>
  </si>
  <si>
    <t>Pronájem sportovní haly 05/2023</t>
  </si>
  <si>
    <t>PF 2305028</t>
  </si>
  <si>
    <t>Pronájem sportovní plochy 05/2023</t>
  </si>
  <si>
    <t>PF2306007</t>
  </si>
  <si>
    <t>Pronájem tělocvičny 06/2023</t>
  </si>
  <si>
    <t>PF2306001</t>
  </si>
  <si>
    <t>Pronájem sportovní haly 06/2023</t>
  </si>
  <si>
    <t>PF2306002</t>
  </si>
  <si>
    <t>Pronájem sportovní plochy 06/2023</t>
  </si>
  <si>
    <t>PF2306017</t>
  </si>
  <si>
    <t>PF 2308021</t>
  </si>
  <si>
    <t>Pronájem sportovní haly 08/2023</t>
  </si>
  <si>
    <t>PF 2308024</t>
  </si>
  <si>
    <t>Pronájem sportovní haly 07/2023</t>
  </si>
  <si>
    <t>PF 2309020</t>
  </si>
  <si>
    <t>Pronájem sportovní haly za 09/2023</t>
  </si>
  <si>
    <t>PF 2309022</t>
  </si>
  <si>
    <t>Pronájem tělocvičny 09/2023</t>
  </si>
  <si>
    <t>PF 2309028</t>
  </si>
  <si>
    <t>PF 2309036</t>
  </si>
  <si>
    <t>Pronájem sportovní plochy 09/2023</t>
  </si>
  <si>
    <t>PF 2309037</t>
  </si>
  <si>
    <t>Pronájem sportovní haly 09/2023</t>
  </si>
  <si>
    <t>PF 2309038</t>
  </si>
  <si>
    <t>PF 2310013</t>
  </si>
  <si>
    <t>Pronájem sportovní haly za 10/2023</t>
  </si>
  <si>
    <t>PF 2310014</t>
  </si>
  <si>
    <t>Pronájem tělocvičny 10/2023</t>
  </si>
  <si>
    <t>PF 2310025</t>
  </si>
  <si>
    <t>Pronájem sportovní plochy 10/2023</t>
  </si>
  <si>
    <t>PF 2310026</t>
  </si>
  <si>
    <t>PF 2310028</t>
  </si>
  <si>
    <t>PF 2310029</t>
  </si>
  <si>
    <t>Pronájem sportovní haly 10/2023</t>
  </si>
  <si>
    <t>PF 2311012</t>
  </si>
  <si>
    <t>Pronájem sportovní plochy 11/2023</t>
  </si>
  <si>
    <t>PF 2311014</t>
  </si>
  <si>
    <t>Pronájem tělocvičny 11/2023</t>
  </si>
  <si>
    <t>PF 2311017</t>
  </si>
  <si>
    <t>PF 2311019</t>
  </si>
  <si>
    <t>Pronájem sportovní haly za 11/2023</t>
  </si>
  <si>
    <t>PF 2311023</t>
  </si>
  <si>
    <t>PF 2311024</t>
  </si>
  <si>
    <t>Pronájem sportovní haly 11/2023</t>
  </si>
  <si>
    <t>PF 2312010</t>
  </si>
  <si>
    <t>19.12.2023</t>
  </si>
  <si>
    <t>Pronájem sportovní haly za 12/2023</t>
  </si>
  <si>
    <t>PF 2312012</t>
  </si>
  <si>
    <t>22.12.2023</t>
  </si>
  <si>
    <t>Pronájem tělocvičny 12/2023</t>
  </si>
  <si>
    <t>Strana 54</t>
  </si>
  <si>
    <t>PF 2312013</t>
  </si>
  <si>
    <t>28.12.2023</t>
  </si>
  <si>
    <t>PF 2312019</t>
  </si>
  <si>
    <t>PF 2312020</t>
  </si>
  <si>
    <t>Pronájem sportovní haly 12/2023</t>
  </si>
  <si>
    <t>PF 2312022</t>
  </si>
  <si>
    <t>Pronájem sportovní plochy 12/2023</t>
  </si>
  <si>
    <t>PF 2310001</t>
  </si>
  <si>
    <t>Pronájem neb.prostor 10/2023</t>
  </si>
  <si>
    <t>Strana 55</t>
  </si>
  <si>
    <t>5071</t>
  </si>
  <si>
    <t>VF2301014</t>
  </si>
  <si>
    <t>Statutární město Olomouc</t>
  </si>
  <si>
    <t>Fakturujeme Vám služby spojené s propagací města Olomouce v rámci extraligové soutěže a ostatníc</t>
  </si>
  <si>
    <t>VF2302003</t>
  </si>
  <si>
    <t>Fakturujeme vám organizační zajištění utkání Extraligy žen, která oddíl uspořádal od začátku kal</t>
  </si>
  <si>
    <t>VF2302005</t>
  </si>
  <si>
    <t xml:space="preserve">Fakturujeme vám organizační zajištění utkání Extraligy žen, která oddíl uspořádal v kalendářním </t>
  </si>
  <si>
    <t>VF2302006</t>
  </si>
  <si>
    <t>04.05.2023</t>
  </si>
  <si>
    <t>Fakturujeme vám zvýšené náklady na pořadatelskou službu při zajištění utkání v části sezóny spad</t>
  </si>
  <si>
    <t>VF2302018</t>
  </si>
  <si>
    <t>Fakturujeme vám na základě Smlouvy o spolupráci "Komplexní rozvoj oddílů a florbalu" za poskytnu</t>
  </si>
  <si>
    <t>VF2302020</t>
  </si>
  <si>
    <t>Fakturujeme Vám za vyplácení cestovních náhrad v soutěžích OL a MS kraje za rok 2023_x000D_
(částka je</t>
  </si>
  <si>
    <t>VF2302021</t>
  </si>
  <si>
    <t>07.12.2023</t>
  </si>
  <si>
    <t>Fakturujeme vám organizační zajištění utkání ČEZ Extraligy žen, která oddíl uspořádal od začátku</t>
  </si>
  <si>
    <t>VF2302023</t>
  </si>
  <si>
    <t>Fakturujeme Vám na základě rámcové smlouvy podepsané dne 14.12.2023 za podíl na vzdělávání v obd</t>
  </si>
  <si>
    <t>VF2302024</t>
  </si>
  <si>
    <t>Fakturujeme Vám na základě smlouvy o spolupráci podepsané dne 1.12.2023.</t>
  </si>
  <si>
    <t>VF2302025</t>
  </si>
  <si>
    <t>Fakturujeme Vám na základě smlouvy o spolupráci.</t>
  </si>
  <si>
    <t>Strana 56</t>
  </si>
  <si>
    <t>6011</t>
  </si>
  <si>
    <t>PF 2302001</t>
  </si>
  <si>
    <t>Sportovní materiál - Zerzánová</t>
  </si>
  <si>
    <t>PF 2302002</t>
  </si>
  <si>
    <t>PF 2302003</t>
  </si>
  <si>
    <t>Sportovní materiál - hokejka</t>
  </si>
  <si>
    <t>PF 2302008</t>
  </si>
  <si>
    <t>Sportovní materiál</t>
  </si>
  <si>
    <t>PF 2303004</t>
  </si>
  <si>
    <t>PF 2303009</t>
  </si>
  <si>
    <t>17.03.2023</t>
  </si>
  <si>
    <t>PF 2303016</t>
  </si>
  <si>
    <t>PF 2304004</t>
  </si>
  <si>
    <t>17.04.2023</t>
  </si>
  <si>
    <t>PF 2304006</t>
  </si>
  <si>
    <t>501150</t>
  </si>
  <si>
    <t>Sportovní materiál k prodeji</t>
  </si>
  <si>
    <t>PF 2301007</t>
  </si>
  <si>
    <t>PF 2302004</t>
  </si>
  <si>
    <t>Ponožky</t>
  </si>
  <si>
    <t>PF 2302007</t>
  </si>
  <si>
    <t>PF 2303012</t>
  </si>
  <si>
    <t>SPORTISIMO s.r.o.</t>
  </si>
  <si>
    <t>21.03.2023</t>
  </si>
  <si>
    <t>mikiny,tepláky</t>
  </si>
  <si>
    <t>PF 2304001</t>
  </si>
  <si>
    <t>Mgr. Marek Liška</t>
  </si>
  <si>
    <t>Tričko Givova</t>
  </si>
  <si>
    <t>PF 2305001</t>
  </si>
  <si>
    <t>PF 2305031</t>
  </si>
  <si>
    <t>PF 2305017</t>
  </si>
  <si>
    <t>PF2306004</t>
  </si>
  <si>
    <t>Šortky fanshop</t>
  </si>
  <si>
    <t>PF2306005</t>
  </si>
  <si>
    <t>Šortky, ponožky fanshop</t>
  </si>
  <si>
    <t>PF2306006</t>
  </si>
  <si>
    <t>26.06.2023</t>
  </si>
  <si>
    <t>PF 2308032</t>
  </si>
  <si>
    <t>Sockshire s.r.o.</t>
  </si>
  <si>
    <t>PF 2308033</t>
  </si>
  <si>
    <t>Fanshop</t>
  </si>
  <si>
    <t>PF 2308034</t>
  </si>
  <si>
    <t>PF 2309010</t>
  </si>
  <si>
    <t>Ing. Česlav Filipiak</t>
  </si>
  <si>
    <t>PF 2309033</t>
  </si>
  <si>
    <t>Sport.materiál</t>
  </si>
  <si>
    <t>PF 2309034</t>
  </si>
  <si>
    <t>PF 2310021</t>
  </si>
  <si>
    <t>PF 2310007</t>
  </si>
  <si>
    <t>PF 2310020</t>
  </si>
  <si>
    <t>PLETEX s.r.o.</t>
  </si>
  <si>
    <t>Kulichy</t>
  </si>
  <si>
    <t>PF 2310008</t>
  </si>
  <si>
    <t>PF 2310009</t>
  </si>
  <si>
    <t>Jovana Málek Taševská</t>
  </si>
  <si>
    <t>PF 2311002</t>
  </si>
  <si>
    <t>PV 2311001</t>
  </si>
  <si>
    <t>Trika Fatpipe</t>
  </si>
  <si>
    <t>PF 2311007</t>
  </si>
  <si>
    <t>PF 2311011</t>
  </si>
  <si>
    <t>Prodej materiálu</t>
  </si>
  <si>
    <t>PF 2312003</t>
  </si>
  <si>
    <t>501850</t>
  </si>
  <si>
    <t>Reklamní předměty, trika s potiskem</t>
  </si>
  <si>
    <t>PF 2303011</t>
  </si>
  <si>
    <t>Lion Sport s.r.o.</t>
  </si>
  <si>
    <t>potisk dresů</t>
  </si>
  <si>
    <t>PF 2304009</t>
  </si>
  <si>
    <t>RISORIA plus s.r.o.</t>
  </si>
  <si>
    <t>Trika Basic, potisk</t>
  </si>
  <si>
    <t>PF 2305004</t>
  </si>
  <si>
    <t>PF 2305011</t>
  </si>
  <si>
    <t>PF 2309009</t>
  </si>
  <si>
    <t>Potisk</t>
  </si>
  <si>
    <t>PF 2309019</t>
  </si>
  <si>
    <t>Pivovary CZ Group a.s.</t>
  </si>
  <si>
    <t>518820</t>
  </si>
  <si>
    <t>Marketingové služby</t>
  </si>
  <si>
    <t>PF 2301020</t>
  </si>
  <si>
    <t>Fanshop 01/2023</t>
  </si>
  <si>
    <t>PF 2302015</t>
  </si>
  <si>
    <t>Fanshop 02/2023</t>
  </si>
  <si>
    <t>PF 2303018</t>
  </si>
  <si>
    <t>Fanshop 03/2023</t>
  </si>
  <si>
    <t>PF 2304014</t>
  </si>
  <si>
    <t>Fanshop 04/2023</t>
  </si>
  <si>
    <t>Strana 57</t>
  </si>
  <si>
    <t>PF 2305024</t>
  </si>
  <si>
    <t>Fanshop 05/2023</t>
  </si>
  <si>
    <t>601100</t>
  </si>
  <si>
    <t>Tržby za prodej vybavení</t>
  </si>
  <si>
    <t>FIO0010177</t>
  </si>
  <si>
    <t>FIO0050068</t>
  </si>
  <si>
    <t>brýle elévky F-P</t>
  </si>
  <si>
    <t>FIO0050263</t>
  </si>
  <si>
    <t>FIO0110006</t>
  </si>
  <si>
    <t>FIO0110154</t>
  </si>
  <si>
    <t>dub ponozky</t>
  </si>
  <si>
    <t>FIO0110181</t>
  </si>
  <si>
    <t>FIO0120143</t>
  </si>
  <si>
    <t>FIO0040022</t>
  </si>
  <si>
    <t>Strana 58</t>
  </si>
  <si>
    <t>6021</t>
  </si>
  <si>
    <t>PF 2301024</t>
  </si>
  <si>
    <t>Sportovní materiál - dobropis</t>
  </si>
  <si>
    <t>PF 2301005</t>
  </si>
  <si>
    <t>PF 2302005</t>
  </si>
  <si>
    <t>PF 2302006</t>
  </si>
  <si>
    <t>KÖCK - SPORT  s.r.o.</t>
  </si>
  <si>
    <t>Sportovní materiál - mety</t>
  </si>
  <si>
    <t>PF 2304002</t>
  </si>
  <si>
    <t>Aleš Benda</t>
  </si>
  <si>
    <t>13.04.2023</t>
  </si>
  <si>
    <t>Pohár</t>
  </si>
  <si>
    <t>PF2306003</t>
  </si>
  <si>
    <t>07.06.2023</t>
  </si>
  <si>
    <t>Medaile</t>
  </si>
  <si>
    <t>PF2306026</t>
  </si>
  <si>
    <t>19.06.2023</t>
  </si>
  <si>
    <t>PF2307004</t>
  </si>
  <si>
    <t>DECASPORT s.r.o.</t>
  </si>
  <si>
    <t>18.07.2023</t>
  </si>
  <si>
    <t>Sportovní materiál - předsíň</t>
  </si>
  <si>
    <t>PF 2309002</t>
  </si>
  <si>
    <t>NECY s.r.o.</t>
  </si>
  <si>
    <t>Sportovní materiál - míčky</t>
  </si>
  <si>
    <t>PF 2309007</t>
  </si>
  <si>
    <t>PF 2309012</t>
  </si>
  <si>
    <t>PF 2309039</t>
  </si>
  <si>
    <t>PF 2309040</t>
  </si>
  <si>
    <t>PF 2309013</t>
  </si>
  <si>
    <t>PF 2309014</t>
  </si>
  <si>
    <t>PF 2309016</t>
  </si>
  <si>
    <t>PF 2310003</t>
  </si>
  <si>
    <t>TEMPISH s.r.o.</t>
  </si>
  <si>
    <t>PF 2310005</t>
  </si>
  <si>
    <t>PF 2310006</t>
  </si>
  <si>
    <t>PV 2311002</t>
  </si>
  <si>
    <t>Poháry</t>
  </si>
  <si>
    <t>PV 2311003</t>
  </si>
  <si>
    <t>PF 2311005</t>
  </si>
  <si>
    <t>08.11.2023</t>
  </si>
  <si>
    <t>PF 2311010</t>
  </si>
  <si>
    <t>PF 2312008</t>
  </si>
  <si>
    <t>18.12.2023</t>
  </si>
  <si>
    <t>PF 2301025</t>
  </si>
  <si>
    <t>PF 2303033</t>
  </si>
  <si>
    <t>PF2306012</t>
  </si>
  <si>
    <t>Lahve</t>
  </si>
  <si>
    <t>PF 2308009</t>
  </si>
  <si>
    <t>Šortky</t>
  </si>
  <si>
    <t>PF 2308010</t>
  </si>
  <si>
    <t>PF 2309029</t>
  </si>
  <si>
    <t>PF 2309003</t>
  </si>
  <si>
    <t>PF 2309004</t>
  </si>
  <si>
    <t>PF 2309005</t>
  </si>
  <si>
    <t>PF 2309006</t>
  </si>
  <si>
    <t>PF 2309011</t>
  </si>
  <si>
    <t>PF 2310002</t>
  </si>
  <si>
    <t>PF 2310004</t>
  </si>
  <si>
    <t>PV 2302004</t>
  </si>
  <si>
    <t>03.02.2023</t>
  </si>
  <si>
    <t>Poháry a medaile</t>
  </si>
  <si>
    <t>PV 2302008</t>
  </si>
  <si>
    <t>Nožky na skříňku</t>
  </si>
  <si>
    <t>PV 2311009</t>
  </si>
  <si>
    <t>Karabiny</t>
  </si>
  <si>
    <t>PF2306023</t>
  </si>
  <si>
    <t>Internet Mall, a.s.</t>
  </si>
  <si>
    <t>Lednička</t>
  </si>
  <si>
    <t>PF 2308035</t>
  </si>
  <si>
    <t>GRAPO s.r.o.</t>
  </si>
  <si>
    <t>Propagační materiály</t>
  </si>
  <si>
    <t>PF 2309030</t>
  </si>
  <si>
    <t>GOL SPORT s.r.o.</t>
  </si>
  <si>
    <t>PF 2309031</t>
  </si>
  <si>
    <t>PF 2310022</t>
  </si>
  <si>
    <t>PF 2311006</t>
  </si>
  <si>
    <t>PF 2311027</t>
  </si>
  <si>
    <t>PF 2312011</t>
  </si>
  <si>
    <t>PF 2302023</t>
  </si>
  <si>
    <t>PF 2302024</t>
  </si>
  <si>
    <t>PF 2302025</t>
  </si>
  <si>
    <t>PF 2302026</t>
  </si>
  <si>
    <t>PF 2302027</t>
  </si>
  <si>
    <t>PF 2302028</t>
  </si>
  <si>
    <t>PF 2302029</t>
  </si>
  <si>
    <t>PF 2302030</t>
  </si>
  <si>
    <t>PF 2302031</t>
  </si>
  <si>
    <t>PF 2302032</t>
  </si>
  <si>
    <t>PF 2301006</t>
  </si>
  <si>
    <t>Limonády</t>
  </si>
  <si>
    <t>PF 2303001</t>
  </si>
  <si>
    <t>PF 2303007</t>
  </si>
  <si>
    <t>09.03.2023</t>
  </si>
  <si>
    <t>PF 2304003</t>
  </si>
  <si>
    <t>PF 2308004</t>
  </si>
  <si>
    <t>PF 2311009</t>
  </si>
  <si>
    <t>PV 2305001</t>
  </si>
  <si>
    <t>Letáky</t>
  </si>
  <si>
    <t>PP 2303001</t>
  </si>
  <si>
    <t>Vstupenky superfinále</t>
  </si>
  <si>
    <t>Kdo</t>
  </si>
  <si>
    <t>Co</t>
  </si>
  <si>
    <t>Částka</t>
  </si>
  <si>
    <t>Cin</t>
  </si>
  <si>
    <t>Střediska</t>
  </si>
  <si>
    <t>Muži A</t>
  </si>
  <si>
    <t>Muži B</t>
  </si>
  <si>
    <t>Muži C</t>
  </si>
  <si>
    <t>Junioři</t>
  </si>
  <si>
    <t>Dorostenci</t>
  </si>
  <si>
    <t>Starší žáci</t>
  </si>
  <si>
    <t>Starší žáci B</t>
  </si>
  <si>
    <t>Mladší žáci</t>
  </si>
  <si>
    <t>Elévové</t>
  </si>
  <si>
    <t>Přípravka</t>
  </si>
  <si>
    <t>Ženy A</t>
  </si>
  <si>
    <t>Ženy B</t>
  </si>
  <si>
    <t>Juniorky</t>
  </si>
  <si>
    <t>Dorostenky</t>
  </si>
  <si>
    <t>Starší žákyně</t>
  </si>
  <si>
    <t>Mladší žákyně</t>
  </si>
  <si>
    <t>Elévky</t>
  </si>
  <si>
    <t>Soustředění Jeseník</t>
  </si>
  <si>
    <t>Soustředění Hluk</t>
  </si>
  <si>
    <t>Soustředění Prostějov</t>
  </si>
  <si>
    <t>Příměstský tábor</t>
  </si>
  <si>
    <t>Název</t>
  </si>
  <si>
    <t>Celkový součet</t>
  </si>
  <si>
    <t>Celkem</t>
  </si>
  <si>
    <t>Turnaj Švédsko ženy</t>
  </si>
  <si>
    <t>Turnaj Gothia</t>
  </si>
  <si>
    <t>Kroužky</t>
  </si>
  <si>
    <t>Skills Camp</t>
  </si>
  <si>
    <t>Výkonný výbor</t>
  </si>
  <si>
    <t>Kancelář</t>
  </si>
  <si>
    <t>Poplatky ČF</t>
  </si>
  <si>
    <t>Platby EOS</t>
  </si>
  <si>
    <t>Haly</t>
  </si>
  <si>
    <t>Materiál</t>
  </si>
  <si>
    <t>Suma</t>
  </si>
  <si>
    <t>Číslo</t>
  </si>
  <si>
    <t>Muži</t>
  </si>
  <si>
    <t>Ženy</t>
  </si>
  <si>
    <t>Akce</t>
  </si>
  <si>
    <t>Šef. a sekr.</t>
  </si>
  <si>
    <t>Klub</t>
  </si>
  <si>
    <t>Středisko</t>
  </si>
  <si>
    <t>Hummel</t>
  </si>
  <si>
    <t>Prague Games</t>
  </si>
  <si>
    <t>Popisky řádků</t>
  </si>
  <si>
    <t>Dne: 31.12.2023</t>
  </si>
  <si>
    <t>543000</t>
  </si>
  <si>
    <t>Odpis nedobytné pohledávky</t>
  </si>
  <si>
    <t>Jeseník - strava + ost.mat.</t>
  </si>
  <si>
    <t>Dotace Český florbal</t>
  </si>
  <si>
    <t>PF 2312026</t>
  </si>
  <si>
    <t>Extrabonus 2023</t>
  </si>
  <si>
    <t>602400</t>
  </si>
  <si>
    <t>Pronájem mantinely</t>
  </si>
  <si>
    <t>VF2301019</t>
  </si>
  <si>
    <t xml:space="preserve">Fakturujeme Vám pronájem mantinelů_x000D_
</t>
  </si>
  <si>
    <t>PF 2309041</t>
  </si>
  <si>
    <t>Poplatky Český florbal</t>
  </si>
  <si>
    <t>Marketingové plnění - pivo</t>
  </si>
  <si>
    <t>Pivo - marketingové plnění</t>
  </si>
  <si>
    <t>7011</t>
  </si>
  <si>
    <t>19.04.2023</t>
  </si>
  <si>
    <t>FIO0040109</t>
  </si>
  <si>
    <t>dar jiří hlavizna</t>
  </si>
  <si>
    <t>xxx</t>
  </si>
  <si>
    <t>Neurčeno</t>
  </si>
  <si>
    <t>12579</t>
  </si>
  <si>
    <t>0</t>
  </si>
  <si>
    <t>Neznámý</t>
  </si>
  <si>
    <t>Součet z Částka</t>
  </si>
  <si>
    <t>Součet z Kladná</t>
  </si>
  <si>
    <t>Příjmy</t>
  </si>
  <si>
    <t>Dotace</t>
  </si>
  <si>
    <t>Rozpočet</t>
  </si>
  <si>
    <t>Příspěvky</t>
  </si>
  <si>
    <t>Ostatní</t>
  </si>
  <si>
    <t>Výdaje</t>
  </si>
  <si>
    <t>Odměny</t>
  </si>
  <si>
    <t>Pokrytí ztráty 2022</t>
  </si>
  <si>
    <t>Rezerva</t>
  </si>
  <si>
    <t>Výsledek</t>
  </si>
  <si>
    <t>5011-Výkonný výbor</t>
  </si>
  <si>
    <t>Členské příspěvky</t>
  </si>
  <si>
    <t>DPP</t>
  </si>
  <si>
    <t>Marketingová smlouva extraliga</t>
  </si>
  <si>
    <t>Moravian Cup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</si>
</sst>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č&quot;;[Red]\-#,##0.00\ &quot;Kč&quot;"/>
    <numFmt numFmtId="164" formatCode="#\ ##0.00"/>
    <numFmt numFmtId="165" formatCode="#,##0.00\ &quot;Kč&quot;"/>
  </numFmts>
  <fonts count="14" x14ac:knownFonts="1">
    <font>
      <sz val="9"/>
      <color indexed="0"/>
      <name val="Arial"/>
      <charset val="238"/>
    </font>
    <font>
      <sz val="9"/>
      <color indexed="0"/>
      <name val="Arial"/>
      <charset val="238"/>
    </font>
    <font>
      <b/>
      <sz val="14"/>
      <color indexed="18"/>
      <name val="Arial"/>
      <charset val="238"/>
    </font>
    <font>
      <b/>
      <sz val="9"/>
      <color indexed="0"/>
      <name val="Arial"/>
      <charset val="238"/>
    </font>
    <font>
      <b/>
      <sz val="12"/>
      <color indexed="0"/>
      <name val="Arial"/>
      <charset val="238"/>
    </font>
    <font>
      <b/>
      <sz val="11"/>
      <color indexed="0"/>
      <name val="Arial"/>
      <charset val="238"/>
    </font>
    <font>
      <sz val="10"/>
      <color indexed="0"/>
      <name val="Arial"/>
      <family val="2"/>
      <charset val="238"/>
    </font>
    <font>
      <sz val="10"/>
      <color indexed="0"/>
      <name val="Calibri"/>
      <family val="2"/>
      <charset val="238"/>
    </font>
    <font>
      <sz val="9"/>
      <color indexed="0"/>
      <name val="Arial"/>
      <family val="2"/>
      <charset val="238"/>
    </font>
    <font>
      <sz val="9"/>
      <color theme="1"/>
      <name val="Arial"/>
      <family val="2"/>
      <charset val="238"/>
    </font>
    <font>
      <b/>
      <sz val="9"/>
      <color theme="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9"/>
      <color rgb="FFFF000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 applyAlignment="1" applyProtection="1">
      <alignment vertical="top" readingOrder="3"/>
    </xf>
    <xf numFmtId="164" fontId="2" fillId="0" borderId="0" xfId="0" applyNumberFormat="1" applyFont="1" applyBorder="1" applyAlignment="1" applyProtection="1">
      <alignment horizontal="left" vertical="top" readingOrder="3"/>
    </xf>
    <xf numFmtId="164" fontId="1" fillId="0" borderId="0" xfId="0" applyNumberFormat="1" applyFont="1" applyBorder="1" applyAlignment="1" applyProtection="1">
      <alignment horizontal="left" vertical="top" readingOrder="3"/>
    </xf>
    <xf numFmtId="164" fontId="4" fillId="0" borderId="0" xfId="0" applyNumberFormat="1" applyFont="1" applyBorder="1" applyAlignment="1" applyProtection="1">
      <alignment horizontal="left" vertical="top" readingOrder="3"/>
    </xf>
    <xf numFmtId="164" fontId="5" fillId="0" borderId="0" xfId="0" applyNumberFormat="1" applyFont="1" applyBorder="1" applyAlignment="1" applyProtection="1">
      <alignment horizontal="left" vertical="top" readingOrder="3"/>
    </xf>
    <xf numFmtId="2" fontId="1" fillId="0" borderId="0" xfId="0" applyNumberFormat="1" applyFont="1" applyBorder="1" applyAlignment="1" applyProtection="1">
      <alignment horizontal="right" vertical="top" readingOrder="3"/>
    </xf>
    <xf numFmtId="164" fontId="1" fillId="0" borderId="1" xfId="0" applyNumberFormat="1" applyFont="1" applyBorder="1" applyAlignment="1" applyProtection="1">
      <alignment horizontal="left" vertical="top" readingOrder="3"/>
    </xf>
    <xf numFmtId="164" fontId="1" fillId="0" borderId="2" xfId="0" applyNumberFormat="1" applyFont="1" applyBorder="1" applyAlignment="1" applyProtection="1">
      <alignment horizontal="left" vertical="top" readingOrder="3"/>
    </xf>
    <xf numFmtId="164" fontId="1" fillId="0" borderId="3" xfId="0" applyNumberFormat="1" applyFont="1" applyBorder="1" applyAlignment="1" applyProtection="1">
      <alignment horizontal="left" vertical="top" readingOrder="3"/>
    </xf>
    <xf numFmtId="164" fontId="1" fillId="0" borderId="4" xfId="0" applyNumberFormat="1" applyFont="1" applyBorder="1" applyAlignment="1" applyProtection="1">
      <alignment horizontal="left" vertical="top" readingOrder="3"/>
    </xf>
    <xf numFmtId="164" fontId="3" fillId="0" borderId="1" xfId="0" applyNumberFormat="1" applyFont="1" applyBorder="1" applyAlignment="1" applyProtection="1">
      <alignment horizontal="left" vertical="top" readingOrder="3"/>
    </xf>
    <xf numFmtId="2" fontId="3" fillId="0" borderId="3" xfId="0" applyNumberFormat="1" applyFont="1" applyBorder="1" applyAlignment="1" applyProtection="1">
      <alignment horizontal="right" vertical="top" readingOrder="3"/>
    </xf>
    <xf numFmtId="0" fontId="6" fillId="0" borderId="5" xfId="0" applyFont="1" applyBorder="1" applyAlignment="1" applyProtection="1">
      <alignment wrapText="1" readingOrder="3"/>
    </xf>
    <xf numFmtId="0" fontId="7" fillId="0" borderId="5" xfId="0" applyFont="1" applyBorder="1" applyAlignment="1" applyProtection="1">
      <alignment wrapText="1" readingOrder="3"/>
    </xf>
    <xf numFmtId="0" fontId="6" fillId="0" borderId="6" xfId="0" applyFont="1" applyBorder="1" applyAlignment="1" applyProtection="1">
      <alignment wrapText="1" readingOrder="3"/>
    </xf>
    <xf numFmtId="0" fontId="6" fillId="0" borderId="7" xfId="0" applyFont="1" applyBorder="1" applyAlignment="1" applyProtection="1">
      <alignment wrapText="1" readingOrder="3"/>
    </xf>
    <xf numFmtId="0" fontId="0" fillId="0" borderId="0" xfId="0" pivotButton="1" applyAlignment="1" applyProtection="1">
      <alignment vertical="top" readingOrder="3"/>
    </xf>
    <xf numFmtId="165" fontId="0" fillId="0" borderId="0" xfId="0" applyNumberFormat="1" applyAlignment="1" applyProtection="1">
      <alignment vertical="top" readingOrder="3"/>
    </xf>
    <xf numFmtId="0" fontId="8" fillId="0" borderId="0" xfId="0" applyFont="1" applyAlignment="1" applyProtection="1">
      <alignment vertical="top" readingOrder="3"/>
    </xf>
    <xf numFmtId="0" fontId="0" fillId="0" borderId="0" xfId="0" applyAlignment="1" applyProtection="1">
      <alignment horizontal="left" vertical="top" readingOrder="3"/>
    </xf>
    <xf numFmtId="164" fontId="3" fillId="0" borderId="3" xfId="0" applyNumberFormat="1" applyFont="1" applyBorder="1" applyAlignment="1" applyProtection="1">
      <alignment horizontal="left" vertical="top" readingOrder="3"/>
    </xf>
    <xf numFmtId="164" fontId="3" fillId="0" borderId="3" xfId="0" applyNumberFormat="1" applyFont="1" applyBorder="1" applyAlignment="1" applyProtection="1">
      <alignment horizontal="right" vertical="top" readingOrder="3"/>
    </xf>
    <xf numFmtId="164" fontId="3" fillId="0" borderId="0" xfId="0" applyNumberFormat="1" applyFont="1" applyBorder="1" applyAlignment="1" applyProtection="1">
      <alignment horizontal="left" vertical="top" readingOrder="3"/>
    </xf>
    <xf numFmtId="8" fontId="0" fillId="0" borderId="0" xfId="0" applyNumberFormat="1" applyAlignment="1" applyProtection="1">
      <alignment vertical="top" readingOrder="3"/>
    </xf>
    <xf numFmtId="0" fontId="11" fillId="0" borderId="0" xfId="0" applyFont="1" applyAlignment="1" applyProtection="1">
      <alignment vertical="top" readingOrder="3"/>
    </xf>
    <xf numFmtId="8" fontId="11" fillId="0" borderId="0" xfId="0" applyNumberFormat="1" applyFont="1" applyAlignment="1" applyProtection="1">
      <alignment vertical="top" readingOrder="3"/>
    </xf>
    <xf numFmtId="0" fontId="12" fillId="0" borderId="9" xfId="0" applyFont="1" applyBorder="1" applyAlignment="1" applyProtection="1">
      <alignment vertical="top" readingOrder="3"/>
    </xf>
    <xf numFmtId="0" fontId="12" fillId="0" borderId="10" xfId="0" applyFont="1" applyBorder="1" applyAlignment="1" applyProtection="1">
      <alignment vertical="top" readingOrder="3"/>
    </xf>
    <xf numFmtId="0" fontId="12" fillId="0" borderId="8" xfId="0" applyFont="1" applyBorder="1" applyAlignment="1" applyProtection="1">
      <alignment vertical="top" readingOrder="3"/>
    </xf>
    <xf numFmtId="0" fontId="9" fillId="3" borderId="14" xfId="0" applyFont="1" applyFill="1" applyBorder="1" applyAlignment="1" applyProtection="1">
      <alignment vertical="top" readingOrder="3"/>
    </xf>
    <xf numFmtId="0" fontId="9" fillId="3" borderId="4" xfId="0" applyFont="1" applyFill="1" applyBorder="1" applyAlignment="1" applyProtection="1">
      <alignment vertical="top" readingOrder="3"/>
    </xf>
    <xf numFmtId="0" fontId="9" fillId="3" borderId="11" xfId="0" applyFont="1" applyFill="1" applyBorder="1" applyAlignment="1" applyProtection="1">
      <alignment vertical="top" readingOrder="3"/>
    </xf>
    <xf numFmtId="0" fontId="9" fillId="3" borderId="13" xfId="0" applyFont="1" applyFill="1" applyBorder="1" applyAlignment="1" applyProtection="1">
      <alignment vertical="top" readingOrder="3"/>
    </xf>
    <xf numFmtId="0" fontId="9" fillId="0" borderId="12" xfId="0" applyFont="1" applyBorder="1" applyAlignment="1" applyProtection="1">
      <alignment vertical="top" readingOrder="3"/>
    </xf>
    <xf numFmtId="0" fontId="9" fillId="0" borderId="11" xfId="0" applyFont="1" applyBorder="1" applyAlignment="1" applyProtection="1">
      <alignment vertical="top" readingOrder="3"/>
    </xf>
    <xf numFmtId="0" fontId="9" fillId="0" borderId="13" xfId="0" applyFont="1" applyBorder="1" applyAlignment="1" applyProtection="1">
      <alignment vertical="top" readingOrder="3"/>
    </xf>
    <xf numFmtId="0" fontId="9" fillId="3" borderId="12" xfId="0" applyFont="1" applyFill="1" applyBorder="1" applyAlignment="1" applyProtection="1">
      <alignment vertical="top" readingOrder="3"/>
    </xf>
    <xf numFmtId="0" fontId="9" fillId="0" borderId="11" xfId="0" applyFont="1" applyBorder="1" applyAlignment="1" applyProtection="1">
      <alignment vertical="top" wrapText="1" readingOrder="3"/>
    </xf>
    <xf numFmtId="0" fontId="9" fillId="3" borderId="11" xfId="0" applyFont="1" applyFill="1" applyBorder="1" applyAlignment="1" applyProtection="1">
      <alignment vertical="top" wrapText="1" readingOrder="3"/>
    </xf>
    <xf numFmtId="164" fontId="10" fillId="2" borderId="15" xfId="0" applyNumberFormat="1" applyFont="1" applyFill="1" applyBorder="1" applyAlignment="1" applyProtection="1">
      <alignment horizontal="left" vertical="top" readingOrder="3"/>
    </xf>
    <xf numFmtId="164" fontId="10" fillId="2" borderId="0" xfId="0" applyNumberFormat="1" applyFont="1" applyFill="1" applyBorder="1" applyAlignment="1" applyProtection="1">
      <alignment horizontal="left" vertical="top" readingOrder="3"/>
    </xf>
    <xf numFmtId="164" fontId="10" fillId="2" borderId="0" xfId="0" applyNumberFormat="1" applyFont="1" applyFill="1" applyBorder="1" applyAlignment="1" applyProtection="1">
      <alignment horizontal="right" vertical="top" readingOrder="3"/>
    </xf>
    <xf numFmtId="0" fontId="10" fillId="2" borderId="0" xfId="0" applyFont="1" applyFill="1" applyBorder="1" applyAlignment="1" applyProtection="1">
      <alignment vertical="top" readingOrder="3"/>
    </xf>
    <xf numFmtId="0" fontId="10" fillId="2" borderId="16" xfId="0" applyFont="1" applyFill="1" applyBorder="1" applyAlignment="1" applyProtection="1">
      <alignment vertical="top" readingOrder="3"/>
    </xf>
    <xf numFmtId="0" fontId="11" fillId="4" borderId="0" xfId="0" applyFont="1" applyFill="1" applyAlignment="1" applyProtection="1">
      <alignment vertical="top" readingOrder="3"/>
    </xf>
    <xf numFmtId="8" fontId="11" fillId="4" borderId="0" xfId="0" applyNumberFormat="1" applyFont="1" applyFill="1" applyAlignment="1" applyProtection="1">
      <alignment vertical="top" readingOrder="3"/>
    </xf>
    <xf numFmtId="0" fontId="11" fillId="5" borderId="0" xfId="0" applyFont="1" applyFill="1" applyAlignment="1" applyProtection="1">
      <alignment vertical="top" readingOrder="3"/>
    </xf>
    <xf numFmtId="8" fontId="11" fillId="5" borderId="0" xfId="0" applyNumberFormat="1" applyFont="1" applyFill="1" applyAlignment="1" applyProtection="1">
      <alignment vertical="top" readingOrder="3"/>
    </xf>
    <xf numFmtId="8" fontId="13" fillId="0" borderId="0" xfId="0" applyNumberFormat="1" applyFont="1" applyAlignment="1" applyProtection="1">
      <alignment vertical="top" readingOrder="3"/>
    </xf>
    <xf numFmtId="2" fontId="1" fillId="0" borderId="0" xfId="0" applyNumberFormat="1" applyFont="1" applyBorder="1" applyAlignment="1" applyProtection="1">
      <alignment horizontal="right" vertical="top" readingOrder="3"/>
    </xf>
    <xf numFmtId="0" fontId="0" fillId="0" borderId="0" xfId="0" applyAlignment="1" applyProtection="1">
      <alignment vertical="top" readingOrder="3"/>
    </xf>
    <xf numFmtId="2" fontId="3" fillId="0" borderId="0" xfId="0" applyNumberFormat="1" applyFont="1" applyBorder="1" applyAlignment="1" applyProtection="1">
      <alignment horizontal="right" vertical="top" readingOrder="3"/>
    </xf>
    <xf numFmtId="2" fontId="3" fillId="0" borderId="4" xfId="0" applyNumberFormat="1" applyFont="1" applyBorder="1" applyAlignment="1" applyProtection="1">
      <alignment horizontal="right" vertical="top" readingOrder="3"/>
    </xf>
    <xf numFmtId="164" fontId="1" fillId="0" borderId="4" xfId="0" applyNumberFormat="1" applyFont="1" applyBorder="1" applyAlignment="1" applyProtection="1">
      <alignment horizontal="left" vertical="top" readingOrder="3"/>
    </xf>
    <xf numFmtId="164" fontId="1" fillId="0" borderId="0" xfId="0" applyNumberFormat="1" applyFont="1" applyBorder="1" applyAlignment="1" applyProtection="1">
      <alignment horizontal="left" vertical="top" wrapText="1" readingOrder="3"/>
    </xf>
    <xf numFmtId="164" fontId="1" fillId="0" borderId="0" xfId="0" applyNumberFormat="1" applyFont="1" applyBorder="1" applyAlignment="1" applyProtection="1">
      <alignment horizontal="right" vertical="top" readingOrder="3"/>
    </xf>
    <xf numFmtId="164" fontId="1" fillId="0" borderId="1" xfId="0" applyNumberFormat="1" applyFont="1" applyBorder="1" applyAlignment="1" applyProtection="1">
      <alignment horizontal="right" vertical="top" readingOrder="3"/>
    </xf>
    <xf numFmtId="164" fontId="1" fillId="0" borderId="1" xfId="0" applyNumberFormat="1" applyFont="1" applyBorder="1" applyAlignment="1" applyProtection="1">
      <alignment horizontal="left" vertical="top" readingOrder="3"/>
    </xf>
    <xf numFmtId="164" fontId="3" fillId="0" borderId="3" xfId="0" applyNumberFormat="1" applyFont="1" applyBorder="1" applyAlignment="1" applyProtection="1">
      <alignment horizontal="right" vertical="top" readingOrder="3"/>
    </xf>
    <xf numFmtId="164" fontId="1" fillId="0" borderId="3" xfId="0" applyNumberFormat="1" applyFont="1" applyBorder="1" applyAlignment="1" applyProtection="1">
      <alignment horizontal="left" vertical="top" readingOrder="3"/>
    </xf>
    <xf numFmtId="0" fontId="11" fillId="4" borderId="17" xfId="0" applyFont="1" applyFill="1" applyBorder="1" applyAlignment="1" applyProtection="1">
      <alignment vertical="top" readingOrder="3"/>
    </xf>
    <xf numFmtId="0" fontId="11" fillId="0" borderId="17" xfId="0" applyFont="1" applyBorder="1" applyAlignment="1" applyProtection="1">
      <alignment vertical="top" readingOrder="3"/>
    </xf>
    <xf numFmtId="8" fontId="11" fillId="0" borderId="17" xfId="0" applyNumberFormat="1" applyFont="1" applyBorder="1" applyAlignment="1" applyProtection="1">
      <alignment vertical="top" readingOrder="3"/>
    </xf>
    <xf numFmtId="0" fontId="0" fillId="0" borderId="17" xfId="0" applyBorder="1" applyAlignment="1" applyProtection="1">
      <alignment vertical="top" readingOrder="3"/>
    </xf>
    <xf numFmtId="8" fontId="0" fillId="0" borderId="17" xfId="0" applyNumberFormat="1" applyBorder="1" applyAlignment="1" applyProtection="1">
      <alignment vertical="top" readingOrder="3"/>
    </xf>
    <xf numFmtId="8" fontId="11" fillId="4" borderId="17" xfId="0" applyNumberFormat="1" applyFont="1" applyFill="1" applyBorder="1" applyAlignment="1" applyProtection="1">
      <alignment vertical="top" readingOrder="3"/>
    </xf>
    <xf numFmtId="0" fontId="8" fillId="0" borderId="17" xfId="0" applyFont="1" applyBorder="1" applyAlignment="1" applyProtection="1">
      <alignment vertical="top" readingOrder="3"/>
    </xf>
  </cellXfs>
  <cellStyles count="1">
    <cellStyle name="Normální" xfId="0" builtinId="0"/>
  </cellStyles>
  <dxfs count="2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charset val="238"/>
        <scheme val="none"/>
      </font>
      <numFmt numFmtId="164" formatCode="#\ ##0.00"/>
      <fill>
        <patternFill patternType="solid">
          <fgColor theme="4"/>
          <bgColor theme="4"/>
        </patternFill>
      </fill>
      <alignment horizontal="left" vertical="top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pal Jiri" refreshedDate="45357.363378125003" createdVersion="7" refreshedVersion="8" recordCount="1209" xr:uid="{00000000-000A-0000-FFFF-FFFF22000000}">
  <cacheSource type="worksheet">
    <worksheetSource ref="A1:M1210" sheet="Zdroj"/>
  </cacheSource>
  <cacheFields count="14">
    <cacheField name="Datum" numFmtId="0">
      <sharedItems/>
    </cacheField>
    <cacheField name="Doklad" numFmtId="0">
      <sharedItems/>
    </cacheField>
    <cacheField name="Zdroj" numFmtId="0">
      <sharedItems/>
    </cacheField>
    <cacheField name="Firma" numFmtId="0">
      <sharedItems containsBlank="1"/>
    </cacheField>
    <cacheField name="Text" numFmtId="0">
      <sharedItems containsBlank="1" count="872">
        <s v="DPP 01/23 HM+SD"/>
        <s v="DPP 02/23 HM+SD"/>
        <s v="DPP 03/23 HM+SD"/>
        <s v="DPP 04/23 HM+SD"/>
        <s v="DPP 05/23 HM+SD"/>
        <s v="DPP 06/23 HM+SD"/>
        <s v="DPP 07/23 HM+SD"/>
        <s v="DPP 08/23 HM+SD"/>
        <s v="DPP 09/23 HM+SD"/>
        <s v="DPP 10/23 HM+SD"/>
        <s v="DPP 11/23 HM+SD"/>
        <s v="DPP 12/23 HM+SD"/>
        <s v="VL - rozdělení středisek"/>
        <s v="Zúčtování OP"/>
        <s v="poplatek za pojištění"/>
        <s v="Doprava"/>
        <s v="Trenérské služby muži 1/2023"/>
        <s v="Trenérské služby muži 2/2023"/>
        <s v="Kondiční tréninky"/>
        <s v="Trenérské služby muži 3/2023"/>
        <s v="Trenérské služby muži 4/2023"/>
        <s v="Trenérské služby muži 5/2023"/>
        <s v="Trenérské služby muži 6/2023"/>
        <s v="Trenérské služby muži 7/2023"/>
        <s v="Trénování za 08/2023"/>
        <s v="Trenérské služby muži 8/2023"/>
        <s v="Trenérské služby muži 9/2023"/>
        <s v="Trenérské služby muži 10/2023"/>
        <s v="Trenérské služby muži 11/2023"/>
        <s v="Trenérské služby muži 12/2023"/>
        <s v="Startovné muži Czech open"/>
        <s v="haly - rozdělení středisek"/>
        <s v="ubytování Czech open muži"/>
        <s v="Přestup hráčů"/>
        <s v="Výchovné"/>
        <s v="Výchovné Antoniazi"/>
        <s v="Hostování Máca"/>
        <s v="Rozhodčí Čajkaréna muži divize E"/>
        <s v="Rozhodčí Čajkaréna muži"/>
        <s v="Rozhodčí Čajkaréna ženy, divize E"/>
        <s v="Rozhodčí Čajkaréna divize E"/>
        <s v="Pořádání"/>
        <s v="Fakturujeme Vám přestup Vojtěcha Nováka"/>
        <s v="Fakturujeme Vám za přestup hráče Vojtěcha Waice"/>
        <s v="Fakturujeme Vám hostování Jana Štěpánka"/>
        <s v="Fakturujeme Vám startovné v 1. kole Poháru"/>
        <s v="Zúčtování záloh Kuřim"/>
        <s v="Zúčtování záloh Czech open"/>
        <s v="Prochazka Adam - 23/24 - Muzi A"/>
        <s v="Pecha Matej - 23/24 - Muzi A"/>
        <s v="Kratochvil Jan - 23/24 - Muzi A"/>
        <s v="Malicek Lukas - 23/24 - Muzi A"/>
        <s v="Jurkulak Jakub - 23/24 - Muzi A"/>
        <s v="VPO - čl.příspěvky"/>
        <s v="Navratil Martin - 23/24 - Muzi A"/>
        <s v="Skoupil Tomas - 23/24 - Muzi A"/>
        <s v="Skoupil Tomas - 23/24 - Licence"/>
        <s v="Novak Jiri - 23/24 - Licence"/>
        <s v="Bistry Vojtech - 23/24 - Muzi A"/>
        <s v="Czyz Martin - 23/24 - Licence"/>
        <s v="Navratil Martin - 23/24 - Licence"/>
        <s v="Pecha Matej - 23/24 - Licence"/>
        <s v="Kratochvil Jan - 23/24 - Licence"/>
        <s v="Novak Jiri - 23/24 - Muzi A"/>
        <s v="Krhovjak Vojtech - 23/24 - Muzi A"/>
        <s v="Malicek Lukas - 23/24 - Licence"/>
        <s v="Husak Ondrej - 23/24 - Muzi A"/>
        <s v="Godla Jakub - 23/24 - Muzi A"/>
        <s v="Banka příjem"/>
        <s v="Prochazka Adam - 23/24 - Licence"/>
        <s v="Godla Jakub - 23/24 - Licence"/>
        <s v="Krhovjak Vojtech - 23/24 - Licence"/>
        <s v="Machacek Igor - 23/24 - Licence"/>
        <s v="Machacek Igor - 23/24 - Muzi A"/>
        <s v="Friedl Vit - 23/24 - Muzi A"/>
        <s v="Bistry Vojtech - 23/24 - Licence"/>
        <s v="Kopelec Bohdan - 23/24 - Muzi A"/>
        <s v="Kopelec Bohdan - 23/24 - Licence"/>
        <s v="Stepanek Jan - 23/24 - Muzi A"/>
        <s v="Mikulik Antonin - 23/24 - Licence"/>
        <s v="platba licence - Jan Štěpánek"/>
        <s v="členské příspěvky - rozúčtování"/>
        <s v="Rozhodčí Rooseveltova muži"/>
        <s v="Tomas pirek platba licence"/>
        <s v="licence Doubek Muzi B"/>
        <s v="Prispevky muzi B"/>
        <s v="Cestovné junioři"/>
        <s v="Trénování junioři 1/2023"/>
        <s v="Trénování junioři 2/2023"/>
        <s v="Trénování junioři 3/2023"/>
        <s v="Trénování junioři 4/2023"/>
        <s v="Trénování junioři 5/2023"/>
        <s v="Trénování skills, Ostrava cup"/>
        <s v="Trénování junioři 6/2023"/>
        <s v="Rozhodčí Čajkaréna junioři"/>
        <s v="BLECHA JAN - 22/23 - JUNIORI 2. POLOLETI"/>
        <s v="STRBAK TOMAS - 22/23 - JUNIORI 2. POLOLETI"/>
        <s v="Kryštof Brzobohatý"/>
        <s v="florbal"/>
        <s v="Mikulik Antonin - 22/23 - Juniori 2. pololeti"/>
        <s v="2304019 Ambrož"/>
        <s v="Martin Horry"/>
        <s v="Nykl Simon - 22/23 - Juniori 2. pololeti"/>
        <s v="Nykl Simon - 22/23 - Licence"/>
        <s v="Hoferek Jakub - 23/24 - Juniori 1.pololeti"/>
        <s v="STRBAK TOMAS - 23/24 - JUNIORI 1. POLOLETI"/>
        <s v="Danis Martin - 23/24 - Juniori 1. pololeti"/>
        <s v="Blecha Jan - 23/24 - Juniori 1. pololeti"/>
        <s v="Kryštof Novák - platba - junioři"/>
        <s v="Romanovsky Matej - 23/24 - Juniori1. pololeti"/>
        <s v="Dosoudil Jan - 23/24 - Juniori 1. pololeti"/>
        <s v="Jelinek Tomas - 23/24 - Juniori 1.pololeti"/>
        <s v="Adam Novák - platba - junioři"/>
        <s v="Brzobohaty Krystof - 23/24 - Juniori 1. pololeti"/>
        <s v="Platba 23/24 licence - Kryštof Novák"/>
        <s v="Antoniazi Patrik - 23/24 - Licence"/>
        <s v="Nykl Simon - 23/24 - Juniori 1. pololeti"/>
        <s v="Nykl Simon - 23/24 - Licence"/>
        <s v="Příspěvek turnaje"/>
        <s v="Startovné Ostrava cup"/>
        <s v="Přestup Slavík"/>
        <s v="Rozhodčí Rooseveltova dorostenci"/>
        <s v="Rozhodčí Čajkaréna dorostenci"/>
        <s v="Zúčtování záloh Ostrava"/>
        <s v="Sofronieski Alex"/>
        <s v="Kutil Filip - 22/23 - Dorostenci 2. pololeti"/>
        <s v="Vilém Bodnar 2006 - dorostenci"/>
        <s v="Hoferek Jakub - 22/23 - Dorostenci2. pololeti"/>
        <s v="Danis Martin - 22/23 - Dorostenci 2. pololeti"/>
        <s v="Pavlik Martin - 22/23 - Dorostenci 2. pololeti"/>
        <s v="DOROSTENCŮ 2 POL"/>
        <s v="Jan Vysloužil"/>
        <s v="Adam Novák - dorost - 2 pololetí"/>
        <s v="Kryštof Novák - dorost - 2 pololetí"/>
        <s v="Krejci Lukas - 22/23 - Dorostenci 2. pololeti"/>
        <s v="Ettel Martin - 22/23 - Dorostenci 2. pololeti"/>
        <s v="Matěj Romanovský florbal."/>
        <s v="Vrana Simon - 22/23 - Dorostenci 2. pololeti"/>
        <s v="Mach Stepan - 23/24 - Dorostenci 1. pololeti"/>
        <s v="Tosenovsky Marek - 23/24 - Dorostenci 1. pololeti"/>
        <s v="Kutil Filip - 23/24 - Dorostenci 1. pololeti"/>
        <s v="Slavik Jan - 23/24 - Dorostenci 1.pololeti"/>
        <s v="Marenistiak Simon - 23/24 - Dorostenci 1. pololeti"/>
        <s v="Tomasek Marek - 23/24 - Dorostenci1. pololeti"/>
        <s v="Sofronieski Alex - 23/24 - Dorostenci 1. pololeti"/>
        <s v="dorostenci 1.pol."/>
        <s v="Krejci Lukas - 23/24 - Dorostenci 1. pololeti"/>
        <s v="Strasil Samuel - 23/24 - Dorostenci 1. pololeti"/>
        <s v="Příspěvky RV"/>
        <s v="Spurny Jan - 23/24 - Dorostenci 1.pololeti"/>
        <s v="Student Ondrej - 23/24 - Dorostenci 1. pololeti"/>
        <s v="Becica Radim - 23/24 - Dorostenci 1. pololeti"/>
        <s v="FBS Olomouc, Jakub Málek"/>
        <s v="Daniel Drápal"/>
        <s v="Vratka čl. příspěvků Tomášek 23-24"/>
        <s v="Trenérské služby 01/2023"/>
        <s v="Trenérské služby 02/2023"/>
        <s v="Trenérské služby 03/2023"/>
        <s v="Trenérské služby 04/2023"/>
        <s v="Trenérské služby 05/2023"/>
        <s v="Trenérské služby 06/2023"/>
        <s v="Trenérské služby 07/2023"/>
        <s v="Trenérské služby 08/2023"/>
        <s v="Trenérské služby 09/2023"/>
        <s v="Trenérské služby 10/2023"/>
        <s v="Trenérské služby 11/2023"/>
        <s v="Trenérské služby 12/2023"/>
        <s v="Startovné Open game kids"/>
        <s v="ubytování st.žáci"/>
        <s v="Rozhodčí Rooseveltova st.žáci"/>
        <s v="Rozhodčí Uničov st.žáci"/>
        <s v="Rozhodčí Přerov st.žáci"/>
        <s v="Zúčtování záloh MČR"/>
        <s v="Zúčtování záloh Open game"/>
        <s v="Juricek Tomas - 22/23 - Starsi zaci 2. pololeti"/>
        <s v="Coufal Prokop - 22/23 - Starsi zaci 2. pololeti"/>
        <s v="florbal Balner Jakub 2.pol 22/23"/>
        <s v="Becica Radim - 22/23 - Starsi zaci2. pololeti 2303884"/>
        <s v="22/23 - Starší žáci 2. pololetí Filip Veselý"/>
        <s v="Sebastian Bajer - 2.pololetí"/>
        <s v="Slavik Jan - 22/23 - Starsi zaci 2. pololeti"/>
        <s v="Adam Beneš"/>
        <s v="Ondřej Dočkal"/>
        <s v="22/23 starší žáci 2. pololetí 2303902"/>
        <s v="Marek Opluštil"/>
        <s v="Tomasek Marek - 22/23 - Starsi zaci 2. pololeti"/>
        <s v="Jakub Málek, FBS Olomouc"/>
        <s v="Adam Ulmann"/>
        <s v="čl. příspěvek - FBS Ol.-VOJTA"/>
        <s v="Tosenovsky Marek - 22/23 - Starsi zaci 2. pololeti"/>
        <s v="Spurny Jan - 22/23 - Starsi zaci 2. pololeti"/>
        <s v="Bak Alex - 22/23 - Starsi zaci 2. pololeti"/>
        <s v="Horalek Ondrej - 22/23 - Starsi zaci 2. pololeti"/>
        <s v="Grohman Andre - 22/23 - Starsi zaci 2. pololeti"/>
        <s v="Mach Stepan - 22/23 - Starsi zaci 2. pololeti"/>
        <s v="Krumpholz Tadeas - 22/23 - Starsi zaci 2. pololeti"/>
        <s v="Jan Borik"/>
        <s v="Becica Radim - 22/23 - Starsi zaci 2. pololeti 2303884"/>
        <s v="Strasil Samuel - 22/23 - Starsi zaci 2. pololeti"/>
        <s v="platba členského příspěvku"/>
        <s v="Šimon Mareništiak"/>
        <s v="Juricek Tomas - 23/24 - Starsi zaci 1. pololeti"/>
        <s v="Krumpholz Tadeas - 23/24 - Starsi zaci 1. pololeti"/>
        <s v="Tkadlec Martin - 23/24 - Starsi zaci 1. pololeti"/>
        <s v="Coufal Prokop - 23/24 - Starsi zaci 1. pololeti"/>
        <s v="Mazac Vojtech - 23/24 - Starsi zaci 1. pololeti"/>
        <s v="23/24 - Starší žáci 1. pololetí Filip Veselý"/>
        <s v="ZACPAL LUKAS - 23/24 - STARSI ZACI1. POLOLETI"/>
        <s v="Jakub Balner - Florbal 2 pol 23"/>
        <s v="TISON JAN - 23/24 - STARSI ZACI 1.POLOLETI"/>
        <s v="Kuba Jakub - 23/24 - Starsi zaci 1. pololeti"/>
        <s v="Tomasek Jakub - 23/24 - Starsi zaci 1. pololeti"/>
        <s v="Karny Jakub - 23/24 - Starsi zaci 1. pololeti"/>
        <s v="Pedriali Samuele-Strži 1.pololetí"/>
        <s v="Kravacek Lukas - 23/24 - Starsi zaci 1. pololeti"/>
        <s v="Štěpán Walter - starší žáci - 1.pol. 2023/24"/>
        <s v="Kobza Tobias - 23/24 - Starsi zaci1. pololeti"/>
        <s v="Michal Špaček"/>
        <s v="Bak Alex - 23/24 - Starsi zaci 1. pololeti"/>
        <s v="Marcian Petr - 23/24 - Starsi zaci 1. pololeti"/>
        <s v="Grohman Andre - 23/24 - Starsi zaci 1. pololeti"/>
        <s v="Horalek Ondrej - 23/24 - Starsi zaci 1. pololeti"/>
        <s v="Vrana Simon - 23/24 - Starsi zaci 1. pololeti"/>
        <s v="Svitak Dominik - 23/24 - Starsi zaci 1. pololeti"/>
        <s v="hugo blazek fbs olomouc"/>
        <s v="Urban Michal - 23/24 - Starsi zaci 1. pololeti"/>
        <s v="Ubytování Ostrava"/>
        <s v="Trénování za 01/2023"/>
        <s v="Trénování za 02/2023"/>
        <s v="Trénování za 03/2023"/>
        <s v="Trénování za 04/2023"/>
        <s v="Trénování za 05/2023"/>
        <s v="Trénování za 06/2023"/>
        <s v="Trénování za 09/2023"/>
        <s v="Trénování za 10/2023"/>
        <s v="Trénování za 11/2023"/>
        <s v="Trénování za 12/2023"/>
        <s v="Startovné"/>
        <s v="ubytování 2-4.6. Ostrava"/>
        <s v="ubytování ml.žáci"/>
        <s v="Rozhodčí Rooseveltova ml.žáci"/>
        <s v="KANA ROBERT - 22/23 - MLADSI ZACI 2. POLOLETI"/>
        <s v="Prilesky Max - 22/23 - Mladsi zaci 2. pololeti"/>
        <s v="Vystrcil Marek - 22/23 - Mladsi zaci 2. pololeti"/>
        <s v="Stojan Eduard - 22/23 - Mladsi zaci 2. pololeti"/>
        <s v="platba - členství FBS"/>
        <s v="Tadeáš Micek"/>
        <s v="Slavik Jakub - 22/23 - Mladsi zaci2. pololeti"/>
        <s v="Mazac Vojtech - 22/23 - Mladsi zaci 2. pololeti"/>
        <s v="Sluka Filip - 22/23 - Mladsi zaci 2. pololeti"/>
        <s v="Filip Jakša"/>
        <s v="Jakub Jakša"/>
        <s v="Kuba Jakub - 22/23 - Mladsi zaci 2. pololeti"/>
        <s v="FILIP NEPLECH"/>
        <s v="Erik Opluštil"/>
        <s v="Kobza Tobiáš"/>
        <s v="Nejezchleba Jakub - 22/23 - Mladsizaci 2. pololeti"/>
        <s v="Svitak Dominik - 22/23 - Mladsi zaci 2. pololeti"/>
        <s v="Tomasek Jakub - 22/23 - Mladsi zaci 2. pololeti"/>
        <s v="Marcian Petr - 22/23 - Mladsi zaci2. pololeti"/>
        <s v="Janu Premysl - 22/23 - Mladsi zaci2. pololeti"/>
        <s v="Stojan Simon - 22/23 - Mladsi zaci2. pololeti"/>
        <s v="Cech Marek - 22/23 - Mladsi zaci 2. pololeti"/>
        <s v="Cech Viktor - 22/23 - Mladsi zaci 2. pololeti"/>
        <s v="Kravacek Lukas - 22/23 - Mladsi zaci 2. pololeti"/>
        <s v="Karny Jakub - 22/23 - Mladsi zaci 2. pololeti"/>
        <s v="Hugo Blažek"/>
        <s v="Vondra Tomáš"/>
        <s v="Vrabel Ondřej"/>
        <s v="ZACPAL LUKAS - 22/23 - MLADSI ZACI2. POLOLETI"/>
        <s v="Minarik Jiri - 22/23 - Mladsi zaci2. pololeti"/>
        <s v="Urban Michal - 22/23 - Mladsi zaci 2. pololeti"/>
        <s v="Matyáš Pospíšil - Mladší žáci 2. pololetí"/>
        <s v="František Janků"/>
        <s v="Tkadlecová"/>
        <s v="Mencik Max - 22/23 - Mladsi zaci 2. pololeti"/>
        <s v="TISON JAN - 22/23 - MLADSI ZACI 2.POLOLETI"/>
        <s v="PLATBA ONDREJ VYROUBAL"/>
        <s v="Minarik Jiri - 23/24 - Mladsi zaci 1. pololeti"/>
        <s v="Vystrcil Marek - 23/24 - Mladsi zaci 1. pololeti"/>
        <s v="Juna Richard - 23/24 - Mladsi zaci1. pololeti"/>
        <s v="Jan Matzner"/>
        <s v="Robin Pokluda 2012"/>
        <s v="Horky Vojtech - 23/24 - Mladsi zaci 1. pololeti"/>
        <s v="Stojan Eduard - 23/24 - Mladsi zaci 1. pololeti"/>
        <s v="Slavik Jakub - 23/24 - Mladsi zaci1. pololeti"/>
        <s v="TISON TOMAS - 23/24 - MLADSI ZACI 1. POLOLETI"/>
        <s v="Mencik Max - 23/24 - Mladsi zaci 1. pololeti"/>
        <s v="FILIP NEPLECH - MLŽI 1.POL"/>
        <s v="Filip Jaksa"/>
        <s v="Cech Viktor - 23/24 - Mladsi zaci 1. pololeti"/>
        <s v="Cech Marek - 23/24 - Mladsi zaci 1. pololeti"/>
        <s v="MACHACEK TOMAS - 23/24 - MLADSI ZACI 1. POLOLETI"/>
        <s v="FBS Olomouc - 1. pololetí 2023/2024Lukáš Vítek - mladší žáci FLORBAL"/>
        <s v="Prilesky Max - 23/24 - Mladsi zaci 1. pololeti"/>
        <s v="Menzel Jakub - 23/24 - Mladsi zaci 1. pololeti"/>
        <s v="KANA ROBERT - 23/24 - MLADSI ZACI 1. POLOLETI"/>
        <s v="Orolin Jaroslav - 23/24 - Mladsi zaci 1. pololeti"/>
        <s v="Janu Premysl - 23/24 - Mladsi zaci 1. pololeti"/>
        <s v="Vesecky Stepan - 23/24 - Mladsi zaci 1. pololeti"/>
        <s v="Sluka Filip - 23/24 - Mladsi zaci 1. pololeti"/>
        <s v="Stojan Simon - 23/24 - Mladsi zaci1. pololeti"/>
        <s v="Albert Hruška"/>
        <s v="Vojtěch Špaček"/>
        <s v="Matyáš Pospíšil - 1 pololetí 2023 mladší žáci"/>
        <s v="Horak Adam - 23/24 - Mladsi zaci 1. pololeti"/>
        <s v="Halamka Ondrej - 23/24 - Mladsi zaci 1. pololeti"/>
        <s v="Jasik Vojtech - 23/24 - Mladsi zaci 1. pololeti"/>
        <s v="Holik Tomas - 23/24 - Mladsi zaci 1. pololeti"/>
        <s v="Strava - Ostrava cup"/>
        <s v="Startovné, ubytování, strava Open game kids"/>
        <s v="Cestovné"/>
        <s v="Startovné na Turnaji elévů"/>
        <s v="Startovné Spartak Cup"/>
        <s v="ubytování 24.-26.8. Praha"/>
        <s v="Rozhodčí Rooseveltova elévové"/>
        <s v="Zúčtování záloh PFC"/>
        <s v="Zúčtování záloh Sokol cup"/>
        <s v="Zúčtování záloh Spartak"/>
        <s v="Holik Tomas - 22/23 - Elevove 2. pololeti"/>
        <s v="Prilesky Matyas - 22/23 - Elevove 2. pololeti"/>
        <s v="MACHACEK TOMAS - 22/23 - ELEVOVE 2. POLOLETI"/>
        <s v="Elévové 2.pol.22/23 - Nagy Vojtěch"/>
        <s v="Kacálek Jiří"/>
        <s v="Robin Pokluda - Elévové 22/23 2.pol."/>
        <s v="Matyáš Milan, sk. Elevove"/>
        <s v="Lostak Dominik - 22/23 - Elevove 2. pololeti"/>
        <s v="Orolin Jaroslav - 22/23 - Elevove 2. pololeti"/>
        <s v="Platba Tomáš Neuman 2013"/>
        <s v="Prochazka Matej - 22/23 - Elevove 2. pololeti"/>
        <s v="Svitak Matyas - 22/23 - Elevove 2.pololeti"/>
        <s v="Sofronieski Mario"/>
        <s v="Jan Protiva - druhé pololetí 2023"/>
        <s v="FBS florbal 2. pololetí L. Ondráček"/>
        <s v="Grombir Jan - 22/23 - Elevove 2. pololeti"/>
        <s v="Platba florbal Vesecký"/>
        <s v="Daniel Konečný"/>
        <s v="Grohman Gregory - 22/23 - Elevove 2. pololeti"/>
        <s v="Halamka Ondřej"/>
        <s v="Vojtech Vičar"/>
        <s v="Becica Richard - 22/23 - Elevove 2. pololeti"/>
        <s v="Vratka příspěvku Matyáš Milan"/>
        <s v="Glier Jiri - 22/23 - Elevove 2. pololeti"/>
        <s v="Martin Gemmel"/>
        <s v="TISON TOMAS - 22/23 - ELEVOVE 2. POLOLETI"/>
        <s v="Šimon Boxan, členské příspěvky"/>
        <s v="Rajhel Tomas - 23/24 - Elevove 1. pololeti"/>
        <s v="Valenta Jiri - 23/24 - Elevove 1. pololeti"/>
        <s v="Glier Jiri - 23/24 - Elevove 1. pololeti"/>
        <s v="Fuchs Tobias - 23/24 - Elevove 1. pololeti"/>
        <s v="Prycl Pavel - 23/24 - Elevove 1. pololeti"/>
        <s v="Lostak Dominik - 23/24 - Elevove 1. pololeti"/>
        <s v="Matěj Šíma"/>
        <s v="Pospisil Adam - 23/24 - Elevove 1. pololeti"/>
        <s v="Grombir Jan - 23/24 - Elevove 1. pololeti"/>
        <s v="Skoda Robert - 2324 - Elevove 1. pololeti"/>
        <s v="Krystynik Simon - 23/24 - Elevove 1. pololeti"/>
        <s v="Dvorak Erik - 23/24 - Elevove 1. pololeti"/>
        <s v="Tesseny Frantisek - 23/24 - Elevove 1. pololeti"/>
        <s v="platba Tomáš Neuman"/>
        <s v="Vochta Benedikt - 23/24 - Elevove 1. pololeti"/>
        <s v="Prilesky Matyas - 23/24 - Elevove 1. pololeti"/>
        <s v="Masaryk Jan - 23/24 - Elevove 1. pololeti"/>
        <s v="Florian Matej - 23/24 - Elevove 1. pololeti"/>
        <s v="Zadorožný Ondřej - 23/24 - Elevove"/>
        <s v="Sofronieski Mario - 23/24 - Elevove 1. pololeti"/>
        <s v="Kacalek Jiri - 23/24 - Elevove 1. pololeti"/>
        <s v="Grohman Gregory - 23/24 - Elevove 1. pololeti"/>
        <s v="Svitak Matyas - 23/24 - Elevove 1. pololeti"/>
        <s v="Becica Richard - 23/24 - Elevove 1. pololeti"/>
        <s v="Vitamvas Karel - 23/24 - Elevove 1. pololeti"/>
        <s v="Startovné na PFC spring"/>
        <s v="Rozhodčí Rooseveltova přípravka"/>
        <s v="Skoda Robert - 2223 - Pripravka 2. pololeti"/>
        <s v="MACHACEK DAVID - 22/23 - PRIPRAVKA2. POLOLETI"/>
        <s v="Kubicek Daniel - 22/23 - Pripravka2. pololeti"/>
        <s v="Pospisil Adam - 22/23 - Pripravka 2. pololeti"/>
        <s v="Jesina - florbal"/>
        <s v="JIŘÍ VALENTA"/>
        <s v="Masaryk Jan - 22/23 - Pripravka 2. pololeti"/>
        <s v="Ota Hradil"/>
        <s v="Hušák Viktor - 22/23 - Pripravka 2. pololeti"/>
        <s v="Rajhel Tomas - 22/23 - Pripravka 2. pololeti"/>
        <s v="Nejezchleba David - 22/23 - Pripravka 2. pololeti"/>
        <s v="Krystynik Simon - 22/23 - Pripravka 2. pololeti"/>
        <s v="Matěj Šíma - přípravka-platba II.pololetí"/>
        <s v="Ondřej Zadorožný - přípravka 22-23,2.pololetí"/>
        <s v="Dobry Tobias - 22/23 - Pripravka 2. pololeti"/>
        <s v="alois blažek"/>
        <s v="Alois Blažek Florbal"/>
        <s v="Kilián Blažek florbal"/>
        <s v="Mikulka Robin - 22/23 - Pripravka 2. pololeti"/>
        <s v="Akai Samuel - 22/23 - Pripravka 2.pololeti"/>
        <s v="florbal Matouš"/>
        <s v="Vratka čl. př. 2023 2. pol. Alois Blažek"/>
        <s v="Stehlik Karel - 22/23 - Pripravka 2. pololeti"/>
        <s v="Bobek Alex - 22/23 - Pripravka 2. pololeti"/>
        <s v="MACHACEK DAVID - 23/24 - PRIPRAVKA1. POLOLETI"/>
        <s v="janek jesina florbal"/>
        <s v="Akai Samuel - 23/24 - Pripravka 1.pololeti"/>
        <s v="Tesarik Matous - 23/24 - Pripravka 1. pololeti"/>
        <s v="Tesarik Stepan - 23/24 - Pripravka 1. pololeti"/>
        <s v="Kominek Jakub - 23/24 - Pripravka 1. pololeti"/>
        <s v="Prochazka Viktor - 23/24 - KrouzekSpojencu"/>
        <s v="Gerlich Alex - 23/24 - Pripravka 1. pololeti"/>
        <s v="Fakturujeme Vám pernamentku služeb klubu FBS Olomouc, pro syna Jana Brunclíka (2016) "/>
        <s v="Mikulka Robin - 23/24 - Pripravka 1. pololeti"/>
        <s v="Pumprla Lukas - 23/24 - Pripravka 1. pololeti"/>
        <s v="Stehlik Karel - 23/24 - Pripravka 1. pololeti"/>
        <s v="Kubicek Krystof - 23/24 - Pripravka 1. pololeti"/>
        <s v="Prochazka Viktor - 23/24 - Pripravka 1. pololeti"/>
        <s v="Raiskub Matyas - 23/24 - Pripravka 1. pololeti"/>
        <s v="Strava teambuilding"/>
        <s v="Cestovné extraliga žen"/>
        <s v="Cestovné Zmrzlá 01/23"/>
        <s v="Cestovné Dlouhá 01/23"/>
        <s v="Cestovné Šablaturová 01/23"/>
        <s v="Cestovné Maděrová 01/23"/>
        <s v="Cestovné Zmrzlá 02/23"/>
        <s v="Cestovné Dlouhá 02/23"/>
        <s v="Cestovné Šablaturová 02/23"/>
        <s v="Cestovné Soušková 02/23"/>
        <s v="Cestovné Suchánková 02/23"/>
        <s v="Cestovné Zmrzlá 03/23"/>
        <s v="Cestovné Dlouhá 03/23"/>
        <s v="Cestovné Zmrzlá 8/23"/>
        <s v="Cestovné Dlouhá 8/23"/>
        <s v="Cestovné Kuchařová 8/23"/>
        <s v="Cestovné Dlouhá 9/23"/>
        <s v="Cestovné Baumgartner 9/23"/>
        <s v="Cestovné Kuchařová 9/23"/>
        <s v="Cestovné Soušková 10/23"/>
        <s v="Cestovné Dlouhá 10/23"/>
        <s v="Cestovné Kuchařová 10/23"/>
        <s v="Cestovné Suchánková 5/23"/>
        <s v="Cestovné Zmrzlá 6,7/23"/>
        <s v="Cestovné Dlouhá 7/23"/>
        <s v="Cestovné Soušková 11/23"/>
        <s v="Cestovné Kuchařová 11/23"/>
        <s v="Cestovné Soušková 12/23"/>
        <s v="Cestovné Kuchařová 12/23"/>
        <s v="Cestovné Dlouhá 12/23"/>
        <s v="Trénování"/>
        <s v="Startovné ženy Czech open"/>
        <s v="Startovné 1.kolo poháru žen"/>
        <s v="Pronájem školící místnosti"/>
        <s v="ubytování teambuilding"/>
        <s v="ubytování"/>
        <s v="Rozhodčí Čajkaréna ženy A"/>
        <s v="Rozhodčí Čajkaréna ženy "/>
        <s v="Rozhodčí Olomouc ženy "/>
        <s v="Rozhodčí Čajkaréna ženy"/>
        <s v="Fakturujeme Vám hostování Martina Frankové"/>
        <s v="Fakturujeme Vám hostování Martiny Frankové"/>
        <s v="Fakturujeme Vám částku 200.000,- Kč dle smlouvy o reklamě ze dne 31.8.2023"/>
        <s v="Fakturujeme Vám částku 100.000,- Kč na základě smlouvy o reklamě ze dne 5. 9. 2023_x000d__x000a_"/>
        <s v="Rozhodčí Rooseveltova ženy B"/>
        <s v="Rozhodčí Rooseveltova 2.liga žen"/>
        <s v="Licence ženy B"/>
        <s v="Příspěvky ženy B"/>
        <s v="Cestovné juniorky"/>
        <s v="Občerstvení"/>
        <s v="Trénování juniorky 10/2023"/>
        <s v="Trénování juniorky 11/2023"/>
        <s v="Trénování juniorky 12/2023"/>
        <s v="Pronájem sportovní haly juniorky"/>
        <s v="Pronájem atletické dráhy a haly"/>
        <s v="ubytování "/>
        <s v="Výchovné Poláchová"/>
        <s v="Rozhodčí Čajkaréna juniorky"/>
        <s v="Rozhodčí Olšany juniorky"/>
        <s v="Nejedla Veronika - 22/23 - Juniorky 2. pololeti"/>
        <s v="tereza hlaviznová JUN"/>
        <s v="Vaculova Gabriela - 22/23 - Juniorky 2. pololeti"/>
        <s v="Horcickova Klara - 22/23 - Juniorky 2. pololeti"/>
        <s v="Michaela Zmrzlá - platba ČP - 2. část"/>
        <s v="Hodulikova Klara - 22/23 - Juniorky 2. pololeti"/>
        <s v="Hodulikova Klara - 23/24 - Juniorky 1. pololeti"/>
        <s v="Vaculova Gabriela - 23/24 - Juniorky 1. pololeti"/>
        <s v="MAJEROVA LUCIE - 23/24 - JUNIORKY 1. POLOLETI"/>
        <s v="Cechova Kristyna - 23/24 - Juniorky 1. pololeti"/>
        <s v="Mrázková Veronika - FBS"/>
        <s v="Keclikova Kristyna - 23/24 - Juniorky 1. pololeti"/>
        <s v="Horcickova Klara - 23/24 - Juniorky 1. pololeti"/>
        <s v="Stoklaskova Katerina - 23/24 - Juniorky 1. pololeti"/>
        <s v="Krupičková Nikola"/>
        <s v="Nejedla Veronika - 23/24 - Juniorky 1. pololeti"/>
        <s v="Cockova Katerina - 23/24 - Juniorky 1. pololeti"/>
        <s v="Logrová Lada Hana"/>
        <s v="Startovné Salming cup"/>
        <s v="Pronájem sportovní haly "/>
        <s v="Ubytování dorostenky MČR"/>
        <s v="Rozhodčí Rooseveltova dorostenky"/>
        <s v="Rozhodčí Horní Suchá dorostenky"/>
        <s v="Zúčtování záloh Salming cup"/>
        <s v=" pošta 509564 06.01.2023 č 1PETRAZERZÁNOVA*ZERZÁNOVÁ VALENTÝ NA"/>
        <s v="Gajdosova Viktorie - 22/23 - Dorostenky 2. pololeti"/>
        <s v="Veronika Mrázková"/>
        <s v="Stoklaskova Katerina - 22/23 - Dorostenky 2. pololeti"/>
        <s v="Cechova Kristyna - 22/23 - Dorostenky 2. pololeti"/>
        <s v="Cockova Katerina - 22/23 - Dorostenky 2. pololeti"/>
        <s v="Keclíková Kristýna"/>
        <s v="FBS Olomouc - Adéla Brostíkovásezóna 22/23 2.pololetí"/>
        <s v="Majerova Lucie - 22/23 - Dorostenky 2. pololeti"/>
        <s v="Velenová Adéla"/>
        <s v="Kratochvílová Natálie - Dorostenky 22/23 2. pololetí"/>
        <s v="Logrova Lada - 22/23 - Dorostenky 2. pololeti"/>
        <s v="Velenova Adela - 23/24 - Dorostenky 1. pololeti"/>
        <s v="Stýblová Tatiana - Dorostenky 1. pololetí"/>
        <s v="Pallova Sophie - 23/24 - Dorostenky 1. pololeti"/>
        <s v="Blazkova Adela - 23/24 - Dorostenky 1. pololeti"/>
        <s v="Fišerová Jana"/>
        <s v="Mlčochová Anna"/>
        <s v="Pribikova Sabina - 23/24 - Dorostenky 1. pololeti"/>
        <s v="Zaoralova Lucie - 23/24 - Dorostenky 1. pololeti"/>
        <s v="Kratochvílová Natálie - Dorostenky 23/24 1. pololetí"/>
        <s v="FBS Olomouc - Adéla Brostíkovásezóna 23/24 1.pololetí"/>
        <s v="Kalmar - neuzn.výdaje"/>
        <s v="Rozhodčí Rooseveltova st.žákyně"/>
        <s v="22/23 - Starší žákyně Jana Fišerová 2. pololetí"/>
        <s v="Duskova Barbora - 22/23 - Starsi zakyne 2. pololeti"/>
        <s v="Zaoralova Lucie - 22/23 - Starsi zakyne 2. pololeti"/>
        <s v="Stýblová Tatiana - 2. pololetí"/>
        <s v="Florbal - starší žákyně - 2022-2023 - Navrátilová"/>
        <s v="Bartikova Nina - 22/23 - Starsi zakyne 2. pololeti"/>
        <s v="Vratka příspěvek 1. pololetí Dušková Barbora"/>
        <s v="Valerie Geržová"/>
        <s v="Fakturujeme vám členský příspěvek florbalového oddílu FBS Olomouc na 2. pololetí sezóny 2022-202"/>
        <s v="Andresova Denisa - 22/23 - Starsi zakyne 2. pololeti"/>
        <s v="Andresova Aneta - 22/23 - Starsi zakyne 2. pololeti"/>
        <s v="SEdláčková Eliška 2009"/>
        <s v="Tereza Mrnková"/>
        <s v="Pribikova Sabina - 22/23 - Starsi zakyne 2. pololeti"/>
        <s v="Valarikova Eliska - 23/24 - Starsizakyne 1. pololeti"/>
        <s v="PLATBA"/>
        <s v="Navratilova Lucie - 23/24 - Starsi zakyne 1. pololeti"/>
        <s v="Julie Hradilova"/>
        <s v="Masarykova Linda - 23/24 - Starsi zakyne 1. pololeti"/>
        <s v="Emma Henklová (st.ž.)"/>
        <s v="Krckova Lucie - 23/24 - Starsi zakyne 1. pololeti"/>
        <s v="Bartikova Nina - 23/24 - Starsi zakyne 1. pololeti"/>
        <s v="Švestková Zuzana"/>
        <s v="Andresova Denisa - 23/24 - Starsi zakyne 1. pololeti"/>
        <s v="Andresova Aneta - 23/24 - Starsi zakyne 1. pololeti"/>
        <s v="Rozhodčí Rooseveltova ml.žákyně"/>
        <s v="Rozhodčí Čajkaréna mladší žákyně"/>
        <s v="Klosova Zuzana - 23/24 - Mladsi zakyne 1. pololeti"/>
        <s v="Klicova Karolina - 23/24 - Mladsi zakyne 1. pololeti"/>
        <s v="Hlavinkova Nela - 23/24 - Mladsi zakyne 1. pololeti"/>
        <s v="Holcikova Sofie 5.5.2012"/>
        <s v="Zinchenko Daria - 23/24 - Mladsi zakyne 1. pololeti"/>
        <s v="ZACPALOVA LUCIE - 23/24 - MLADSI ZAKYNE 1. POLOLETI"/>
        <s v="Hrbackova Anita - 23/24 - Mladsi zakyne 1. pololeti"/>
        <s v="Zapletalova Ema - 23/24 - Mladsi zakyne 1. pololeti"/>
        <s v="Eliska Kamaradova 1pol. 23/24"/>
        <s v="23/24 - Mladší žákyně 1. pololetí Trešlová Elen"/>
        <s v="OSTADALOVA LUCIE - 23/24 - MLADSI ZAKYNE 1. POLOLETI"/>
        <s v="Sobotkova Veronika - 23/24 - Mladsi zakyne 1. pololeti"/>
        <s v="Rozhodčí Rooseveltova elévky"/>
        <s v="Duskova Anna - 22/23 - Elevky 2. pololeti"/>
        <s v="Klicova Karolina - 22/23 - Elevky 2. pololeti"/>
        <s v="Masarykova Linda - 22/23 - Elevky 2. pololeti"/>
        <s v="Zapletalová Marie"/>
        <s v="Zapletalová Ema"/>
        <s v="Hrouzkova Tereza - 22/23 - Elevky 2. pololeti"/>
        <s v="Bilkova Julie - 22/23 - Elevky 2. pololeti"/>
        <s v="Hradilova Julie"/>
        <s v="Platba za 2.pololetí - Viola Číhalová (elévky)"/>
        <s v="Sofronieská Sara"/>
        <s v="Henklová Emma"/>
        <s v="Hlavinkova Nela - 22/23 - Elevky 2. pololeti"/>
        <s v="Sobotkova Veronika - 22/23 - Elevky 2. pololeti"/>
        <s v="Kamaradova Eliska - 22/23 - Elevkymladsi zakyne 2. polole"/>
        <s v="Sourozenec Martin Švestka"/>
        <s v="OSTADALOVA LUCIE - 22/23 - ELEVKY 2. POLOLETI"/>
        <s v="Hrbackova Anita - 22/23 - Elevky 2. pololeti"/>
        <s v="Hrbackova Karla - 22/23 - Elevky 2. pololeti"/>
        <s v="ZACPALOVA LUCIE - 22/23 - ELEVKY 2. POLOLETI"/>
        <s v="Urbaskova Marie - 22/23 - Elevky 2. pololeti"/>
        <s v="Jirickova Beata - 22/23 - Elevky 2. pololeti"/>
        <s v="Tily Violet - 22/23 - Elevky 2. pololeti"/>
        <s v="Emílie Koutná Elévky 22/23 2.pololetí"/>
        <s v="URBANKOVA SOFIE - 23/24 - ELEVKY 1. POLOLETI"/>
        <s v="Zapletalova Marie - 23/24 - Elevky 1. pololeti"/>
        <s v="Bilkova Julie - 23/24 - Elevky 1. pololeti"/>
        <s v="Martinkova Alzbeta - 23/24 - Elevky 1. pololeti"/>
        <s v="LAZNICKOVA EMA - 23/24 - ELEVKY 1.POLOLETI"/>
        <s v="Číhalová Viola - 23/24 - Elévky 1.pololetí"/>
        <s v="Sofronieska Sara - 23/24 - Elevky 1. pololeti"/>
        <s v="Hrouzkova Tereza - 23/24 - Elevky 1. pololeti"/>
        <s v="Jirickova Beata - 23/24 - Elevky 1. pololeti"/>
        <s v="Kucerova Emilie - 23/24 - Elevky 1. pololeti"/>
        <s v="Kucerova Olivie - 23/24 - Elevky 1. pololeti"/>
        <s v="Koutna Emilie - 23/24 - Elevky 1. pololeti"/>
        <s v="Kubíková Julie"/>
        <s v="Tily Violet - 23/24 - Elevky 1. pololeti"/>
        <s v="Vratka čl. příspěvky Lázničková Ema"/>
        <s v="Kocourkova Nela - 23/24 - Elevky 1. pololeti"/>
        <s v="Jeseník - strava + ost.mat."/>
        <s v="Jeseník - jízdné"/>
        <s v="Jeseník - bazén"/>
        <s v="Pronájem haly Jeseník"/>
        <s v="Pořádání - Jeseník"/>
        <s v="Zúčtování záloh Jeseník"/>
        <s v="Mat.ost. - Červená Voda"/>
        <s v="Léky - Červená Voda"/>
        <s v="Strava - Červená Voda"/>
        <s v="Strava Červená Voda"/>
        <s v="Pronájem mantinelů Červená Voda"/>
        <s v="Pronájem haly Červená Voda"/>
        <s v="ubytování,strava Červená Voda"/>
        <s v="Zúčtování záloh Červená Voda"/>
        <s v="Kanc.potřeby - Prostějov"/>
        <s v="Léky - Prostějov"/>
        <s v="Strava Prostějov"/>
        <s v="Strava - Prostějov"/>
        <s v="Jízdné - Prostějov"/>
        <s v="Bazén - Prostějov"/>
        <s v="Pronájem učebny a sport.haly Vápenice"/>
        <s v="Pronájem haly Prostějov"/>
        <s v="Ubytování Prostějov"/>
        <s v="Zúčtování záloh Prostějov"/>
        <s v="Kanc.potřeby - PK I."/>
        <s v="Mat.ost. - PK II."/>
        <s v="Strava jarní kemp"/>
        <s v="Strava - kemp"/>
        <s v="Strava jarní skills kemp"/>
        <s v="Strava - PK I."/>
        <s v="Strava příměstský tábor"/>
        <s v="Strava příměstský kemp"/>
        <s v="Strava - PK II."/>
        <s v="Občerstvení hostů na skills"/>
        <s v="ubytování Pazdera + skills kemp"/>
        <s v="Pořádání PK I."/>
        <s v="Zúčtování záloh"/>
        <s v="Kalmar - strava"/>
        <s v="Trajekt Švédsko"/>
        <s v="Doprava - Švédsko"/>
        <s v="startovné Švédsko"/>
        <s v="ubytování Kalmar"/>
        <s v="Kursové ztráty - závazky"/>
        <s v="Kalmar - pojištění"/>
        <s v="Zúčtování záloh Kalmar"/>
        <s v="Zúčtování záloh Hummel"/>
        <s v="Startovné Prague games"/>
        <s v="ubytování Prague games"/>
        <s v="ubytování PG"/>
        <s v="Zúčtování záloh Prague games"/>
        <s v="St.žáci Prague games"/>
        <s v="Zúčtování záloh Gothia"/>
        <s v="Pronájem tělocvičny 1-5/2023"/>
        <s v="Pronájem sportovní haly 9-12/2023"/>
        <s v="Zúčtování záloh kroužek"/>
        <s v="Beseda"/>
        <s v="Trénování skills"/>
        <s v="Sekretář, manažer 6/23"/>
        <s v="Sekretář, manažer 7/23"/>
        <s v="Sekretář, manažer 8/23"/>
        <s v="Sekretář, manažer 9/23"/>
        <s v="Sekretář, manažer 10/23"/>
        <s v="Sekretář, manažer 11/23"/>
        <s v="Sekretář, manažer 12/23"/>
        <s v="Soc.sítě za 01/2023."/>
        <s v="Soc.sítě za 02/2023."/>
        <s v="Soc.sítě za 03/2023."/>
        <s v="Soc.sítě za 04/2023."/>
        <s v="Soc.sítě za 05/2023."/>
        <s v="Soc.sítě za 06/2023."/>
        <s v="Fakturujeme vám na základě Smlouvy o spolupráci &quot;Komplexní rozvoj oddílů&quot; za poskytnuté sportovn"/>
        <s v="Trénování junioři 7/2023"/>
        <s v="Trénování junioři 8/2023"/>
        <s v="Služby šéftrenéra/sport. managera 01/2023"/>
        <s v="Služby šéftrenéra/sport. managera 02/2023"/>
        <s v="Služby šéftrenéra/sport. managera 03/2023"/>
        <s v="Služby šéftrenéra/sport. managera 04/2023"/>
        <s v="Služby šéftrenéra/sport. managera 05/2023"/>
        <s v="Služby šéftrenéra/sport. managera 06/2023"/>
        <s v="Bonus leden-červen"/>
        <s v="Služby šéftrenéra/sport. managera 07/2023"/>
        <s v="Služby šéftrenéra/sport. managera 08/2023"/>
        <s v="Služby šéftrenéra/sport. managera 09/2023"/>
        <s v="Služby šéftrenéra/sport. managera 10/2023"/>
        <s v="Služby šéftrenéra/sport. managera 11/2023"/>
        <s v="Služby šéftrenéra/sport. managera 12/2023"/>
        <s v="Extrabonus 2023"/>
        <s v="Fakturujeme vám na základě Smlouvy o spolupráci &quot;Komplexní rozvoj oddílů&quot; za poskytnuté organiza"/>
        <s v="Cestovné stáž"/>
        <s v="Cestovné hospitace Budišov"/>
        <s v="Cestovné Reimer"/>
        <s v="Cestovné Hruška"/>
        <s v="Limonády Bohemsca"/>
        <s v="Vstupné"/>
        <s v="Oprava dveří za Lipník"/>
        <s v="Vstupenky"/>
        <s v="Fotografie"/>
        <s v="Poplatek veletrh"/>
        <s v="Poštovné"/>
        <s v="Registrace na portálu Olomouc.cz"/>
        <s v="Pronájem neb.prostor 12/2023"/>
        <s v="Pořádání veletrh sportů"/>
        <s v="Pořádání Moravia expo"/>
        <s v="Pořádání sport.dopoledne"/>
        <s v="Pokuta FÚ"/>
        <s v="Poj.pod.rizik Trend"/>
        <s v="Pojištění rizik Trend"/>
        <s v="Odpisy"/>
        <s v="Fakturujeme Vám pronájem mantinelů na SH Rooseveltova_x000d__x000a_"/>
        <s v="Fakturujeme Vám pronájem mantinelů na SGO únor - duben 2023_x000d__x000a_"/>
        <s v="Fakturujeme Vám pronájem mantinelů pro Peaches kemp v termínu 16-21.7.2023_x000d__x000a_"/>
        <s v="Fakturujeme Vám pronájem mantinelů na SGO září - prosinec 2023_x000d__x000a_"/>
        <s v="Fakturujeme Vám pronájem mantinelů_x000d__x000a_"/>
        <s v="VPO - reklama"/>
        <s v="Reklama Heemma"/>
        <s v="Fakturujeme Vám částku 49.316,- Kč na základě Smlouvy o reklamě a prezentaci z 30. 3. 2023._x000d__x000a_"/>
        <s v="Samigas"/>
        <s v="Fakturujeme Vám částku 60.000,- Kč dle smlouvy o reklamě ze dne 28.6.2023"/>
        <s v="Fakturujeme vám za reklamu na  tréninkových trikách  na základě smlouvy o reklamě ze dne 1.9.202"/>
        <s v="Fakturujeme Vám částku 15.000,- Kč dle smlouvy o reklamě  ze dne 1. 9. 2023"/>
        <s v="Fakturujeme Vám částku 30.000,- Kč dle smlouvy o reklamě  ze dne 1. 9. 2023"/>
        <s v="Fakturujeme Vám částku 10.000 na základě smlouvy o reklamě a propagaci ze dne 12.9.2022"/>
        <s v="Fakturujeme Vám částku 20.000 na základě smlouvy o reklamě a propagaci ze dne 1.9.2023"/>
        <s v="Reklama Poláček Petr"/>
        <s v="Fakturujeme Vám částku 36.000,- Kč dle smlouvy o reklamě  ze dne 1. 9. 2022"/>
        <s v="Marketingové plnění 2023"/>
        <s v="Fakturujeme Vám částku 11.000,- Kč dle smlouvy o reklamě  ze dne 1. 9. 2023"/>
        <s v="GPIDNSA0X0070GFY1GPORCK"/>
        <s v="GPIDNSA0X007NOT51GPORCK"/>
        <s v="Čipy"/>
        <s v="Izolační pásky"/>
        <s v="Léky"/>
        <s v="Vařič + toustovač"/>
        <s v="Pronájem SŠP kanceláře  01/2023"/>
        <s v="Pronájem SŠP kanceláře  02/2023"/>
        <s v="Pronájem SŠP kanceláře  03/2023"/>
        <s v="Pronájem SŠP kanceláře  04/2023"/>
        <s v="Pronájem SŠP kanceláře  05/2023"/>
        <s v="Pronájem SŠP kanceláře  06/2023"/>
        <s v="Pronájem kanceláře 07/2023"/>
        <s v="Pronájem kanceláře 08/2023"/>
        <s v="Pronájem kanceláře 09/2023"/>
        <s v="Pronájem kanceláře 10/2023"/>
        <s v="Pronájem kanceláře 11/2023"/>
        <s v="Pronájem kanceláře 12/2023"/>
        <s v="Časopis Media guide"/>
        <s v="Startovné "/>
        <s v="Hostování"/>
        <s v="Přestup"/>
        <s v="Licence"/>
        <s v="Střídavé hostování"/>
        <s v="Platba licence"/>
        <s v="Platba za hostování"/>
        <s v="Platba licence rozhodčí"/>
        <s v="hostování a přestup"/>
        <s v="Přestup Vatter"/>
        <s v="Přestup a hostování"/>
        <s v="Platba za přestupy"/>
        <s v="Platba licence trenérů"/>
        <s v="Platba licencí"/>
        <s v="Platba za přestup"/>
        <s v="Přestupy"/>
        <s v="Licence a hostování"/>
        <s v="Platba licenci"/>
        <s v="Školení a licence"/>
        <s v="Licence a střídavý start"/>
        <s v="Videoplatforma"/>
        <s v="Licence rozhodčí"/>
        <s v="platba hostování"/>
        <m/>
        <s v="eos servisní poplatek"/>
        <s v="Hosting k doméně FBSOLOMOUC.CZ a roční poplatek za doménu."/>
        <s v="Poskytnutí dat z www.ceskyflorbal.cz"/>
        <s v="Klubový web"/>
        <s v="Oprava poškozených dveří"/>
        <s v="Pronájem sportovní plochy 01/2023"/>
        <s v="Pronájem tělocvičny 01/2023"/>
        <s v="Pronájem sportovní haly za 01/2023"/>
        <s v="Pronájem sportovní haly 01/2023"/>
        <s v="Pronájem tělocvičny 02/2023"/>
        <s v="Pronájem sportovní plochy 02/2023"/>
        <s v="Pronájem sportovní haly 02/2023"/>
        <s v="Pronájem sportovní haly za 02/2023"/>
        <s v="Pronájem tělocvičny 03/2023"/>
        <s v="Pronájem sportovní haly 03/2023"/>
        <s v="Pronájem sportovní haly za 03/2023"/>
        <s v="Pronájem sportovní plochy 03/2023"/>
        <s v="Pronájem sportovní haly za 04/2023"/>
        <s v="Pronájem tělocvičny 04/2023"/>
        <s v="Pronájem sportovní plochy 04/2023"/>
        <s v="Pronájem sportovní haly 04/2023"/>
        <s v="Pronájem tělocvičny 05/2023"/>
        <s v="Pronájem sportovní haly 05/2023"/>
        <s v="Pronájem sportovní plochy 05/2023"/>
        <s v="Pronájem tělocvičny 06/2023"/>
        <s v="Pronájem sportovní haly 06/2023"/>
        <s v="Pronájem sportovní plochy 06/2023"/>
        <s v="Pronájem sportovní haly 08/2023"/>
        <s v="Pronájem sportovní haly 07/2023"/>
        <s v="Pronájem sportovní haly za 09/2023"/>
        <s v="Pronájem tělocvičny 09/2023"/>
        <s v="Pronájem sportovní plochy 09/2023"/>
        <s v="Pronájem sportovní haly 09/2023"/>
        <s v="Pronájem sportovní haly za 10/2023"/>
        <s v="Pronájem tělocvičny 10/2023"/>
        <s v="Pronájem sportovní plochy 10/2023"/>
        <s v="Pronájem sportovní haly 10/2023"/>
        <s v="Pronájem sportovní plochy 11/2023"/>
        <s v="Pronájem tělocvičny 11/2023"/>
        <s v="Pronájem sportovní haly za 11/2023"/>
        <s v="Pronájem sportovní haly 11/2023"/>
        <s v="Pronájem sportovní haly za 12/2023"/>
        <s v="Pronájem tělocvičny 12/2023"/>
        <s v="Pronájem sportovní haly 12/2023"/>
        <s v="Pronájem sportovní plochy 12/2023"/>
        <s v="Pronájem neb.prostor 10/2023"/>
        <s v="Fakturujeme Vám služby spojené s propagací města Olomouce v rámci extraligové soutěže a ostatníc"/>
        <s v="Fakturujeme vám organizační zajištění utkání Extraligy žen, která oddíl uspořádal od začátku kal"/>
        <s v="Fakturujeme vám organizační zajištění utkání Extraligy žen, která oddíl uspořádal v kalendářním "/>
        <s v="Fakturujeme vám zvýšené náklady na pořadatelskou službu při zajištění utkání v části sezóny spad"/>
        <s v="Fakturujeme vám na základě Smlouvy o spolupráci &quot;Komplexní rozvoj oddílů a florbalu&quot; za poskytnu"/>
        <s v="Fakturujeme Vám za vyplácení cestovních náhrad v soutěžích OL a MS kraje za rok 2023_x000d__x000a_(částka je"/>
        <s v="Fakturujeme vám organizační zajištění utkání ČEZ Extraligy žen, která oddíl uspořádal od začátku"/>
        <s v="Fakturujeme Vám na základě rámcové smlouvy podepsané dne 14.12.2023 za podíl na vzdělávání v obd"/>
        <s v="Fakturujeme Vám na základě smlouvy o spolupráci podepsané dne 1.12.2023."/>
        <s v="Fakturujeme Vám na základě smlouvy o spolupráci."/>
        <s v="Sportovní materiál"/>
        <s v="Sportovní materiál - Zerzánová"/>
        <s v="Ponožky"/>
        <s v="mikiny,tepláky"/>
        <s v="Tričko Givova"/>
        <s v="Šortky fanshop"/>
        <s v="Šortky, ponožky fanshop"/>
        <s v="Fanshop"/>
        <s v="Sport.materiál"/>
        <s v="Kulichy"/>
        <s v="Jeseník - strava" u="1"/>
        <s v="FBS Olomouc" u="1"/>
        <s v="Charitativní utkání FBS Olomouc" u="1"/>
        <s v="FBS Olomouc 26.11.2023" u="1"/>
        <s v="Sponzorsky dar" u="1"/>
        <s v="Dar florbal" u="1"/>
        <s v="Sportovní materiál - hokejka" u="1"/>
        <s v="Trika Fatpipe" u="1"/>
        <s v="Prodej materiálu" u="1"/>
        <s v="potisk dresů" u="1"/>
        <s v="Trika Basic, potisk" u="1"/>
        <s v="Potisk" u="1"/>
        <s v="Občerstvení . pivo" u="1"/>
        <s v="Fanshop 01/2023" u="1"/>
        <s v="Fanshop 02/2023" u="1"/>
        <s v="Fanshop 03/2023" u="1"/>
        <s v="Fanshop 04/2023" u="1"/>
        <s v="Fanshop 05/2023" u="1"/>
        <s v="brýle elévky F-P" u="1"/>
        <s v="dub ponozky" u="1"/>
        <s v="Sportovní materiál - dobropis" u="1"/>
        <s v="Sportovní materiál - mety" u="1"/>
        <s v="Pohár" u="1"/>
        <s v="Medaile" u="1"/>
        <s v="Sportovní materiál - předsíň" u="1"/>
        <s v="Sportovní materiál - míčky" u="1"/>
        <s v="Poháry" u="1"/>
        <s v="Lahve" u="1"/>
        <s v="Šortky" u="1"/>
        <s v="Poháry a medaile" u="1"/>
        <s v="Nožky na skříňku" u="1"/>
        <s v="Karabiny" u="1"/>
        <s v="Lednička" u="1"/>
        <s v="Propagační materiály" u="1"/>
        <s v="Limonády" u="1"/>
        <s v="Pivo" u="1"/>
        <s v="Letáky" u="1"/>
        <s v="Vstupenky superfinále" u="1"/>
      </sharedItems>
    </cacheField>
    <cacheField name="MD" numFmtId="0">
      <sharedItems containsSemiMixedTypes="0" containsString="0" containsNumber="1" minValue="-1274962.53" maxValue="481761"/>
    </cacheField>
    <cacheField name="D" numFmtId="0">
      <sharedItems containsSemiMixedTypes="0" containsString="0" containsNumber="1" minValue="-40806.54" maxValue="565248"/>
    </cacheField>
    <cacheField name="Částka" numFmtId="0">
      <sharedItems containsSemiMixedTypes="0" containsString="0" containsNumber="1" minValue="-481761" maxValue="1274962.53"/>
    </cacheField>
    <cacheField name="Cin" numFmtId="0">
      <sharedItems containsSemiMixedTypes="0" containsString="0" containsNumber="1" containsInteger="1" minValue="0" maxValue="6011"/>
    </cacheField>
    <cacheField name="Číslo" numFmtId="0">
      <sharedItems containsSemiMixedTypes="0" containsString="0" containsNumber="1" containsInteger="1" minValue="0" maxValue="6" count="7">
        <n v="0"/>
        <n v="1"/>
        <n v="2"/>
        <n v="3"/>
        <n v="4"/>
        <n v="5"/>
        <n v="6"/>
      </sharedItems>
    </cacheField>
    <cacheField name="Co" numFmtId="0">
      <sharedItems count="57">
        <s v="Mzdové náklady dohody"/>
        <s v="Odpis nedobytné pohledávky"/>
        <s v="Jiné ostatní náklady"/>
        <s v="Tvorba a použití opravných položek"/>
        <s v="Náklady na cestovné"/>
        <s v="Trénování"/>
        <s v="Startovné turnaje"/>
        <s v="Pronájem haly"/>
        <s v="Ubytování"/>
        <s v="Přestup"/>
        <s v="Rozhodčí"/>
        <s v="Pořádání turnajů"/>
        <s v="Tržby z prodeje služeb"/>
        <s v="Startovné"/>
        <s v="Turnaje"/>
        <s v="Přijaté členské příspěvky"/>
        <s v="Ostatní služby"/>
        <s v="Strava akce"/>
        <s v="Reklama"/>
        <s v="Náklady na reprezentaci"/>
        <s v="Materiál - NEUZNATELNĚ"/>
        <s v="Materiál ostatní"/>
        <s v="Pronájem haly soustř."/>
        <s v="Soustředění"/>
        <s v="Příměstský kemp"/>
        <s v="Kurzové ztráty"/>
        <s v="Pojištění Kooperativa, Generali"/>
        <s v="Skills"/>
        <s v="Sekretář"/>
        <s v="Internet"/>
        <s v="Dotace Český florbal"/>
        <s v="Šéftrenér"/>
        <s v="Pronájem kanceláře"/>
        <s v="Ostatní pokuty a penále"/>
        <s v="Odpisy dlouhodobého majetku"/>
        <s v="Pronájem mantinely"/>
        <s v="Provozní dotace kraj"/>
        <s v="Provozní dotace město"/>
        <s v="Provozní dotace NSA"/>
        <s v="Poplatky Český florbal"/>
        <s v="Sportovní materiál k prodeji"/>
        <s v="Odstupné" u="1"/>
        <s v="MČR" u="1"/>
        <s v="Lékárnička" u="1"/>
        <s v="Kanc. potřeby" u="1"/>
        <s v="kroužek" u="1"/>
        <s v="Kompenzace Český florbal" u="1"/>
        <s v="Poštovné" u="1"/>
        <s v="Dary" u="1"/>
        <s v="Pronájem hala" u="1"/>
        <s v="Přijaté příspěvky (dary)" u="1"/>
        <s v="Elektronika" u="1"/>
        <s v="Registrace" u="1"/>
        <s v="Spotřeba sportovního materiálu" u="1"/>
        <s v="Reklamní předměty, trika s potiskem" u="1"/>
        <s v="Marketingové služby" u="1"/>
        <s v="Tržby za prodej vybavení" u="1"/>
      </sharedItems>
    </cacheField>
    <cacheField name="Kdo" numFmtId="0">
      <sharedItems count="71">
        <s v="Neznámý"/>
        <s v="1011-Muži A"/>
        <s v="1012-Muži B"/>
        <s v="1021-Junioři"/>
        <s v="1031-Dorostenci"/>
        <s v="1041-Starší žáci"/>
        <s v="1051-Mladší žáci"/>
        <s v="1061-Elévové"/>
        <s v="1071-Přípravka"/>
        <s v="2011-Ženy A"/>
        <s v="2012-Ženy B"/>
        <s v="2021-Juniorky"/>
        <s v="2031-Dorostenky"/>
        <s v="2041-Starší žákyně"/>
        <s v="2051-Mladší žákyně"/>
        <s v="2061-Elévky"/>
        <s v="3011-Soustředění Jeseník"/>
        <s v="3012-Soustředění Hluk"/>
        <s v="3013-Soustředění Prostějov"/>
        <s v="3014-Příměstský tábor"/>
        <s v="3020-Turnaj Švédsko ženy"/>
        <s v="3024-Hummel"/>
        <s v="3027-Prague Games"/>
        <s v="3028-Turnaj Gothia"/>
        <s v="4011-Kroužky"/>
        <s v="4021-Skills Camp"/>
        <s v="4031-Sekretář"/>
        <s v="4041-Šéftrenér"/>
        <s v="5011-Výkonný výbor"/>
        <s v="5012-Kancelář"/>
        <s v="5031-Startovné"/>
        <s v="5032-Poplatky ČF"/>
        <s v="5051-Platby EOS"/>
        <s v="5061-Haly"/>
        <s v="5071-Český florbal"/>
        <s v="6011-Fanshop"/>
        <s v="6021-Materiál" u="1"/>
        <s v="Přípravka" u="1"/>
        <s v="Dorostenky" u="1"/>
        <s v="Junioři" u="1"/>
        <s v="Sekretář" u="1"/>
        <s v="Turnaj Gothia" u="1"/>
        <s v="Elévky" u="1"/>
        <s v="Dorostenci" u="1"/>
        <s v="Soustředění Hluk" u="1"/>
        <s v="Startovné" u="1"/>
        <s v="Muži A" u="1"/>
        <s v="Ženy A" u="1"/>
        <s v="Fanshop" u="1"/>
        <s v="Muži B" u="1"/>
        <s v="Ženy B" u="1"/>
        <s v="Mladší žákyně" u="1"/>
        <s v="Soustředění Jeseník" u="1"/>
        <s v="Mladší žáci" u="1"/>
        <s v="Materiál" u="1"/>
        <s v="Platby EOS" u="1"/>
        <s v="Kroužky" u="1"/>
        <s v="Juniorky" u="1"/>
        <s v="Skills Camp" u="1"/>
        <e v="#N/A" u="1"/>
        <s v="Starší žákyně" u="1"/>
        <s v="Starší žáci" u="1"/>
        <s v="Poplatky ČF" u="1"/>
        <s v="Příměstský tábor" u="1"/>
        <s v="Haly" u="1"/>
        <s v="Elévové" u="1"/>
        <s v="Soustředění Prostějov" u="1"/>
        <s v="Kancelář" u="1"/>
        <s v="Šéftrenér" u="1"/>
        <s v="Výkonný výbor" u="1"/>
        <s v="Turnaj Švédsko ženy" u="1"/>
      </sharedItems>
    </cacheField>
    <cacheField name="Středisko" numFmtId="0">
      <sharedItems count="81">
        <s v="Neurčeno"/>
        <s v="Muži A"/>
        <s v="Muži B"/>
        <s v="Junioři"/>
        <s v="Dorostenci"/>
        <s v="Starší žáci"/>
        <s v="Mladší žáci"/>
        <s v="Elévové"/>
        <s v="Přípravka"/>
        <s v="Ženy A"/>
        <s v="Ženy B"/>
        <s v="Juniorky"/>
        <s v="Dorostenky"/>
        <s v="Starší žákyně"/>
        <s v="Mladší žákyně"/>
        <s v="Elévky"/>
        <s v="Soustředění Jeseník"/>
        <s v="Soustředění Hluk"/>
        <s v="Soustředění Prostějov"/>
        <s v="Příměstský tábor"/>
        <s v="Turnaj Švédsko ženy"/>
        <s v="Hummel"/>
        <s v="Prague Games"/>
        <s v="Turnaj Gothia"/>
        <s v="Kroužky"/>
        <s v="Skills Camp"/>
        <s v="Sekretář"/>
        <s v="Šéftrenér"/>
        <s v="Výkonný výbor"/>
        <s v="Kancelář"/>
        <s v="Startovné"/>
        <s v="Poplatky ČF"/>
        <s v="Platby EOS"/>
        <s v="Haly"/>
        <s v="Český florbal"/>
        <s v="Fanshop"/>
        <e v="#N/A" u="1"/>
        <s v="Mzdové náklady dohody" u="1"/>
        <s v="Odpis nedobytné pohledávky" u="1"/>
        <s v="Jiné ostatní náklady" u="1"/>
        <s v="Tvorba a použití opravných položek" u="1"/>
        <s v="Náklady na cestovné" u="1"/>
        <s v="Trénování" u="1"/>
        <s v="Startovné turnaje" u="1"/>
        <s v="Pronájem haly" u="1"/>
        <s v="Ubytování" u="1"/>
        <s v="Přestup" u="1"/>
        <s v="Rozhodčí" u="1"/>
        <s v="Pořádání turnajů" u="1"/>
        <s v="Tržby z prodeje služeb" u="1"/>
        <s v="Turnaje" u="1"/>
        <s v="Přijaté členské příspěvky" u="1"/>
        <s v="Ostatní služby" u="1"/>
        <s v="Strava akce" u="1"/>
        <s v="Reklama" u="1"/>
        <s v="Náklady na reprezentaci" u="1"/>
        <s v="Materiál - NEUZNATELNĚ" u="1"/>
        <s v="Materiál ostatní" u="1"/>
        <s v="Pronájem haly soustř." u="1"/>
        <s v="Soustředění" u="1"/>
        <s v="Příměstský kemp" u="1"/>
        <s v="Kurzové ztráty" u="1"/>
        <s v="Pojištění Kooperativa, Generali" u="1"/>
        <s v="Skills" u="1"/>
        <s v="Internet" u="1"/>
        <s v="Dotace Český florbal" u="1"/>
        <s v="Pronájem kanceláře" u="1"/>
        <s v="Ostatní pokuty a penále" u="1"/>
        <s v="Odpisy dlouhodobého majetku" u="1"/>
        <s v="Pronájem mantinely" u="1"/>
        <s v="Provozní dotace kraj" u="1"/>
        <s v="Provozní dotace město" u="1"/>
        <s v="Provozní dotace NSA" u="1"/>
        <s v="Poplatky Český florbal" u="1"/>
        <s v="Sportovní materiál k prodeji" u="1"/>
        <s v="1-Muži" u="1"/>
        <s v="2-Ženy" u="1"/>
        <s v="3-Akce" u="1"/>
        <s v="4-Šef. a sekr." u="1"/>
        <s v="5-Klub" u="1"/>
        <s v="6-Materiál" u="1"/>
      </sharedItems>
    </cacheField>
    <cacheField name="Kladná" numFmtId="0" formula=" -1*Částka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9">
  <r>
    <s v="31.01.2023"/>
    <s v="VL 2301"/>
    <s v="IN"/>
    <m/>
    <x v="0"/>
    <n v="61755"/>
    <n v="0"/>
    <n v="-61755"/>
    <n v="0"/>
    <x v="0"/>
    <x v="0"/>
    <x v="0"/>
    <x v="0"/>
  </r>
  <r>
    <s v="28.02.2023"/>
    <s v="VL 2302"/>
    <s v="IN"/>
    <m/>
    <x v="1"/>
    <n v="72020"/>
    <n v="0"/>
    <n v="-72020"/>
    <n v="0"/>
    <x v="0"/>
    <x v="0"/>
    <x v="0"/>
    <x v="0"/>
  </r>
  <r>
    <s v="31.03.2023"/>
    <s v="VL 2303"/>
    <s v="IN"/>
    <m/>
    <x v="2"/>
    <n v="62000"/>
    <n v="0"/>
    <n v="-62000"/>
    <n v="0"/>
    <x v="0"/>
    <x v="0"/>
    <x v="0"/>
    <x v="0"/>
  </r>
  <r>
    <s v="30.04.2023"/>
    <s v="VL 2304"/>
    <s v="IN"/>
    <m/>
    <x v="3"/>
    <n v="55725"/>
    <n v="0"/>
    <n v="-55725"/>
    <n v="0"/>
    <x v="0"/>
    <x v="0"/>
    <x v="0"/>
    <x v="0"/>
  </r>
  <r>
    <s v="31.05.2023"/>
    <s v="VL 2305"/>
    <s v="IN"/>
    <m/>
    <x v="4"/>
    <n v="36550"/>
    <n v="0"/>
    <n v="-36550"/>
    <n v="0"/>
    <x v="0"/>
    <x v="0"/>
    <x v="0"/>
    <x v="0"/>
  </r>
  <r>
    <s v="30.06.2023"/>
    <s v="VL 2306"/>
    <s v="IN"/>
    <m/>
    <x v="5"/>
    <n v="54395"/>
    <n v="0"/>
    <n v="-54395"/>
    <n v="0"/>
    <x v="0"/>
    <x v="0"/>
    <x v="0"/>
    <x v="0"/>
  </r>
  <r>
    <s v="31.07.2023"/>
    <s v="VL 2307"/>
    <s v="IN"/>
    <m/>
    <x v="6"/>
    <n v="35850"/>
    <n v="0"/>
    <n v="-35850"/>
    <n v="0"/>
    <x v="0"/>
    <x v="0"/>
    <x v="0"/>
    <x v="0"/>
  </r>
  <r>
    <s v="31.08.2023"/>
    <s v="VL 2308"/>
    <s v="IN"/>
    <m/>
    <x v="7"/>
    <n v="64340"/>
    <n v="0"/>
    <n v="-64340"/>
    <n v="0"/>
    <x v="0"/>
    <x v="0"/>
    <x v="0"/>
    <x v="0"/>
  </r>
  <r>
    <s v="30.09.2023"/>
    <s v="VL 2309"/>
    <s v="IN"/>
    <m/>
    <x v="8"/>
    <n v="63455"/>
    <n v="0"/>
    <n v="-63455"/>
    <n v="0"/>
    <x v="0"/>
    <x v="0"/>
    <x v="0"/>
    <x v="0"/>
  </r>
  <r>
    <s v="31.10.2023"/>
    <s v="VL 2310"/>
    <s v="IN"/>
    <m/>
    <x v="9"/>
    <n v="49675"/>
    <n v="0"/>
    <n v="-49675"/>
    <n v="0"/>
    <x v="0"/>
    <x v="0"/>
    <x v="0"/>
    <x v="0"/>
  </r>
  <r>
    <s v="30.11.2023"/>
    <s v="VL 2311"/>
    <s v="IN"/>
    <m/>
    <x v="10"/>
    <n v="67470"/>
    <n v="0"/>
    <n v="-67470"/>
    <n v="0"/>
    <x v="0"/>
    <x v="0"/>
    <x v="0"/>
    <x v="0"/>
  </r>
  <r>
    <s v="31.12.2023"/>
    <s v="VL 2312"/>
    <s v="IN"/>
    <m/>
    <x v="11"/>
    <n v="51650"/>
    <n v="0"/>
    <n v="-51650"/>
    <n v="0"/>
    <x v="0"/>
    <x v="0"/>
    <x v="0"/>
    <x v="0"/>
  </r>
  <r>
    <s v="31.12.2023"/>
    <s v="VL stř"/>
    <s v="IN"/>
    <m/>
    <x v="12"/>
    <n v="-674885"/>
    <n v="0"/>
    <n v="674885"/>
    <n v="0"/>
    <x v="0"/>
    <x v="0"/>
    <x v="0"/>
    <x v="0"/>
  </r>
  <r>
    <s v="31.12.2023"/>
    <s v="D 2312008"/>
    <s v="IN"/>
    <m/>
    <x v="13"/>
    <n v="982"/>
    <n v="0"/>
    <n v="-982"/>
    <n v="0"/>
    <x v="0"/>
    <x v="1"/>
    <x v="0"/>
    <x v="0"/>
  </r>
  <r>
    <s v="31.01.2023"/>
    <s v="FIO0010282"/>
    <s v="BV"/>
    <m/>
    <x v="14"/>
    <n v="10"/>
    <n v="0"/>
    <n v="-10"/>
    <n v="0"/>
    <x v="0"/>
    <x v="2"/>
    <x v="0"/>
    <x v="0"/>
  </r>
  <r>
    <s v="28.02.2023"/>
    <s v="FIO0020158"/>
    <s v="BV"/>
    <m/>
    <x v="14"/>
    <n v="10"/>
    <n v="0"/>
    <n v="-10"/>
    <n v="0"/>
    <x v="0"/>
    <x v="2"/>
    <x v="0"/>
    <x v="0"/>
  </r>
  <r>
    <s v="31.03.2023"/>
    <s v="FIO0030110"/>
    <s v="BV"/>
    <m/>
    <x v="14"/>
    <n v="10"/>
    <n v="0"/>
    <n v="-10"/>
    <n v="0"/>
    <x v="0"/>
    <x v="2"/>
    <x v="0"/>
    <x v="0"/>
  </r>
  <r>
    <s v="30.04.2023"/>
    <s v="FIO0040167"/>
    <s v="BV"/>
    <m/>
    <x v="14"/>
    <n v="10"/>
    <n v="0"/>
    <n v="-10"/>
    <n v="0"/>
    <x v="0"/>
    <x v="2"/>
    <x v="0"/>
    <x v="0"/>
  </r>
  <r>
    <s v="31.05.2023"/>
    <s v="FIO0050266"/>
    <s v="BV"/>
    <m/>
    <x v="14"/>
    <n v="10"/>
    <n v="0"/>
    <n v="-10"/>
    <n v="0"/>
    <x v="0"/>
    <x v="2"/>
    <x v="0"/>
    <x v="0"/>
  </r>
  <r>
    <s v="30.06.2023"/>
    <s v="FIO0060244"/>
    <s v="BV"/>
    <m/>
    <x v="14"/>
    <n v="10"/>
    <n v="0"/>
    <n v="-10"/>
    <n v="0"/>
    <x v="0"/>
    <x v="2"/>
    <x v="0"/>
    <x v="0"/>
  </r>
  <r>
    <s v="31.07.2023"/>
    <s v="FIO0070174"/>
    <s v="BV"/>
    <m/>
    <x v="14"/>
    <n v="10"/>
    <n v="0"/>
    <n v="-10"/>
    <n v="0"/>
    <x v="0"/>
    <x v="2"/>
    <x v="0"/>
    <x v="0"/>
  </r>
  <r>
    <s v="31.08.2023"/>
    <s v="FIO0080124"/>
    <s v="BV"/>
    <m/>
    <x v="14"/>
    <n v="10"/>
    <n v="0"/>
    <n v="-10"/>
    <n v="0"/>
    <x v="0"/>
    <x v="2"/>
    <x v="0"/>
    <x v="0"/>
  </r>
  <r>
    <s v="30.09.2023"/>
    <s v="FIO0090286"/>
    <s v="BV"/>
    <m/>
    <x v="14"/>
    <n v="10"/>
    <n v="0"/>
    <n v="-10"/>
    <n v="0"/>
    <x v="0"/>
    <x v="2"/>
    <x v="0"/>
    <x v="0"/>
  </r>
  <r>
    <s v="31.10.2023"/>
    <s v="FIO0100226"/>
    <s v="BV"/>
    <m/>
    <x v="14"/>
    <n v="10"/>
    <n v="0"/>
    <n v="-10"/>
    <n v="0"/>
    <x v="0"/>
    <x v="2"/>
    <x v="0"/>
    <x v="0"/>
  </r>
  <r>
    <s v="30.11.2023"/>
    <s v="FIO0110007"/>
    <s v="BV"/>
    <m/>
    <x v="14"/>
    <n v="10"/>
    <n v="0"/>
    <n v="-10"/>
    <n v="0"/>
    <x v="0"/>
    <x v="2"/>
    <x v="0"/>
    <x v="0"/>
  </r>
  <r>
    <s v="31.12.2023"/>
    <s v="FIO0120177"/>
    <s v="BV"/>
    <m/>
    <x v="14"/>
    <n v="10"/>
    <n v="0"/>
    <n v="-10"/>
    <n v="0"/>
    <x v="0"/>
    <x v="2"/>
    <x v="0"/>
    <x v="0"/>
  </r>
  <r>
    <s v="31.12.2023"/>
    <s v="D 2312008"/>
    <s v="IN"/>
    <m/>
    <x v="13"/>
    <n v="-33291"/>
    <n v="0"/>
    <n v="33291"/>
    <n v="0"/>
    <x v="0"/>
    <x v="3"/>
    <x v="0"/>
    <x v="0"/>
  </r>
  <r>
    <s v="08.03.2023"/>
    <s v="PF 2303006"/>
    <s v="FP"/>
    <s v="Mgr. Jan Žváček"/>
    <x v="15"/>
    <n v="9387"/>
    <n v="0"/>
    <n v="-9387"/>
    <n v="1011"/>
    <x v="1"/>
    <x v="4"/>
    <x v="1"/>
    <x v="1"/>
  </r>
  <r>
    <s v="31.01.2023"/>
    <s v="PF 2301012"/>
    <s v="FP"/>
    <s v="Lukáš Kočiřík"/>
    <x v="16"/>
    <n v="13000"/>
    <n v="0"/>
    <n v="-13000"/>
    <n v="1011"/>
    <x v="1"/>
    <x v="5"/>
    <x v="1"/>
    <x v="1"/>
  </r>
  <r>
    <s v="28.02.2023"/>
    <s v="PF 2302014"/>
    <s v="FP"/>
    <s v="Lukáš Kočiřík"/>
    <x v="17"/>
    <n v="13000"/>
    <n v="0"/>
    <n v="-13000"/>
    <n v="1011"/>
    <x v="1"/>
    <x v="5"/>
    <x v="1"/>
    <x v="1"/>
  </r>
  <r>
    <s v="30.03.2023"/>
    <s v="PF 2303015"/>
    <s v="FP"/>
    <s v="Zdeněk Hányš"/>
    <x v="18"/>
    <n v="14560"/>
    <n v="0"/>
    <n v="-14560"/>
    <n v="1011"/>
    <x v="1"/>
    <x v="5"/>
    <x v="1"/>
    <x v="1"/>
  </r>
  <r>
    <s v="31.03.2023"/>
    <s v="PF 2303013"/>
    <s v="FP"/>
    <s v="Lukáš Kočiřík"/>
    <x v="19"/>
    <n v="13000"/>
    <n v="0"/>
    <n v="-13000"/>
    <n v="1011"/>
    <x v="1"/>
    <x v="5"/>
    <x v="1"/>
    <x v="1"/>
  </r>
  <r>
    <s v="30.04.2023"/>
    <s v="PF 2304016"/>
    <s v="FP"/>
    <s v="Lukáš Kočiřík"/>
    <x v="20"/>
    <n v="13000"/>
    <n v="0"/>
    <n v="-13000"/>
    <n v="1011"/>
    <x v="1"/>
    <x v="5"/>
    <x v="1"/>
    <x v="1"/>
  </r>
  <r>
    <s v="31.05.2023"/>
    <s v="PF 2305021"/>
    <s v="FP"/>
    <s v="Lukáš Kočiřík"/>
    <x v="21"/>
    <n v="12000"/>
    <n v="0"/>
    <n v="-12000"/>
    <n v="1011"/>
    <x v="1"/>
    <x v="5"/>
    <x v="1"/>
    <x v="1"/>
  </r>
  <r>
    <s v="30.06.2023"/>
    <s v="PF2306018"/>
    <s v="FP"/>
    <s v="Lukáš Kočiřík"/>
    <x v="22"/>
    <n v="12000"/>
    <n v="0"/>
    <n v="-12000"/>
    <n v="1011"/>
    <x v="1"/>
    <x v="5"/>
    <x v="1"/>
    <x v="1"/>
  </r>
  <r>
    <s v="08.07.2023"/>
    <s v="PF2307003"/>
    <s v="FP"/>
    <s v="Zdeněk Hányš"/>
    <x v="18"/>
    <n v="24680"/>
    <n v="0"/>
    <n v="-24680"/>
    <n v="1011"/>
    <x v="1"/>
    <x v="5"/>
    <x v="1"/>
    <x v="1"/>
  </r>
  <r>
    <s v="31.07.2023"/>
    <s v="PF2307006"/>
    <s v="FP"/>
    <s v="Lukáš Kočiřík"/>
    <x v="23"/>
    <n v="12000"/>
    <n v="0"/>
    <n v="-12000"/>
    <n v="1011"/>
    <x v="1"/>
    <x v="5"/>
    <x v="1"/>
    <x v="1"/>
  </r>
  <r>
    <s v="31.08.2023"/>
    <s v="PF 2308013"/>
    <s v="FP"/>
    <s v="Daniel Tichý"/>
    <x v="24"/>
    <n v="4000"/>
    <n v="0"/>
    <n v="-4000"/>
    <n v="1011"/>
    <x v="1"/>
    <x v="5"/>
    <x v="1"/>
    <x v="1"/>
  </r>
  <r>
    <s v="31.08.2023"/>
    <s v="PF 2308014"/>
    <s v="FP"/>
    <s v="Lukáš Kočiřík"/>
    <x v="25"/>
    <n v="12000"/>
    <n v="0"/>
    <n v="-12000"/>
    <n v="1011"/>
    <x v="1"/>
    <x v="5"/>
    <x v="1"/>
    <x v="1"/>
  </r>
  <r>
    <s v="30.09.2023"/>
    <s v="PF 2309027"/>
    <s v="FP"/>
    <s v="Lukáš Kočiřík"/>
    <x v="26"/>
    <n v="12000"/>
    <n v="0"/>
    <n v="-12000"/>
    <n v="1011"/>
    <x v="1"/>
    <x v="5"/>
    <x v="1"/>
    <x v="1"/>
  </r>
  <r>
    <s v="31.10.2023"/>
    <s v="PF 2310023"/>
    <s v="FP"/>
    <s v="Lukáš Kočiřík"/>
    <x v="27"/>
    <n v="12000"/>
    <n v="0"/>
    <n v="-12000"/>
    <n v="1011"/>
    <x v="1"/>
    <x v="5"/>
    <x v="1"/>
    <x v="1"/>
  </r>
  <r>
    <s v="31.10.2023"/>
    <s v="PF 2310027"/>
    <s v="FP"/>
    <s v="Zdeněk Hányš"/>
    <x v="18"/>
    <n v="32720"/>
    <n v="0"/>
    <n v="-32720"/>
    <n v="1011"/>
    <x v="1"/>
    <x v="5"/>
    <x v="1"/>
    <x v="1"/>
  </r>
  <r>
    <s v="30.11.2023"/>
    <s v="PF 2311022"/>
    <s v="FP"/>
    <s v="Lukáš Kočiřík"/>
    <x v="28"/>
    <n v="12000"/>
    <n v="0"/>
    <n v="-12000"/>
    <n v="1011"/>
    <x v="1"/>
    <x v="5"/>
    <x v="1"/>
    <x v="1"/>
  </r>
  <r>
    <s v="31.12.2023"/>
    <s v="PF 2312015"/>
    <s v="FP"/>
    <s v="Lukáš Kočiřík"/>
    <x v="29"/>
    <n v="12000"/>
    <n v="0"/>
    <n v="-12000"/>
    <n v="1011"/>
    <x v="1"/>
    <x v="5"/>
    <x v="1"/>
    <x v="1"/>
  </r>
  <r>
    <s v="31.12.2023"/>
    <s v="PF 2312016"/>
    <s v="FP"/>
    <s v="Zdeněk Hányš"/>
    <x v="18"/>
    <n v="26050"/>
    <n v="0"/>
    <n v="-26050"/>
    <n v="1011"/>
    <x v="1"/>
    <x v="5"/>
    <x v="1"/>
    <x v="1"/>
  </r>
  <r>
    <s v="09.08.2023"/>
    <s v="PF 2308029"/>
    <s v="FP"/>
    <s v="Tělovýchovná jednota Tatran Střešovice, z. s."/>
    <x v="30"/>
    <n v="16000"/>
    <n v="0"/>
    <n v="-16000"/>
    <n v="1011"/>
    <x v="1"/>
    <x v="6"/>
    <x v="1"/>
    <x v="1"/>
  </r>
  <r>
    <s v="31.12.2023"/>
    <s v="D haly stř"/>
    <s v="IN"/>
    <m/>
    <x v="31"/>
    <n v="135991.67000000001"/>
    <n v="0"/>
    <n v="-135991.67000000001"/>
    <n v="1011"/>
    <x v="1"/>
    <x v="7"/>
    <x v="1"/>
    <x v="1"/>
  </r>
  <r>
    <s v="19.07.2023"/>
    <s v="PF 2307015"/>
    <s v="FP"/>
    <s v="Vysoká škola chemicko-technologická v Praze"/>
    <x v="32"/>
    <n v="-1600"/>
    <n v="0"/>
    <n v="1600"/>
    <n v="1011"/>
    <x v="1"/>
    <x v="8"/>
    <x v="1"/>
    <x v="1"/>
  </r>
  <r>
    <s v="13.08.2023"/>
    <s v="PF 2308003"/>
    <s v="FP"/>
    <s v="Vysoká škola chemicko-technologická v Praze"/>
    <x v="32"/>
    <n v="36020"/>
    <n v="0"/>
    <n v="-36020"/>
    <n v="1011"/>
    <x v="1"/>
    <x v="8"/>
    <x v="1"/>
    <x v="1"/>
  </r>
  <r>
    <s v="12.08.2023"/>
    <s v="PF 2308002"/>
    <s v="FP"/>
    <s v="Fbc  Šternberk, z. s."/>
    <x v="33"/>
    <n v="12000"/>
    <n v="0"/>
    <n v="-12000"/>
    <n v="1011"/>
    <x v="1"/>
    <x v="9"/>
    <x v="1"/>
    <x v="1"/>
  </r>
  <r>
    <s v="15.08.2023"/>
    <s v="PF 2308005"/>
    <s v="FP"/>
    <s v="FBC SLOVÁCKO"/>
    <x v="34"/>
    <n v="10000"/>
    <n v="0"/>
    <n v="-10000"/>
    <n v="1011"/>
    <x v="1"/>
    <x v="9"/>
    <x v="1"/>
    <x v="1"/>
  </r>
  <r>
    <s v="31.08.2023"/>
    <s v="PF 2308018"/>
    <s v="FP"/>
    <s v="FBC OSTRAVA z.s."/>
    <x v="35"/>
    <n v="10000"/>
    <n v="0"/>
    <n v="-10000"/>
    <n v="1011"/>
    <x v="1"/>
    <x v="9"/>
    <x v="1"/>
    <x v="1"/>
  </r>
  <r>
    <s v="03.10.2023"/>
    <s v="PF 2310031"/>
    <s v="FP"/>
    <s v="TJ SOKOL Praha Král. Vinohrady"/>
    <x v="36"/>
    <n v="5000"/>
    <n v="0"/>
    <n v="-5000"/>
    <n v="1011"/>
    <x v="1"/>
    <x v="9"/>
    <x v="1"/>
    <x v="1"/>
  </r>
  <r>
    <s v="08.01.2023"/>
    <s v="D 2301007"/>
    <s v="IN"/>
    <m/>
    <x v="37"/>
    <n v="1770"/>
    <n v="0"/>
    <n v="-1770"/>
    <n v="1011"/>
    <x v="1"/>
    <x v="10"/>
    <x v="1"/>
    <x v="1"/>
  </r>
  <r>
    <s v="29.01.2023"/>
    <s v="D 2301017"/>
    <s v="IN"/>
    <m/>
    <x v="37"/>
    <n v="1635"/>
    <n v="0"/>
    <n v="-1635"/>
    <n v="1011"/>
    <x v="1"/>
    <x v="10"/>
    <x v="1"/>
    <x v="1"/>
  </r>
  <r>
    <s v="04.03.2023"/>
    <s v="D 2303002"/>
    <s v="IN"/>
    <m/>
    <x v="37"/>
    <n v="1870"/>
    <n v="0"/>
    <n v="-1870"/>
    <n v="1011"/>
    <x v="1"/>
    <x v="10"/>
    <x v="1"/>
    <x v="1"/>
  </r>
  <r>
    <s v="05.03.2023"/>
    <s v="D 2303003"/>
    <s v="IN"/>
    <m/>
    <x v="37"/>
    <n v="1870"/>
    <n v="0"/>
    <n v="-1870"/>
    <n v="1011"/>
    <x v="1"/>
    <x v="10"/>
    <x v="1"/>
    <x v="1"/>
  </r>
  <r>
    <s v="20.08.2023"/>
    <s v="D 2308001"/>
    <s v="IN"/>
    <m/>
    <x v="38"/>
    <n v="10790"/>
    <n v="0"/>
    <n v="-10790"/>
    <n v="1011"/>
    <x v="1"/>
    <x v="10"/>
    <x v="1"/>
    <x v="1"/>
  </r>
  <r>
    <s v="10.09.2023"/>
    <s v="D 2309002"/>
    <s v="IN"/>
    <m/>
    <x v="39"/>
    <n v="1770"/>
    <n v="0"/>
    <n v="-1770"/>
    <n v="1011"/>
    <x v="1"/>
    <x v="10"/>
    <x v="1"/>
    <x v="1"/>
  </r>
  <r>
    <s v="24.09.2023"/>
    <s v="D 2309006"/>
    <s v="IN"/>
    <m/>
    <x v="40"/>
    <n v="1500"/>
    <n v="0"/>
    <n v="-1500"/>
    <n v="1011"/>
    <x v="1"/>
    <x v="10"/>
    <x v="1"/>
    <x v="1"/>
  </r>
  <r>
    <s v="08.10.2023"/>
    <s v="D 2310005"/>
    <s v="IN"/>
    <m/>
    <x v="40"/>
    <n v="1860"/>
    <n v="0"/>
    <n v="-1860"/>
    <n v="1011"/>
    <x v="1"/>
    <x v="10"/>
    <x v="1"/>
    <x v="1"/>
  </r>
  <r>
    <s v="24.11.2023"/>
    <s v="D 2311008"/>
    <s v="IN"/>
    <m/>
    <x v="40"/>
    <n v="1770"/>
    <n v="0"/>
    <n v="-1770"/>
    <n v="1011"/>
    <x v="1"/>
    <x v="10"/>
    <x v="1"/>
    <x v="1"/>
  </r>
  <r>
    <s v="26.11.2023"/>
    <s v="D 2311009"/>
    <s v="IN"/>
    <m/>
    <x v="40"/>
    <n v="1890"/>
    <n v="0"/>
    <n v="-1890"/>
    <n v="1011"/>
    <x v="1"/>
    <x v="10"/>
    <x v="1"/>
    <x v="1"/>
  </r>
  <r>
    <s v="09.12.2023"/>
    <s v="D 2312002"/>
    <s v="IN"/>
    <m/>
    <x v="40"/>
    <n v="1890"/>
    <n v="0"/>
    <n v="-1890"/>
    <n v="1011"/>
    <x v="1"/>
    <x v="10"/>
    <x v="1"/>
    <x v="1"/>
  </r>
  <r>
    <s v="08.01.2023"/>
    <s v="PV 2301003"/>
    <s v="PO"/>
    <m/>
    <x v="41"/>
    <n v="1200"/>
    <n v="0"/>
    <n v="-1200"/>
    <n v="1011"/>
    <x v="1"/>
    <x v="11"/>
    <x v="1"/>
    <x v="1"/>
  </r>
  <r>
    <s v="29.01.2023"/>
    <s v="PV 2301011"/>
    <s v="PO"/>
    <m/>
    <x v="41"/>
    <n v="1200"/>
    <n v="0"/>
    <n v="-1200"/>
    <n v="1011"/>
    <x v="1"/>
    <x v="11"/>
    <x v="1"/>
    <x v="1"/>
  </r>
  <r>
    <s v="11.02.2023"/>
    <s v="PV 2302006"/>
    <s v="PO"/>
    <m/>
    <x v="41"/>
    <n v="1200"/>
    <n v="0"/>
    <n v="-1200"/>
    <n v="1011"/>
    <x v="1"/>
    <x v="11"/>
    <x v="1"/>
    <x v="1"/>
  </r>
  <r>
    <s v="04.03.2023"/>
    <s v="PV 2303002"/>
    <s v="PO"/>
    <m/>
    <x v="41"/>
    <n v="1200"/>
    <n v="0"/>
    <n v="-1200"/>
    <n v="1011"/>
    <x v="1"/>
    <x v="11"/>
    <x v="1"/>
    <x v="1"/>
  </r>
  <r>
    <s v="05.03.2023"/>
    <s v="PV 2303003"/>
    <s v="PO"/>
    <m/>
    <x v="41"/>
    <n v="1200"/>
    <n v="0"/>
    <n v="-1200"/>
    <n v="1011"/>
    <x v="1"/>
    <x v="11"/>
    <x v="1"/>
    <x v="1"/>
  </r>
  <r>
    <s v="27.08.2023"/>
    <s v="PV 2308018"/>
    <s v="PO"/>
    <m/>
    <x v="41"/>
    <n v="9000"/>
    <n v="0"/>
    <n v="-9000"/>
    <n v="1011"/>
    <x v="1"/>
    <x v="11"/>
    <x v="1"/>
    <x v="1"/>
  </r>
  <r>
    <s v="18.09.2023"/>
    <s v="PV 2309009"/>
    <s v="PO"/>
    <m/>
    <x v="41"/>
    <n v="5250"/>
    <n v="0"/>
    <n v="-5250"/>
    <n v="1011"/>
    <x v="1"/>
    <x v="11"/>
    <x v="1"/>
    <x v="1"/>
  </r>
  <r>
    <s v="24.09.2023"/>
    <s v="PV 2309011"/>
    <s v="PO"/>
    <m/>
    <x v="41"/>
    <n v="1200"/>
    <n v="0"/>
    <n v="-1200"/>
    <n v="1011"/>
    <x v="1"/>
    <x v="11"/>
    <x v="1"/>
    <x v="1"/>
  </r>
  <r>
    <s v="24.11.2023"/>
    <s v="PV 2311014"/>
    <s v="PO"/>
    <m/>
    <x v="41"/>
    <n v="1200"/>
    <n v="0"/>
    <n v="-1200"/>
    <n v="1011"/>
    <x v="1"/>
    <x v="11"/>
    <x v="1"/>
    <x v="1"/>
  </r>
  <r>
    <s v="26.11.2023"/>
    <s v="PV 2311015"/>
    <s v="PO"/>
    <m/>
    <x v="41"/>
    <n v="1200"/>
    <n v="0"/>
    <n v="-1200"/>
    <n v="1011"/>
    <x v="1"/>
    <x v="11"/>
    <x v="1"/>
    <x v="1"/>
  </r>
  <r>
    <s v="09.12.2023"/>
    <s v="PV 2312002"/>
    <s v="PO"/>
    <m/>
    <x v="41"/>
    <n v="1200"/>
    <n v="0"/>
    <n v="-1200"/>
    <n v="1011"/>
    <x v="1"/>
    <x v="11"/>
    <x v="1"/>
    <x v="1"/>
  </r>
  <r>
    <s v="13.08.2023"/>
    <s v="VF2302015"/>
    <s v="FV"/>
    <s v="Orel jednota Troubelice"/>
    <x v="42"/>
    <n v="0"/>
    <n v="2000"/>
    <n v="2000"/>
    <n v="1011"/>
    <x v="1"/>
    <x v="12"/>
    <x v="1"/>
    <x v="1"/>
  </r>
  <r>
    <s v="16.08.2023"/>
    <s v="VF2302016"/>
    <s v="FV"/>
    <s v="Saros Olomouc, z.s."/>
    <x v="43"/>
    <n v="0"/>
    <n v="3000"/>
    <n v="3000"/>
    <n v="1011"/>
    <x v="1"/>
    <x v="12"/>
    <x v="1"/>
    <x v="1"/>
  </r>
  <r>
    <s v="14.12.2023"/>
    <s v="VF2302022"/>
    <s v="FV"/>
    <s v="FBK Orlicko Třebovsko, z.s."/>
    <x v="44"/>
    <n v="0"/>
    <n v="3000"/>
    <n v="3000"/>
    <n v="1011"/>
    <x v="1"/>
    <x v="12"/>
    <x v="1"/>
    <x v="1"/>
  </r>
  <r>
    <s v="31.08.2023"/>
    <s v="VF2303001"/>
    <s v="FV"/>
    <s v="FBC PIRATES OSTRAVA, z.s."/>
    <x v="45"/>
    <n v="0"/>
    <n v="4000"/>
    <n v="4000"/>
    <n v="1011"/>
    <x v="1"/>
    <x v="13"/>
    <x v="1"/>
    <x v="1"/>
  </r>
  <r>
    <s v="31.08.2023"/>
    <s v="VF2303002"/>
    <s v="FV"/>
    <s v="Tělovýchovná jednota Spartak Bílovec z.s."/>
    <x v="45"/>
    <n v="0"/>
    <n v="4000"/>
    <n v="4000"/>
    <n v="1011"/>
    <x v="1"/>
    <x v="13"/>
    <x v="1"/>
    <x v="1"/>
  </r>
  <r>
    <s v="31.08.2023"/>
    <s v="VF2303003"/>
    <s v="FV"/>
    <s v="FBC Droždín, z.s."/>
    <x v="45"/>
    <n v="0"/>
    <n v="4000"/>
    <n v="4000"/>
    <n v="1011"/>
    <x v="1"/>
    <x v="13"/>
    <x v="1"/>
    <x v="1"/>
  </r>
  <r>
    <s v="31.08.2023"/>
    <s v="VF2303004"/>
    <s v="FV"/>
    <s v="SK Domaslavice, z.s."/>
    <x v="45"/>
    <n v="0"/>
    <n v="4000"/>
    <n v="4000"/>
    <n v="1011"/>
    <x v="1"/>
    <x v="13"/>
    <x v="1"/>
    <x v="1"/>
  </r>
  <r>
    <s v="30.04.2023"/>
    <s v="D 2304011"/>
    <s v="IN"/>
    <m/>
    <x v="46"/>
    <n v="0"/>
    <n v="1650"/>
    <n v="1650"/>
    <n v="1011"/>
    <x v="1"/>
    <x v="14"/>
    <x v="1"/>
    <x v="1"/>
  </r>
  <r>
    <s v="31.07.2023"/>
    <s v="D 2307002"/>
    <s v="IN"/>
    <m/>
    <x v="47"/>
    <n v="0"/>
    <n v="44900"/>
    <n v="44900"/>
    <n v="1011"/>
    <x v="1"/>
    <x v="14"/>
    <x v="1"/>
    <x v="1"/>
  </r>
  <r>
    <s v="13.09.2023"/>
    <s v="FIO0090068"/>
    <s v="BV"/>
    <m/>
    <x v="48"/>
    <n v="0"/>
    <n v="4400"/>
    <n v="4400"/>
    <n v="1011"/>
    <x v="1"/>
    <x v="15"/>
    <x v="1"/>
    <x v="1"/>
  </r>
  <r>
    <s v="13.09.2023"/>
    <s v="FIO0090071"/>
    <s v="BV"/>
    <m/>
    <x v="49"/>
    <n v="0"/>
    <n v="4400"/>
    <n v="4400"/>
    <n v="1011"/>
    <x v="1"/>
    <x v="15"/>
    <x v="1"/>
    <x v="1"/>
  </r>
  <r>
    <s v="21.09.2023"/>
    <s v="FIO0090163"/>
    <s v="BV"/>
    <m/>
    <x v="50"/>
    <n v="0"/>
    <n v="4400"/>
    <n v="4400"/>
    <n v="1011"/>
    <x v="1"/>
    <x v="15"/>
    <x v="1"/>
    <x v="1"/>
  </r>
  <r>
    <s v="26.09.2023"/>
    <s v="FIO0090220"/>
    <s v="BV"/>
    <m/>
    <x v="51"/>
    <n v="0"/>
    <n v="4400"/>
    <n v="4400"/>
    <n v="1011"/>
    <x v="1"/>
    <x v="15"/>
    <x v="1"/>
    <x v="1"/>
  </r>
  <r>
    <s v="27.09.2023"/>
    <s v="FIO0090244"/>
    <s v="BV"/>
    <m/>
    <x v="52"/>
    <n v="0"/>
    <n v="2200"/>
    <n v="2200"/>
    <n v="1011"/>
    <x v="1"/>
    <x v="15"/>
    <x v="1"/>
    <x v="1"/>
  </r>
  <r>
    <s v="30.09.2023"/>
    <s v="D 2301003"/>
    <s v="IN"/>
    <m/>
    <x v="53"/>
    <n v="0"/>
    <n v="13372.55"/>
    <n v="13372.55"/>
    <n v="1011"/>
    <x v="1"/>
    <x v="15"/>
    <x v="1"/>
    <x v="1"/>
  </r>
  <r>
    <s v="09.10.2023"/>
    <s v="FIO0100075"/>
    <s v="BV"/>
    <m/>
    <x v="54"/>
    <n v="0"/>
    <n v="4400"/>
    <n v="4400"/>
    <n v="1011"/>
    <x v="1"/>
    <x v="15"/>
    <x v="1"/>
    <x v="1"/>
  </r>
  <r>
    <s v="09.10.2023"/>
    <s v="FIO0100079"/>
    <s v="BV"/>
    <m/>
    <x v="52"/>
    <n v="0"/>
    <n v="2200"/>
    <n v="2200"/>
    <n v="1011"/>
    <x v="1"/>
    <x v="15"/>
    <x v="1"/>
    <x v="1"/>
  </r>
  <r>
    <s v="17.10.2023"/>
    <s v="FIO0100173"/>
    <s v="BV"/>
    <m/>
    <x v="55"/>
    <n v="0"/>
    <n v="4400"/>
    <n v="4400"/>
    <n v="1011"/>
    <x v="1"/>
    <x v="15"/>
    <x v="1"/>
    <x v="1"/>
  </r>
  <r>
    <s v="18.10.2023"/>
    <s v="FIO0100182"/>
    <s v="BV"/>
    <m/>
    <x v="56"/>
    <n v="0"/>
    <n v="750"/>
    <n v="750"/>
    <n v="1011"/>
    <x v="1"/>
    <x v="15"/>
    <x v="1"/>
    <x v="1"/>
  </r>
  <r>
    <s v="18.10.2023"/>
    <s v="FIO0100183"/>
    <s v="BV"/>
    <m/>
    <x v="57"/>
    <n v="0"/>
    <n v="750"/>
    <n v="750"/>
    <n v="1011"/>
    <x v="1"/>
    <x v="15"/>
    <x v="1"/>
    <x v="1"/>
  </r>
  <r>
    <s v="20.10.2023"/>
    <s v="FIO0100192"/>
    <s v="BV"/>
    <m/>
    <x v="58"/>
    <n v="0"/>
    <n v="4400"/>
    <n v="4400"/>
    <n v="1011"/>
    <x v="1"/>
    <x v="15"/>
    <x v="1"/>
    <x v="1"/>
  </r>
  <r>
    <s v="20.10.2023"/>
    <s v="FIO0100193"/>
    <s v="BV"/>
    <m/>
    <x v="59"/>
    <n v="0"/>
    <n v="750"/>
    <n v="750"/>
    <n v="1011"/>
    <x v="1"/>
    <x v="15"/>
    <x v="1"/>
    <x v="1"/>
  </r>
  <r>
    <s v="24.10.2023"/>
    <s v="FIO0100203"/>
    <s v="BV"/>
    <m/>
    <x v="60"/>
    <n v="0"/>
    <n v="750"/>
    <n v="750"/>
    <n v="1011"/>
    <x v="1"/>
    <x v="15"/>
    <x v="1"/>
    <x v="1"/>
  </r>
  <r>
    <s v="30.10.2023"/>
    <s v="FIO0100220"/>
    <s v="BV"/>
    <m/>
    <x v="61"/>
    <n v="0"/>
    <n v="750"/>
    <n v="750"/>
    <n v="1011"/>
    <x v="1"/>
    <x v="15"/>
    <x v="1"/>
    <x v="1"/>
  </r>
  <r>
    <s v="09.11.2023"/>
    <s v="FIO0110060"/>
    <s v="BV"/>
    <m/>
    <x v="62"/>
    <n v="0"/>
    <n v="750"/>
    <n v="750"/>
    <n v="1011"/>
    <x v="1"/>
    <x v="15"/>
    <x v="1"/>
    <x v="1"/>
  </r>
  <r>
    <s v="13.11.2023"/>
    <s v="FIO0110119"/>
    <s v="BV"/>
    <m/>
    <x v="63"/>
    <n v="0"/>
    <n v="4400"/>
    <n v="4400"/>
    <n v="1011"/>
    <x v="1"/>
    <x v="15"/>
    <x v="1"/>
    <x v="1"/>
  </r>
  <r>
    <s v="15.11.2023"/>
    <s v="FIO0110132"/>
    <s v="BV"/>
    <m/>
    <x v="64"/>
    <n v="0"/>
    <n v="3000"/>
    <n v="3000"/>
    <n v="1011"/>
    <x v="1"/>
    <x v="15"/>
    <x v="1"/>
    <x v="1"/>
  </r>
  <r>
    <s v="15.11.2023"/>
    <s v="FIO0110134"/>
    <s v="BV"/>
    <m/>
    <x v="65"/>
    <n v="0"/>
    <n v="750"/>
    <n v="750"/>
    <n v="1011"/>
    <x v="1"/>
    <x v="15"/>
    <x v="1"/>
    <x v="1"/>
  </r>
  <r>
    <s v="16.11.2023"/>
    <s v="FIO0110136"/>
    <s v="BV"/>
    <m/>
    <x v="66"/>
    <n v="0"/>
    <n v="4400"/>
    <n v="4400"/>
    <n v="1011"/>
    <x v="1"/>
    <x v="15"/>
    <x v="1"/>
    <x v="1"/>
  </r>
  <r>
    <s v="19.11.2023"/>
    <s v="FIO0110142"/>
    <s v="BV"/>
    <m/>
    <x v="67"/>
    <n v="0"/>
    <n v="4400"/>
    <n v="4400"/>
    <n v="1011"/>
    <x v="1"/>
    <x v="15"/>
    <x v="1"/>
    <x v="1"/>
  </r>
  <r>
    <s v="24.11.2023"/>
    <s v="FIO0110150"/>
    <s v="BV"/>
    <m/>
    <x v="68"/>
    <n v="0"/>
    <n v="2500"/>
    <n v="2500"/>
    <n v="1011"/>
    <x v="1"/>
    <x v="15"/>
    <x v="1"/>
    <x v="1"/>
  </r>
  <r>
    <s v="25.11.2023"/>
    <s v="FIO0110151"/>
    <s v="BV"/>
    <m/>
    <x v="69"/>
    <n v="0"/>
    <n v="750"/>
    <n v="750"/>
    <n v="1011"/>
    <x v="1"/>
    <x v="15"/>
    <x v="1"/>
    <x v="1"/>
  </r>
  <r>
    <s v="25.11.2023"/>
    <s v="FIO0110152"/>
    <s v="BV"/>
    <m/>
    <x v="70"/>
    <n v="0"/>
    <n v="750"/>
    <n v="750"/>
    <n v="1011"/>
    <x v="1"/>
    <x v="15"/>
    <x v="1"/>
    <x v="1"/>
  </r>
  <r>
    <s v="25.11.2023"/>
    <s v="FIO0110153"/>
    <s v="BV"/>
    <m/>
    <x v="71"/>
    <n v="0"/>
    <n v="750"/>
    <n v="750"/>
    <n v="1011"/>
    <x v="1"/>
    <x v="15"/>
    <x v="1"/>
    <x v="1"/>
  </r>
  <r>
    <s v="27.11.2023"/>
    <s v="FIO0110157"/>
    <s v="BV"/>
    <m/>
    <x v="72"/>
    <n v="0"/>
    <n v="750"/>
    <n v="750"/>
    <n v="1011"/>
    <x v="1"/>
    <x v="15"/>
    <x v="1"/>
    <x v="1"/>
  </r>
  <r>
    <s v="27.11.2023"/>
    <s v="FIO0110158"/>
    <s v="BV"/>
    <m/>
    <x v="73"/>
    <n v="0"/>
    <n v="4400"/>
    <n v="4400"/>
    <n v="1011"/>
    <x v="1"/>
    <x v="15"/>
    <x v="1"/>
    <x v="1"/>
  </r>
  <r>
    <s v="27.11.2023"/>
    <s v="FIO0110159"/>
    <s v="BV"/>
    <m/>
    <x v="74"/>
    <n v="0"/>
    <n v="4400"/>
    <n v="4400"/>
    <n v="1011"/>
    <x v="1"/>
    <x v="15"/>
    <x v="1"/>
    <x v="1"/>
  </r>
  <r>
    <s v="27.11.2023"/>
    <s v="FIO0110160"/>
    <s v="BV"/>
    <m/>
    <x v="75"/>
    <n v="0"/>
    <n v="750"/>
    <n v="750"/>
    <n v="1011"/>
    <x v="1"/>
    <x v="15"/>
    <x v="1"/>
    <x v="1"/>
  </r>
  <r>
    <s v="27.11.2023"/>
    <s v="FIO0110173"/>
    <s v="BV"/>
    <m/>
    <x v="76"/>
    <n v="0"/>
    <n v="4400"/>
    <n v="4400"/>
    <n v="1011"/>
    <x v="1"/>
    <x v="15"/>
    <x v="1"/>
    <x v="1"/>
  </r>
  <r>
    <s v="27.11.2023"/>
    <s v="FIO0110174"/>
    <s v="BV"/>
    <m/>
    <x v="77"/>
    <n v="0"/>
    <n v="750"/>
    <n v="750"/>
    <n v="1011"/>
    <x v="1"/>
    <x v="15"/>
    <x v="1"/>
    <x v="1"/>
  </r>
  <r>
    <s v="30.11.2023"/>
    <s v="FIO0110005"/>
    <s v="BV"/>
    <m/>
    <x v="78"/>
    <n v="0"/>
    <n v="2200"/>
    <n v="2200"/>
    <n v="1011"/>
    <x v="1"/>
    <x v="15"/>
    <x v="1"/>
    <x v="1"/>
  </r>
  <r>
    <s v="03.12.2023"/>
    <s v="FIO0120007"/>
    <s v="BV"/>
    <m/>
    <x v="79"/>
    <n v="0"/>
    <n v="750"/>
    <n v="750"/>
    <n v="1011"/>
    <x v="1"/>
    <x v="15"/>
    <x v="1"/>
    <x v="1"/>
  </r>
  <r>
    <s v="14.12.2023"/>
    <s v="FIO0120112"/>
    <s v="BV"/>
    <m/>
    <x v="80"/>
    <n v="0"/>
    <n v="750"/>
    <n v="750"/>
    <n v="1011"/>
    <x v="1"/>
    <x v="15"/>
    <x v="1"/>
    <x v="1"/>
  </r>
  <r>
    <s v="31.12.2023"/>
    <s v="D čl.p"/>
    <s v="IN"/>
    <m/>
    <x v="81"/>
    <n v="0"/>
    <n v="-16320.59"/>
    <n v="-16320.59"/>
    <n v="1011"/>
    <x v="1"/>
    <x v="15"/>
    <x v="1"/>
    <x v="1"/>
  </r>
  <r>
    <s v="25.03.2023"/>
    <s v="D 2303015"/>
    <s v="IN"/>
    <m/>
    <x v="82"/>
    <n v="3160"/>
    <n v="0"/>
    <n v="-3160"/>
    <n v="1012"/>
    <x v="1"/>
    <x v="10"/>
    <x v="2"/>
    <x v="2"/>
  </r>
  <r>
    <s v="26.11.2023"/>
    <s v="D 2311010"/>
    <s v="IN"/>
    <m/>
    <x v="82"/>
    <n v="4625"/>
    <n v="0"/>
    <n v="-4625"/>
    <n v="1012"/>
    <x v="1"/>
    <x v="10"/>
    <x v="2"/>
    <x v="2"/>
  </r>
  <r>
    <s v="21.09.2023"/>
    <s v="FIO0090167"/>
    <s v="BV"/>
    <m/>
    <x v="83"/>
    <n v="0"/>
    <n v="750"/>
    <n v="750"/>
    <n v="1012"/>
    <x v="1"/>
    <x v="15"/>
    <x v="2"/>
    <x v="2"/>
  </r>
  <r>
    <s v="30.09.2023"/>
    <s v="D 2301003"/>
    <s v="IN"/>
    <m/>
    <x v="53"/>
    <n v="0"/>
    <n v="6584.9699999999993"/>
    <n v="6584.9699999999993"/>
    <n v="1012"/>
    <x v="1"/>
    <x v="15"/>
    <x v="2"/>
    <x v="2"/>
  </r>
  <r>
    <s v="02.10.2023"/>
    <s v="FIO0100015"/>
    <s v="BV"/>
    <m/>
    <x v="84"/>
    <n v="0"/>
    <n v="750"/>
    <n v="750"/>
    <n v="1012"/>
    <x v="1"/>
    <x v="15"/>
    <x v="2"/>
    <x v="2"/>
  </r>
  <r>
    <s v="06.10.2023"/>
    <s v="FIO0100055"/>
    <s v="BV"/>
    <m/>
    <x v="85"/>
    <n v="0"/>
    <n v="35000"/>
    <n v="35000"/>
    <n v="1012"/>
    <x v="1"/>
    <x v="15"/>
    <x v="2"/>
    <x v="2"/>
  </r>
  <r>
    <s v="31.12.2023"/>
    <s v="D čl.p"/>
    <s v="IN"/>
    <m/>
    <x v="81"/>
    <n v="0"/>
    <n v="-7395.42"/>
    <n v="-7395.42"/>
    <n v="1012"/>
    <x v="1"/>
    <x v="15"/>
    <x v="2"/>
    <x v="2"/>
  </r>
  <r>
    <s v="21.02.2023"/>
    <s v="PV 2302012"/>
    <s v="PO"/>
    <m/>
    <x v="86"/>
    <n v="3300"/>
    <n v="0"/>
    <n v="-3300"/>
    <n v="1021"/>
    <x v="1"/>
    <x v="4"/>
    <x v="3"/>
    <x v="3"/>
  </r>
  <r>
    <s v="31.01.2023"/>
    <s v="PF 2301014"/>
    <s v="FP"/>
    <s v="Tomáš Hruška"/>
    <x v="87"/>
    <n v="7000"/>
    <n v="0"/>
    <n v="-7000"/>
    <n v="1021"/>
    <x v="1"/>
    <x v="5"/>
    <x v="3"/>
    <x v="3"/>
  </r>
  <r>
    <s v="28.02.2023"/>
    <s v="PF 2302018"/>
    <s v="FP"/>
    <s v="Tomáš Hruška"/>
    <x v="88"/>
    <n v="7000"/>
    <n v="0"/>
    <n v="-7000"/>
    <n v="1021"/>
    <x v="1"/>
    <x v="5"/>
    <x v="3"/>
    <x v="3"/>
  </r>
  <r>
    <s v="31.03.2023"/>
    <s v="PF 2303028"/>
    <s v="FP"/>
    <s v="Tomáš Hruška"/>
    <x v="89"/>
    <n v="7000"/>
    <n v="0"/>
    <n v="-7000"/>
    <n v="1021"/>
    <x v="1"/>
    <x v="5"/>
    <x v="3"/>
    <x v="3"/>
  </r>
  <r>
    <s v="30.04.2023"/>
    <s v="PF 2304017"/>
    <s v="FP"/>
    <s v="Tomáš Hruška"/>
    <x v="90"/>
    <n v="7000"/>
    <n v="0"/>
    <n v="-7000"/>
    <n v="1021"/>
    <x v="1"/>
    <x v="5"/>
    <x v="3"/>
    <x v="3"/>
  </r>
  <r>
    <s v="31.05.2023"/>
    <s v="PF 2305030"/>
    <s v="FP"/>
    <s v="Tomáš Hruška"/>
    <x v="91"/>
    <n v="7000"/>
    <n v="0"/>
    <n v="-7000"/>
    <n v="1021"/>
    <x v="1"/>
    <x v="5"/>
    <x v="3"/>
    <x v="3"/>
  </r>
  <r>
    <s v="05.06.2023"/>
    <s v="PF2306019"/>
    <s v="FP"/>
    <s v="Tomáš Hruška"/>
    <x v="92"/>
    <n v="5500"/>
    <n v="0"/>
    <n v="-5500"/>
    <n v="1021"/>
    <x v="1"/>
    <x v="5"/>
    <x v="3"/>
    <x v="3"/>
  </r>
  <r>
    <s v="30.06.2023"/>
    <s v="PF2306016"/>
    <s v="FP"/>
    <s v="Tomáš Hruška"/>
    <x v="93"/>
    <n v="5000"/>
    <n v="0"/>
    <n v="-5000"/>
    <n v="1021"/>
    <x v="1"/>
    <x v="5"/>
    <x v="3"/>
    <x v="3"/>
  </r>
  <r>
    <s v="31.12.2023"/>
    <s v="D haly stř"/>
    <s v="IN"/>
    <m/>
    <x v="31"/>
    <n v="120839.23"/>
    <n v="0"/>
    <n v="-120839.23"/>
    <n v="1021"/>
    <x v="1"/>
    <x v="7"/>
    <x v="3"/>
    <x v="3"/>
  </r>
  <r>
    <s v="15.01.2023"/>
    <s v="D 2301012"/>
    <s v="IN"/>
    <m/>
    <x v="94"/>
    <n v="2120"/>
    <n v="0"/>
    <n v="-2120"/>
    <n v="1021"/>
    <x v="1"/>
    <x v="10"/>
    <x v="3"/>
    <x v="3"/>
  </r>
  <r>
    <s v="20.01.2023"/>
    <s v="D 2301013"/>
    <s v="IN"/>
    <m/>
    <x v="94"/>
    <n v="2345"/>
    <n v="0"/>
    <n v="-2345"/>
    <n v="1021"/>
    <x v="1"/>
    <x v="10"/>
    <x v="3"/>
    <x v="3"/>
  </r>
  <r>
    <s v="02.02.2023"/>
    <s v="D 2302001"/>
    <s v="IN"/>
    <m/>
    <x v="94"/>
    <n v="1675"/>
    <n v="0"/>
    <n v="-1675"/>
    <n v="1021"/>
    <x v="1"/>
    <x v="10"/>
    <x v="3"/>
    <x v="3"/>
  </r>
  <r>
    <s v="12.02.2023"/>
    <s v="D 2302005"/>
    <s v="IN"/>
    <m/>
    <x v="94"/>
    <n v="2205"/>
    <n v="0"/>
    <n v="-2205"/>
    <n v="1021"/>
    <x v="1"/>
    <x v="10"/>
    <x v="3"/>
    <x v="3"/>
  </r>
  <r>
    <s v="18.02.2023"/>
    <s v="D 2302007"/>
    <s v="IN"/>
    <m/>
    <x v="94"/>
    <n v="2305"/>
    <n v="0"/>
    <n v="-2305"/>
    <n v="1021"/>
    <x v="1"/>
    <x v="10"/>
    <x v="3"/>
    <x v="3"/>
  </r>
  <r>
    <s v="19.02.2023"/>
    <s v="D 2302008"/>
    <s v="IN"/>
    <m/>
    <x v="94"/>
    <n v="1760"/>
    <n v="0"/>
    <n v="-1760"/>
    <n v="1021"/>
    <x v="1"/>
    <x v="10"/>
    <x v="3"/>
    <x v="3"/>
  </r>
  <r>
    <s v="11.11.2023"/>
    <s v="D 2311005"/>
    <s v="IN"/>
    <m/>
    <x v="94"/>
    <n v="5320"/>
    <n v="0"/>
    <n v="-5320"/>
    <n v="1021"/>
    <x v="1"/>
    <x v="10"/>
    <x v="3"/>
    <x v="3"/>
  </r>
  <r>
    <s v="14.01.2023"/>
    <s v="PV 2301004"/>
    <s v="PO"/>
    <m/>
    <x v="41"/>
    <n v="1200"/>
    <n v="0"/>
    <n v="-1200"/>
    <n v="1021"/>
    <x v="1"/>
    <x v="11"/>
    <x v="3"/>
    <x v="3"/>
  </r>
  <r>
    <s v="15.01.2023"/>
    <s v="PV 2301006"/>
    <s v="PO"/>
    <m/>
    <x v="41"/>
    <n v="1200"/>
    <n v="0"/>
    <n v="-1200"/>
    <n v="1021"/>
    <x v="1"/>
    <x v="11"/>
    <x v="3"/>
    <x v="3"/>
  </r>
  <r>
    <s v="20.01.2023"/>
    <s v="PV 2301007"/>
    <s v="PO"/>
    <m/>
    <x v="41"/>
    <n v="1200"/>
    <n v="0"/>
    <n v="-1200"/>
    <n v="1021"/>
    <x v="1"/>
    <x v="11"/>
    <x v="3"/>
    <x v="3"/>
  </r>
  <r>
    <s v="02.02.2023"/>
    <s v="PV 2302001"/>
    <s v="PO"/>
    <m/>
    <x v="41"/>
    <n v="1200"/>
    <n v="0"/>
    <n v="-1200"/>
    <n v="1021"/>
    <x v="1"/>
    <x v="11"/>
    <x v="3"/>
    <x v="3"/>
  </r>
  <r>
    <s v="12.02.2023"/>
    <s v="PV 2302007"/>
    <s v="PO"/>
    <m/>
    <x v="41"/>
    <n v="1200"/>
    <n v="0"/>
    <n v="-1200"/>
    <n v="1021"/>
    <x v="1"/>
    <x v="11"/>
    <x v="3"/>
    <x v="3"/>
  </r>
  <r>
    <s v="18.02.2023"/>
    <s v="PV 2302009"/>
    <s v="PO"/>
    <m/>
    <x v="41"/>
    <n v="1200"/>
    <n v="0"/>
    <n v="-1200"/>
    <n v="1021"/>
    <x v="1"/>
    <x v="11"/>
    <x v="3"/>
    <x v="3"/>
  </r>
  <r>
    <s v="19.02.2023"/>
    <s v="PV 2302011"/>
    <s v="PO"/>
    <m/>
    <x v="41"/>
    <n v="1200"/>
    <n v="0"/>
    <n v="-1200"/>
    <n v="1021"/>
    <x v="1"/>
    <x v="11"/>
    <x v="3"/>
    <x v="3"/>
  </r>
  <r>
    <s v="31.12.2023"/>
    <s v="VL stř"/>
    <s v="IN"/>
    <m/>
    <x v="12"/>
    <n v="35855"/>
    <n v="0"/>
    <n v="-35855"/>
    <n v="1021"/>
    <x v="1"/>
    <x v="0"/>
    <x v="3"/>
    <x v="3"/>
  </r>
  <r>
    <s v="06.01.2023"/>
    <s v="FIO0010031"/>
    <s v="BV"/>
    <m/>
    <x v="95"/>
    <n v="0"/>
    <n v="4600"/>
    <n v="4600"/>
    <n v="1021"/>
    <x v="1"/>
    <x v="15"/>
    <x v="3"/>
    <x v="3"/>
  </r>
  <r>
    <s v="06.01.2023"/>
    <s v="FIO0010038"/>
    <s v="BV"/>
    <m/>
    <x v="96"/>
    <n v="0"/>
    <n v="4600"/>
    <n v="4600"/>
    <n v="1021"/>
    <x v="1"/>
    <x v="15"/>
    <x v="3"/>
    <x v="3"/>
  </r>
  <r>
    <s v="19.01.2023"/>
    <s v="FIO0010187"/>
    <s v="BV"/>
    <m/>
    <x v="97"/>
    <n v="0"/>
    <n v="4600"/>
    <n v="4600"/>
    <n v="1021"/>
    <x v="1"/>
    <x v="15"/>
    <x v="3"/>
    <x v="3"/>
  </r>
  <r>
    <s v="30.01.2023"/>
    <s v="FIO0010251"/>
    <s v="BV"/>
    <m/>
    <x v="98"/>
    <n v="0"/>
    <n v="4600"/>
    <n v="4600"/>
    <n v="1021"/>
    <x v="1"/>
    <x v="15"/>
    <x v="3"/>
    <x v="3"/>
  </r>
  <r>
    <s v="01.02.2023"/>
    <s v="FIO0020006"/>
    <s v="BV"/>
    <m/>
    <x v="99"/>
    <n v="0"/>
    <n v="4600"/>
    <n v="4600"/>
    <n v="1021"/>
    <x v="1"/>
    <x v="15"/>
    <x v="3"/>
    <x v="3"/>
  </r>
  <r>
    <s v="06.02.2023"/>
    <s v="FIO0020015"/>
    <s v="BV"/>
    <m/>
    <x v="68"/>
    <n v="0"/>
    <n v="2300"/>
    <n v="2300"/>
    <n v="1021"/>
    <x v="1"/>
    <x v="15"/>
    <x v="3"/>
    <x v="3"/>
  </r>
  <r>
    <s v="07.02.2023"/>
    <s v="FIO0020029"/>
    <s v="BV"/>
    <m/>
    <x v="100"/>
    <n v="0"/>
    <n v="1000"/>
    <n v="1000"/>
    <n v="1021"/>
    <x v="1"/>
    <x v="15"/>
    <x v="3"/>
    <x v="3"/>
  </r>
  <r>
    <s v="15.03.2023"/>
    <s v="FIO0030079"/>
    <s v="BV"/>
    <m/>
    <x v="101"/>
    <n v="0"/>
    <n v="2300"/>
    <n v="2300"/>
    <n v="1021"/>
    <x v="1"/>
    <x v="15"/>
    <x v="3"/>
    <x v="3"/>
  </r>
  <r>
    <s v="11.04.2023"/>
    <s v="FIO0040076"/>
    <s v="BV"/>
    <m/>
    <x v="68"/>
    <n v="0"/>
    <n v="2600"/>
    <n v="2600"/>
    <n v="1021"/>
    <x v="1"/>
    <x v="15"/>
    <x v="3"/>
    <x v="3"/>
  </r>
  <r>
    <s v="06.05.2023"/>
    <s v="FIO0050054"/>
    <s v="BV"/>
    <m/>
    <x v="68"/>
    <n v="0"/>
    <n v="1000"/>
    <n v="1000"/>
    <n v="1021"/>
    <x v="1"/>
    <x v="15"/>
    <x v="3"/>
    <x v="3"/>
  </r>
  <r>
    <s v="14.05.2023"/>
    <s v="FIO0050161"/>
    <s v="BV"/>
    <m/>
    <x v="102"/>
    <n v="0"/>
    <n v="4600"/>
    <n v="4600"/>
    <n v="1021"/>
    <x v="1"/>
    <x v="15"/>
    <x v="3"/>
    <x v="3"/>
  </r>
  <r>
    <s v="14.05.2023"/>
    <s v="FIO0050162"/>
    <s v="BV"/>
    <m/>
    <x v="103"/>
    <n v="0"/>
    <n v="500"/>
    <n v="500"/>
    <n v="1021"/>
    <x v="1"/>
    <x v="15"/>
    <x v="3"/>
    <x v="3"/>
  </r>
  <r>
    <s v="13.09.2023"/>
    <s v="FIO0090054"/>
    <s v="BV"/>
    <m/>
    <x v="104"/>
    <n v="0"/>
    <n v="5300"/>
    <n v="5300"/>
    <n v="1021"/>
    <x v="1"/>
    <x v="15"/>
    <x v="3"/>
    <x v="3"/>
  </r>
  <r>
    <s v="20.09.2023"/>
    <s v="FIO0090154"/>
    <s v="BV"/>
    <m/>
    <x v="105"/>
    <n v="0"/>
    <n v="5300"/>
    <n v="5300"/>
    <n v="1021"/>
    <x v="1"/>
    <x v="15"/>
    <x v="3"/>
    <x v="3"/>
  </r>
  <r>
    <s v="26.09.2023"/>
    <s v="FIO0090199"/>
    <s v="BV"/>
    <m/>
    <x v="106"/>
    <n v="0"/>
    <n v="5300"/>
    <n v="5300"/>
    <n v="1021"/>
    <x v="1"/>
    <x v="15"/>
    <x v="3"/>
    <x v="3"/>
  </r>
  <r>
    <s v="26.09.2023"/>
    <s v="FIO0090218"/>
    <s v="BV"/>
    <m/>
    <x v="107"/>
    <n v="0"/>
    <n v="5300"/>
    <n v="5300"/>
    <n v="1021"/>
    <x v="1"/>
    <x v="15"/>
    <x v="3"/>
    <x v="3"/>
  </r>
  <r>
    <s v="27.09.2023"/>
    <s v="FIO0090229"/>
    <s v="BV"/>
    <m/>
    <x v="108"/>
    <n v="0"/>
    <n v="5300"/>
    <n v="5300"/>
    <n v="1021"/>
    <x v="1"/>
    <x v="15"/>
    <x v="3"/>
    <x v="3"/>
  </r>
  <r>
    <s v="27.09.2023"/>
    <s v="FIO0090236"/>
    <s v="BV"/>
    <m/>
    <x v="109"/>
    <n v="0"/>
    <n v="5300"/>
    <n v="5300"/>
    <n v="1021"/>
    <x v="1"/>
    <x v="15"/>
    <x v="3"/>
    <x v="3"/>
  </r>
  <r>
    <s v="28.09.2023"/>
    <s v="FIO0090248"/>
    <s v="BV"/>
    <m/>
    <x v="110"/>
    <n v="0"/>
    <n v="5300"/>
    <n v="5300"/>
    <n v="1021"/>
    <x v="1"/>
    <x v="15"/>
    <x v="3"/>
    <x v="3"/>
  </r>
  <r>
    <s v="30.09.2023"/>
    <s v="D 2301003"/>
    <s v="IN"/>
    <m/>
    <x v="53"/>
    <n v="0"/>
    <n v="11143.79"/>
    <n v="11143.79"/>
    <n v="1021"/>
    <x v="1"/>
    <x v="15"/>
    <x v="3"/>
    <x v="3"/>
  </r>
  <r>
    <s v="30.09.2023"/>
    <s v="FIO0090279"/>
    <s v="BV"/>
    <m/>
    <x v="111"/>
    <n v="0"/>
    <n v="5300"/>
    <n v="5300"/>
    <n v="1021"/>
    <x v="1"/>
    <x v="15"/>
    <x v="3"/>
    <x v="3"/>
  </r>
  <r>
    <s v="02.10.2023"/>
    <s v="FIO0100004"/>
    <s v="BV"/>
    <m/>
    <x v="112"/>
    <n v="0"/>
    <n v="3500"/>
    <n v="3500"/>
    <n v="1021"/>
    <x v="1"/>
    <x v="15"/>
    <x v="3"/>
    <x v="3"/>
  </r>
  <r>
    <s v="10.10.2023"/>
    <s v="FIO0100093"/>
    <s v="BV"/>
    <m/>
    <x v="113"/>
    <n v="0"/>
    <n v="5300"/>
    <n v="5300"/>
    <n v="1021"/>
    <x v="1"/>
    <x v="15"/>
    <x v="3"/>
    <x v="3"/>
  </r>
  <r>
    <s v="20.10.2023"/>
    <s v="FIO0100190"/>
    <s v="BV"/>
    <m/>
    <x v="68"/>
    <n v="0"/>
    <n v="5300"/>
    <n v="5300"/>
    <n v="1021"/>
    <x v="1"/>
    <x v="15"/>
    <x v="3"/>
    <x v="3"/>
  </r>
  <r>
    <s v="06.11.2023"/>
    <s v="FIO0110019"/>
    <s v="BV"/>
    <m/>
    <x v="114"/>
    <n v="0"/>
    <n v="750"/>
    <n v="750"/>
    <n v="1021"/>
    <x v="1"/>
    <x v="15"/>
    <x v="3"/>
    <x v="3"/>
  </r>
  <r>
    <s v="09.11.2023"/>
    <s v="FIO0110067"/>
    <s v="BV"/>
    <m/>
    <x v="68"/>
    <n v="0"/>
    <n v="5300"/>
    <n v="5300"/>
    <n v="1021"/>
    <x v="1"/>
    <x v="15"/>
    <x v="3"/>
    <x v="3"/>
  </r>
  <r>
    <s v="17.11.2023"/>
    <s v="FIO0110140"/>
    <s v="BV"/>
    <m/>
    <x v="115"/>
    <n v="0"/>
    <n v="750"/>
    <n v="750"/>
    <n v="1021"/>
    <x v="1"/>
    <x v="15"/>
    <x v="3"/>
    <x v="3"/>
  </r>
  <r>
    <s v="20.11.2023"/>
    <s v="FIO0110144"/>
    <s v="BV"/>
    <m/>
    <x v="116"/>
    <n v="0"/>
    <n v="2000"/>
    <n v="2000"/>
    <n v="1021"/>
    <x v="1"/>
    <x v="15"/>
    <x v="3"/>
    <x v="3"/>
  </r>
  <r>
    <s v="20.11.2023"/>
    <s v="FIO0110145"/>
    <s v="BV"/>
    <m/>
    <x v="117"/>
    <n v="0"/>
    <n v="750"/>
    <n v="750"/>
    <n v="1021"/>
    <x v="1"/>
    <x v="15"/>
    <x v="3"/>
    <x v="3"/>
  </r>
  <r>
    <s v="29.11.2023"/>
    <s v="FIO0110001"/>
    <s v="BV"/>
    <m/>
    <x v="68"/>
    <n v="0"/>
    <n v="750"/>
    <n v="750"/>
    <n v="1021"/>
    <x v="1"/>
    <x v="15"/>
    <x v="3"/>
    <x v="3"/>
  </r>
  <r>
    <s v="31.12.2023"/>
    <s v="D čl.p"/>
    <s v="IN"/>
    <m/>
    <x v="81"/>
    <n v="0"/>
    <n v="-13635.949999999999"/>
    <n v="-13635.949999999999"/>
    <n v="1021"/>
    <x v="1"/>
    <x v="15"/>
    <x v="3"/>
    <x v="3"/>
  </r>
  <r>
    <s v="10.05.2023"/>
    <s v="PF 2305006"/>
    <s v="FP"/>
    <s v="FBC Přerov, z.s."/>
    <x v="118"/>
    <n v="1800"/>
    <n v="0"/>
    <n v="-1800"/>
    <n v="1031"/>
    <x v="1"/>
    <x v="6"/>
    <x v="4"/>
    <x v="4"/>
  </r>
  <r>
    <s v="30.05.2023"/>
    <s v="PF 2305018"/>
    <s v="FP"/>
    <s v="FBC OSTRAVA z.s."/>
    <x v="119"/>
    <n v="4200"/>
    <n v="0"/>
    <n v="-4200"/>
    <n v="1031"/>
    <x v="1"/>
    <x v="6"/>
    <x v="4"/>
    <x v="4"/>
  </r>
  <r>
    <s v="13.12.2023"/>
    <s v="PF 2312004"/>
    <s v="FP"/>
    <s v="FBC OSTRAVA z.s."/>
    <x v="119"/>
    <n v="4000"/>
    <n v="0"/>
    <n v="-4000"/>
    <n v="1031"/>
    <x v="1"/>
    <x v="6"/>
    <x v="4"/>
    <x v="4"/>
  </r>
  <r>
    <s v="31.12.2023"/>
    <s v="D haly stř"/>
    <s v="IN"/>
    <m/>
    <x v="31"/>
    <n v="149318.04"/>
    <n v="0"/>
    <n v="-149318.04"/>
    <n v="1031"/>
    <x v="1"/>
    <x v="7"/>
    <x v="4"/>
    <x v="4"/>
  </r>
  <r>
    <s v="29.09.2023"/>
    <s v="PF 2309021"/>
    <s v="FP"/>
    <s v="Základní škola Uničov, U Stadionu 849"/>
    <x v="120"/>
    <n v="3000"/>
    <n v="0"/>
    <n v="-3000"/>
    <n v="1031"/>
    <x v="1"/>
    <x v="9"/>
    <x v="4"/>
    <x v="4"/>
  </r>
  <r>
    <s v="19.02.2023"/>
    <s v="D 2302009"/>
    <s v="IN"/>
    <m/>
    <x v="121"/>
    <n v="4608"/>
    <n v="0"/>
    <n v="-4608"/>
    <n v="1031"/>
    <x v="1"/>
    <x v="10"/>
    <x v="4"/>
    <x v="4"/>
  </r>
  <r>
    <s v="11.03.2023"/>
    <s v="D 2303009"/>
    <s v="IN"/>
    <m/>
    <x v="122"/>
    <n v="1450"/>
    <n v="0"/>
    <n v="-1450"/>
    <n v="1031"/>
    <x v="1"/>
    <x v="10"/>
    <x v="4"/>
    <x v="4"/>
  </r>
  <r>
    <s v="23.09.2023"/>
    <s v="D 2309004"/>
    <s v="IN"/>
    <m/>
    <x v="121"/>
    <n v="5535"/>
    <n v="0"/>
    <n v="-5535"/>
    <n v="1031"/>
    <x v="1"/>
    <x v="10"/>
    <x v="4"/>
    <x v="4"/>
  </r>
  <r>
    <s v="24.09.2023"/>
    <s v="D 2309005"/>
    <s v="IN"/>
    <m/>
    <x v="122"/>
    <n v="4620"/>
    <n v="0"/>
    <n v="-4620"/>
    <n v="1031"/>
    <x v="1"/>
    <x v="10"/>
    <x v="4"/>
    <x v="4"/>
  </r>
  <r>
    <s v="04.11.2023"/>
    <s v="D 2311001"/>
    <s v="IN"/>
    <m/>
    <x v="121"/>
    <n v="4417"/>
    <n v="0"/>
    <n v="-4417"/>
    <n v="1031"/>
    <x v="1"/>
    <x v="10"/>
    <x v="4"/>
    <x v="4"/>
  </r>
  <r>
    <s v="31.12.2023"/>
    <s v="VL stř"/>
    <s v="IN"/>
    <m/>
    <x v="12"/>
    <n v="12160"/>
    <n v="0"/>
    <n v="-12160"/>
    <n v="1031"/>
    <x v="1"/>
    <x v="0"/>
    <x v="4"/>
    <x v="4"/>
  </r>
  <r>
    <s v="31.05.2023"/>
    <s v="D 2305007"/>
    <s v="IN"/>
    <m/>
    <x v="123"/>
    <n v="0"/>
    <n v="35420"/>
    <n v="35420"/>
    <n v="1031"/>
    <x v="1"/>
    <x v="14"/>
    <x v="4"/>
    <x v="4"/>
  </r>
  <r>
    <s v="06.01.2023"/>
    <s v="FIO0010032"/>
    <s v="BV"/>
    <m/>
    <x v="124"/>
    <n v="0"/>
    <n v="4600"/>
    <n v="4600"/>
    <n v="1031"/>
    <x v="1"/>
    <x v="15"/>
    <x v="4"/>
    <x v="4"/>
  </r>
  <r>
    <s v="06.01.2023"/>
    <s v="FIO0010033"/>
    <s v="BV"/>
    <m/>
    <x v="125"/>
    <n v="0"/>
    <n v="4600"/>
    <n v="4600"/>
    <n v="1031"/>
    <x v="1"/>
    <x v="15"/>
    <x v="4"/>
    <x v="4"/>
  </r>
  <r>
    <s v="06.01.2023"/>
    <s v="FIO0010042"/>
    <s v="BV"/>
    <m/>
    <x v="126"/>
    <n v="0"/>
    <n v="4600"/>
    <n v="4600"/>
    <n v="1031"/>
    <x v="1"/>
    <x v="15"/>
    <x v="4"/>
    <x v="4"/>
  </r>
  <r>
    <s v="17.01.2023"/>
    <s v="FIO0010169"/>
    <s v="BV"/>
    <m/>
    <x v="127"/>
    <n v="0"/>
    <n v="4600"/>
    <n v="4600"/>
    <n v="1031"/>
    <x v="1"/>
    <x v="15"/>
    <x v="4"/>
    <x v="4"/>
  </r>
  <r>
    <s v="20.01.2023"/>
    <s v="FIO0010188"/>
    <s v="BV"/>
    <m/>
    <x v="128"/>
    <n v="0"/>
    <n v="4600"/>
    <n v="4600"/>
    <n v="1031"/>
    <x v="1"/>
    <x v="15"/>
    <x v="4"/>
    <x v="4"/>
  </r>
  <r>
    <s v="22.01.2023"/>
    <s v="FIO0010190"/>
    <s v="BV"/>
    <m/>
    <x v="129"/>
    <n v="0"/>
    <n v="4600"/>
    <n v="4600"/>
    <n v="1031"/>
    <x v="1"/>
    <x v="15"/>
    <x v="4"/>
    <x v="4"/>
  </r>
  <r>
    <s v="24.01.2023"/>
    <s v="FIO0010206"/>
    <s v="BV"/>
    <m/>
    <x v="130"/>
    <n v="0"/>
    <n v="4600"/>
    <n v="4600"/>
    <n v="1031"/>
    <x v="1"/>
    <x v="15"/>
    <x v="4"/>
    <x v="4"/>
  </r>
  <r>
    <s v="25.01.2023"/>
    <s v="FIO0010216"/>
    <s v="BV"/>
    <m/>
    <x v="131"/>
    <n v="0"/>
    <n v="4600"/>
    <n v="4600"/>
    <n v="1031"/>
    <x v="1"/>
    <x v="15"/>
    <x v="4"/>
    <x v="4"/>
  </r>
  <r>
    <s v="30.01.2023"/>
    <s v="FIO0010235"/>
    <s v="BV"/>
    <m/>
    <x v="132"/>
    <n v="0"/>
    <n v="2300"/>
    <n v="2300"/>
    <n v="1031"/>
    <x v="1"/>
    <x v="15"/>
    <x v="4"/>
    <x v="4"/>
  </r>
  <r>
    <s v="30.01.2023"/>
    <s v="FIO0010236"/>
    <s v="BV"/>
    <m/>
    <x v="133"/>
    <n v="0"/>
    <n v="4600"/>
    <n v="4600"/>
    <n v="1031"/>
    <x v="1"/>
    <x v="15"/>
    <x v="4"/>
    <x v="4"/>
  </r>
  <r>
    <s v="30.01.2023"/>
    <s v="FIO0010237"/>
    <s v="BV"/>
    <m/>
    <x v="134"/>
    <n v="0"/>
    <n v="4600"/>
    <n v="4600"/>
    <n v="1031"/>
    <x v="1"/>
    <x v="15"/>
    <x v="4"/>
    <x v="4"/>
  </r>
  <r>
    <s v="31.01.2023"/>
    <s v="FIO0010265"/>
    <s v="BV"/>
    <m/>
    <x v="135"/>
    <n v="0"/>
    <n v="1500"/>
    <n v="1500"/>
    <n v="1031"/>
    <x v="1"/>
    <x v="15"/>
    <x v="4"/>
    <x v="4"/>
  </r>
  <r>
    <s v="31.01.2023"/>
    <s v="FIO0010276"/>
    <s v="BV"/>
    <m/>
    <x v="136"/>
    <n v="0"/>
    <n v="4600"/>
    <n v="4600"/>
    <n v="1031"/>
    <x v="1"/>
    <x v="15"/>
    <x v="4"/>
    <x v="4"/>
  </r>
  <r>
    <s v="31.01.2023"/>
    <s v="FIO0010281"/>
    <s v="BV"/>
    <m/>
    <x v="68"/>
    <n v="0"/>
    <n v="4600"/>
    <n v="4600"/>
    <n v="1031"/>
    <x v="1"/>
    <x v="15"/>
    <x v="4"/>
    <x v="4"/>
  </r>
  <r>
    <s v="20.02.2023"/>
    <s v="FIO0020127"/>
    <s v="BV"/>
    <m/>
    <x v="137"/>
    <n v="0"/>
    <n v="2300"/>
    <n v="2300"/>
    <n v="1031"/>
    <x v="1"/>
    <x v="15"/>
    <x v="4"/>
    <x v="4"/>
  </r>
  <r>
    <s v="13.09.2023"/>
    <s v="FIO0090074"/>
    <s v="BV"/>
    <m/>
    <x v="68"/>
    <n v="0"/>
    <n v="5300"/>
    <n v="5300"/>
    <n v="1031"/>
    <x v="1"/>
    <x v="15"/>
    <x v="4"/>
    <x v="4"/>
  </r>
  <r>
    <s v="14.09.2023"/>
    <s v="FIO0090082"/>
    <s v="BV"/>
    <m/>
    <x v="138"/>
    <n v="0"/>
    <n v="5300"/>
    <n v="5300"/>
    <n v="1031"/>
    <x v="1"/>
    <x v="15"/>
    <x v="4"/>
    <x v="4"/>
  </r>
  <r>
    <s v="14.09.2023"/>
    <s v="FIO0090092"/>
    <s v="BV"/>
    <m/>
    <x v="139"/>
    <n v="0"/>
    <n v="5300"/>
    <n v="5300"/>
    <n v="1031"/>
    <x v="1"/>
    <x v="15"/>
    <x v="4"/>
    <x v="4"/>
  </r>
  <r>
    <s v="15.09.2023"/>
    <s v="FIO0090095"/>
    <s v="BV"/>
    <m/>
    <x v="140"/>
    <n v="0"/>
    <n v="5300"/>
    <n v="5300"/>
    <n v="1031"/>
    <x v="1"/>
    <x v="15"/>
    <x v="4"/>
    <x v="4"/>
  </r>
  <r>
    <s v="15.09.2023"/>
    <s v="FIO0090102"/>
    <s v="BV"/>
    <m/>
    <x v="141"/>
    <n v="0"/>
    <n v="5300"/>
    <n v="5300"/>
    <n v="1031"/>
    <x v="1"/>
    <x v="15"/>
    <x v="4"/>
    <x v="4"/>
  </r>
  <r>
    <s v="17.09.2023"/>
    <s v="FIO0090110"/>
    <s v="BV"/>
    <m/>
    <x v="142"/>
    <n v="0"/>
    <n v="2650"/>
    <n v="2650"/>
    <n v="1031"/>
    <x v="1"/>
    <x v="15"/>
    <x v="4"/>
    <x v="4"/>
  </r>
  <r>
    <s v="19.09.2023"/>
    <s v="FIO0090130"/>
    <s v="BV"/>
    <m/>
    <x v="68"/>
    <n v="0"/>
    <n v="5300"/>
    <n v="5300"/>
    <n v="1031"/>
    <x v="1"/>
    <x v="15"/>
    <x v="4"/>
    <x v="4"/>
  </r>
  <r>
    <s v="21.09.2023"/>
    <s v="FIO0090161"/>
    <s v="BV"/>
    <m/>
    <x v="143"/>
    <n v="0"/>
    <n v="5300"/>
    <n v="5300"/>
    <n v="1031"/>
    <x v="1"/>
    <x v="15"/>
    <x v="4"/>
    <x v="4"/>
  </r>
  <r>
    <s v="26.09.2023"/>
    <s v="FIO0090227"/>
    <s v="BV"/>
    <m/>
    <x v="144"/>
    <n v="0"/>
    <n v="5300"/>
    <n v="5300"/>
    <n v="1031"/>
    <x v="1"/>
    <x v="15"/>
    <x v="4"/>
    <x v="4"/>
  </r>
  <r>
    <s v="26.09.2023"/>
    <s v="FIO0090228"/>
    <s v="BV"/>
    <m/>
    <x v="145"/>
    <n v="0"/>
    <n v="5300"/>
    <n v="5300"/>
    <n v="1031"/>
    <x v="1"/>
    <x v="15"/>
    <x v="4"/>
    <x v="4"/>
  </r>
  <r>
    <s v="29.09.2023"/>
    <s v="FIO0090259"/>
    <s v="BV"/>
    <m/>
    <x v="146"/>
    <n v="0"/>
    <n v="5300"/>
    <n v="5300"/>
    <n v="1031"/>
    <x v="1"/>
    <x v="15"/>
    <x v="4"/>
    <x v="4"/>
  </r>
  <r>
    <s v="29.09.2023"/>
    <s v="FIO0090268"/>
    <s v="BV"/>
    <m/>
    <x v="147"/>
    <n v="0"/>
    <n v="5300"/>
    <n v="5300"/>
    <n v="1031"/>
    <x v="1"/>
    <x v="15"/>
    <x v="4"/>
    <x v="4"/>
  </r>
  <r>
    <s v="30.09.2023"/>
    <s v="D 2301003"/>
    <s v="IN"/>
    <m/>
    <x v="53"/>
    <n v="0"/>
    <n v="12837.65"/>
    <n v="12837.65"/>
    <n v="1031"/>
    <x v="1"/>
    <x v="15"/>
    <x v="4"/>
    <x v="4"/>
  </r>
  <r>
    <s v="30.09.2023"/>
    <s v="FIO0090277"/>
    <s v="BV"/>
    <m/>
    <x v="148"/>
    <n v="0"/>
    <n v="5300"/>
    <n v="5300"/>
    <n v="1031"/>
    <x v="1"/>
    <x v="15"/>
    <x v="4"/>
    <x v="4"/>
  </r>
  <r>
    <s v="02.10.2023"/>
    <s v="FIO0100008"/>
    <s v="BV"/>
    <m/>
    <x v="149"/>
    <n v="0"/>
    <n v="5300"/>
    <n v="5300"/>
    <n v="1031"/>
    <x v="1"/>
    <x v="15"/>
    <x v="4"/>
    <x v="4"/>
  </r>
  <r>
    <s v="03.10.2023"/>
    <s v="FIO0100018"/>
    <s v="BV"/>
    <m/>
    <x v="150"/>
    <n v="0"/>
    <n v="5300"/>
    <n v="5300"/>
    <n v="1031"/>
    <x v="1"/>
    <x v="15"/>
    <x v="4"/>
    <x v="4"/>
  </r>
  <r>
    <s v="09.10.2023"/>
    <s v="FIO0100072"/>
    <s v="BV"/>
    <m/>
    <x v="151"/>
    <n v="0"/>
    <n v="5300"/>
    <n v="5300"/>
    <n v="1031"/>
    <x v="1"/>
    <x v="15"/>
    <x v="4"/>
    <x v="4"/>
  </r>
  <r>
    <s v="16.10.2023"/>
    <s v="FIO0100147"/>
    <s v="BV"/>
    <m/>
    <x v="152"/>
    <n v="0"/>
    <n v="3500"/>
    <n v="3500"/>
    <n v="1031"/>
    <x v="1"/>
    <x v="15"/>
    <x v="4"/>
    <x v="4"/>
  </r>
  <r>
    <s v="17.10.2023"/>
    <s v="FIO0100174"/>
    <s v="BV"/>
    <m/>
    <x v="153"/>
    <n v="0"/>
    <n v="3000"/>
    <n v="3000"/>
    <n v="1031"/>
    <x v="1"/>
    <x v="15"/>
    <x v="4"/>
    <x v="4"/>
  </r>
  <r>
    <s v="07.11.2023"/>
    <s v="FIO0110027"/>
    <s v="BV"/>
    <m/>
    <x v="154"/>
    <n v="0"/>
    <n v="-2120"/>
    <n v="-2120"/>
    <n v="1031"/>
    <x v="1"/>
    <x v="15"/>
    <x v="4"/>
    <x v="4"/>
  </r>
  <r>
    <s v="31.12.2023"/>
    <s v="D čl.p"/>
    <s v="IN"/>
    <m/>
    <x v="81"/>
    <n v="0"/>
    <n v="-17532.22"/>
    <n v="-17532.22"/>
    <n v="1031"/>
    <x v="1"/>
    <x v="15"/>
    <x v="4"/>
    <x v="4"/>
  </r>
  <r>
    <s v="31.01.2023"/>
    <s v="PF 2301019"/>
    <s v="FP"/>
    <s v="Tomáš Skoupil"/>
    <x v="155"/>
    <n v="5880"/>
    <n v="0"/>
    <n v="-5880"/>
    <n v="1041"/>
    <x v="1"/>
    <x v="5"/>
    <x v="5"/>
    <x v="5"/>
  </r>
  <r>
    <s v="28.02.2023"/>
    <s v="PF 2302016"/>
    <s v="FP"/>
    <s v="Tomáš Skoupil"/>
    <x v="156"/>
    <n v="2935"/>
    <n v="0"/>
    <n v="-2935"/>
    <n v="1041"/>
    <x v="1"/>
    <x v="5"/>
    <x v="5"/>
    <x v="5"/>
  </r>
  <r>
    <s v="31.03.2023"/>
    <s v="PF 2303017"/>
    <s v="FP"/>
    <s v="Tomáš Skoupil"/>
    <x v="157"/>
    <n v="4895"/>
    <n v="0"/>
    <n v="-4895"/>
    <n v="1041"/>
    <x v="1"/>
    <x v="5"/>
    <x v="5"/>
    <x v="5"/>
  </r>
  <r>
    <s v="30.04.2023"/>
    <s v="PF 2304015"/>
    <s v="FP"/>
    <s v="Tomáš Skoupil"/>
    <x v="158"/>
    <n v="4180"/>
    <n v="0"/>
    <n v="-4180"/>
    <n v="1041"/>
    <x v="1"/>
    <x v="5"/>
    <x v="5"/>
    <x v="5"/>
  </r>
  <r>
    <s v="31.05.2023"/>
    <s v="PF 2305023"/>
    <s v="FP"/>
    <s v="Tomáš Skoupil"/>
    <x v="159"/>
    <n v="6745"/>
    <n v="0"/>
    <n v="-6745"/>
    <n v="1041"/>
    <x v="1"/>
    <x v="5"/>
    <x v="5"/>
    <x v="5"/>
  </r>
  <r>
    <s v="30.06.2023"/>
    <s v="PF2306010"/>
    <s v="FP"/>
    <s v="Tomáš Skoupil"/>
    <x v="160"/>
    <n v="5730"/>
    <n v="0"/>
    <n v="-5730"/>
    <n v="1041"/>
    <x v="1"/>
    <x v="5"/>
    <x v="5"/>
    <x v="5"/>
  </r>
  <r>
    <s v="31.07.2023"/>
    <s v="PF2307008"/>
    <s v="FP"/>
    <s v="Tomáš Skoupil"/>
    <x v="161"/>
    <n v="7000"/>
    <n v="0"/>
    <n v="-7000"/>
    <n v="1041"/>
    <x v="1"/>
    <x v="5"/>
    <x v="5"/>
    <x v="5"/>
  </r>
  <r>
    <s v="31.08.2023"/>
    <s v="PF 2308025"/>
    <s v="FP"/>
    <s v="Tomáš Skoupil"/>
    <x v="162"/>
    <n v="7865"/>
    <n v="0"/>
    <n v="-7865"/>
    <n v="1041"/>
    <x v="1"/>
    <x v="5"/>
    <x v="5"/>
    <x v="5"/>
  </r>
  <r>
    <s v="30.09.2023"/>
    <s v="PF 2309023"/>
    <s v="FP"/>
    <s v="Tomáš Skoupil"/>
    <x v="163"/>
    <n v="3725"/>
    <n v="0"/>
    <n v="-3725"/>
    <n v="1041"/>
    <x v="1"/>
    <x v="5"/>
    <x v="5"/>
    <x v="5"/>
  </r>
  <r>
    <s v="31.10.2023"/>
    <s v="PF 2310017"/>
    <s v="FP"/>
    <s v="Tomáš Skoupil"/>
    <x v="164"/>
    <n v="4515"/>
    <n v="0"/>
    <n v="-4515"/>
    <n v="1041"/>
    <x v="1"/>
    <x v="5"/>
    <x v="5"/>
    <x v="5"/>
  </r>
  <r>
    <s v="30.11.2023"/>
    <s v="PF 2311020"/>
    <s v="FP"/>
    <s v="Tomáš Skoupil"/>
    <x v="165"/>
    <n v="5110"/>
    <n v="0"/>
    <n v="-5110"/>
    <n v="1041"/>
    <x v="1"/>
    <x v="5"/>
    <x v="5"/>
    <x v="5"/>
  </r>
  <r>
    <s v="31.12.2023"/>
    <s v="PF 2312025"/>
    <s v="FP"/>
    <s v="Tomáš Skoupil"/>
    <x v="166"/>
    <n v="2350"/>
    <n v="0"/>
    <n v="-2350"/>
    <n v="1041"/>
    <x v="1"/>
    <x v="5"/>
    <x v="5"/>
    <x v="5"/>
  </r>
  <r>
    <s v="28.04.2023"/>
    <s v="PF 2304010"/>
    <s v="FP"/>
    <s v="SC Hattrick Brno Florbalová škola, z.s."/>
    <x v="167"/>
    <n v="4600"/>
    <n v="0"/>
    <n v="-4600"/>
    <n v="1041"/>
    <x v="1"/>
    <x v="6"/>
    <x v="5"/>
    <x v="5"/>
  </r>
  <r>
    <s v="31.12.2023"/>
    <s v="D haly stř"/>
    <s v="IN"/>
    <m/>
    <x v="31"/>
    <n v="83973.75"/>
    <n v="0"/>
    <n v="-83973.75"/>
    <n v="1041"/>
    <x v="1"/>
    <x v="7"/>
    <x v="5"/>
    <x v="5"/>
  </r>
  <r>
    <s v="07.05.2023"/>
    <s v="PF 2305033"/>
    <s v="FP"/>
    <s v="IMOS facility, a.s."/>
    <x v="168"/>
    <n v="54000"/>
    <n v="0"/>
    <n v="-54000"/>
    <n v="1041"/>
    <x v="1"/>
    <x v="8"/>
    <x v="5"/>
    <x v="5"/>
  </r>
  <r>
    <s v="25.02.2023"/>
    <s v="D 2302010"/>
    <s v="IN"/>
    <m/>
    <x v="169"/>
    <n v="1425"/>
    <n v="0"/>
    <n v="-1425"/>
    <n v="1041"/>
    <x v="1"/>
    <x v="10"/>
    <x v="5"/>
    <x v="5"/>
  </r>
  <r>
    <s v="06.03.2023"/>
    <s v="D 2303005"/>
    <s v="IN"/>
    <m/>
    <x v="170"/>
    <n v="908"/>
    <n v="0"/>
    <n v="-908"/>
    <n v="1041"/>
    <x v="1"/>
    <x v="10"/>
    <x v="5"/>
    <x v="5"/>
  </r>
  <r>
    <s v="10.03.2023"/>
    <s v="D 2303006"/>
    <s v="IN"/>
    <m/>
    <x v="171"/>
    <n v="600"/>
    <n v="0"/>
    <n v="-600"/>
    <n v="1041"/>
    <x v="1"/>
    <x v="10"/>
    <x v="5"/>
    <x v="5"/>
  </r>
  <r>
    <s v="15.04.2023"/>
    <s v="D 2304005"/>
    <s v="IN"/>
    <m/>
    <x v="169"/>
    <n v="3603"/>
    <n v="0"/>
    <n v="-3603"/>
    <n v="1041"/>
    <x v="1"/>
    <x v="10"/>
    <x v="5"/>
    <x v="5"/>
  </r>
  <r>
    <s v="31.12.2023"/>
    <s v="VL stř"/>
    <s v="IN"/>
    <m/>
    <x v="12"/>
    <n v="32565"/>
    <n v="0"/>
    <n v="-32565"/>
    <n v="1041"/>
    <x v="1"/>
    <x v="0"/>
    <x v="5"/>
    <x v="5"/>
  </r>
  <r>
    <s v="31.05.2023"/>
    <s v="D 2305001"/>
    <s v="IN"/>
    <m/>
    <x v="172"/>
    <n v="0"/>
    <n v="44100"/>
    <n v="44100"/>
    <n v="1041"/>
    <x v="1"/>
    <x v="14"/>
    <x v="5"/>
    <x v="5"/>
  </r>
  <r>
    <s v="31.07.2023"/>
    <s v="D 2307001"/>
    <s v="IN"/>
    <m/>
    <x v="173"/>
    <n v="0"/>
    <n v="34375"/>
    <n v="34375"/>
    <n v="1041"/>
    <x v="1"/>
    <x v="14"/>
    <x v="5"/>
    <x v="5"/>
  </r>
  <r>
    <s v="05.01.2023"/>
    <s v="FIO0010022"/>
    <s v="BV"/>
    <m/>
    <x v="174"/>
    <n v="0"/>
    <n v="4600"/>
    <n v="4600"/>
    <n v="1041"/>
    <x v="1"/>
    <x v="15"/>
    <x v="5"/>
    <x v="5"/>
  </r>
  <r>
    <s v="05.01.2023"/>
    <s v="FIO0010024"/>
    <s v="BV"/>
    <m/>
    <x v="175"/>
    <n v="0"/>
    <n v="4600"/>
    <n v="4600"/>
    <n v="1041"/>
    <x v="1"/>
    <x v="15"/>
    <x v="5"/>
    <x v="5"/>
  </r>
  <r>
    <s v="06.01.2023"/>
    <s v="FIO0010046"/>
    <s v="BV"/>
    <m/>
    <x v="176"/>
    <n v="0"/>
    <n v="4600"/>
    <n v="4600"/>
    <n v="1041"/>
    <x v="1"/>
    <x v="15"/>
    <x v="5"/>
    <x v="5"/>
  </r>
  <r>
    <s v="09.01.2023"/>
    <s v="FIO0010057"/>
    <s v="BV"/>
    <m/>
    <x v="177"/>
    <n v="0"/>
    <n v="2300"/>
    <n v="2300"/>
    <n v="1041"/>
    <x v="1"/>
    <x v="15"/>
    <x v="5"/>
    <x v="5"/>
  </r>
  <r>
    <s v="09.01.2023"/>
    <s v="FIO0010062"/>
    <s v="BV"/>
    <m/>
    <x v="178"/>
    <n v="0"/>
    <n v="4600"/>
    <n v="4600"/>
    <n v="1041"/>
    <x v="1"/>
    <x v="15"/>
    <x v="5"/>
    <x v="5"/>
  </r>
  <r>
    <s v="10.01.2023"/>
    <s v="FIO0010066"/>
    <s v="BV"/>
    <m/>
    <x v="179"/>
    <n v="0"/>
    <n v="4600"/>
    <n v="4600"/>
    <n v="1041"/>
    <x v="1"/>
    <x v="15"/>
    <x v="5"/>
    <x v="5"/>
  </r>
  <r>
    <s v="10.01.2023"/>
    <s v="FIO0010079"/>
    <s v="BV"/>
    <m/>
    <x v="180"/>
    <n v="0"/>
    <n v="4600"/>
    <n v="4600"/>
    <n v="1041"/>
    <x v="1"/>
    <x v="15"/>
    <x v="5"/>
    <x v="5"/>
  </r>
  <r>
    <s v="12.01.2023"/>
    <s v="FIO0010119"/>
    <s v="BV"/>
    <m/>
    <x v="181"/>
    <n v="0"/>
    <n v="4600"/>
    <n v="4600"/>
    <n v="1041"/>
    <x v="1"/>
    <x v="15"/>
    <x v="5"/>
    <x v="5"/>
  </r>
  <r>
    <s v="12.01.2023"/>
    <s v="FIO0010123"/>
    <s v="BV"/>
    <m/>
    <x v="182"/>
    <n v="0"/>
    <n v="4600"/>
    <n v="4600"/>
    <n v="1041"/>
    <x v="1"/>
    <x v="15"/>
    <x v="5"/>
    <x v="5"/>
  </r>
  <r>
    <s v="16.01.2023"/>
    <s v="FIO0010145"/>
    <s v="BV"/>
    <m/>
    <x v="183"/>
    <n v="0"/>
    <n v="4600"/>
    <n v="4600"/>
    <n v="1041"/>
    <x v="1"/>
    <x v="15"/>
    <x v="5"/>
    <x v="5"/>
  </r>
  <r>
    <s v="16.01.2023"/>
    <s v="FIO0010147"/>
    <s v="BV"/>
    <m/>
    <x v="184"/>
    <n v="0"/>
    <n v="4600"/>
    <n v="4600"/>
    <n v="1041"/>
    <x v="1"/>
    <x v="15"/>
    <x v="5"/>
    <x v="5"/>
  </r>
  <r>
    <s v="18.01.2023"/>
    <s v="FIO0010172"/>
    <s v="BV"/>
    <m/>
    <x v="185"/>
    <n v="0"/>
    <n v="4600"/>
    <n v="4600"/>
    <n v="1041"/>
    <x v="1"/>
    <x v="15"/>
    <x v="5"/>
    <x v="5"/>
  </r>
  <r>
    <s v="19.01.2023"/>
    <s v="FIO0010181"/>
    <s v="BV"/>
    <m/>
    <x v="186"/>
    <n v="0"/>
    <n v="4600"/>
    <n v="4600"/>
    <n v="1041"/>
    <x v="1"/>
    <x v="15"/>
    <x v="5"/>
    <x v="5"/>
  </r>
  <r>
    <s v="19.01.2023"/>
    <s v="FIO0010186"/>
    <s v="BV"/>
    <m/>
    <x v="187"/>
    <n v="0"/>
    <n v="4600"/>
    <n v="4600"/>
    <n v="1041"/>
    <x v="1"/>
    <x v="15"/>
    <x v="5"/>
    <x v="5"/>
  </r>
  <r>
    <s v="25.01.2023"/>
    <s v="FIO0010210"/>
    <s v="BV"/>
    <m/>
    <x v="188"/>
    <n v="0"/>
    <n v="2200"/>
    <n v="2200"/>
    <n v="1041"/>
    <x v="1"/>
    <x v="15"/>
    <x v="5"/>
    <x v="5"/>
  </r>
  <r>
    <s v="25.01.2023"/>
    <s v="FIO0010217"/>
    <s v="BV"/>
    <m/>
    <x v="189"/>
    <n v="0"/>
    <n v="4600"/>
    <n v="4600"/>
    <n v="1041"/>
    <x v="1"/>
    <x v="15"/>
    <x v="5"/>
    <x v="5"/>
  </r>
  <r>
    <s v="30.01.2023"/>
    <s v="FIO0010242"/>
    <s v="BV"/>
    <m/>
    <x v="190"/>
    <n v="0"/>
    <n v="4600"/>
    <n v="4600"/>
    <n v="1041"/>
    <x v="1"/>
    <x v="15"/>
    <x v="5"/>
    <x v="5"/>
  </r>
  <r>
    <s v="30.01.2023"/>
    <s v="FIO0010246"/>
    <s v="BV"/>
    <m/>
    <x v="191"/>
    <n v="0"/>
    <n v="2300"/>
    <n v="2300"/>
    <n v="1041"/>
    <x v="1"/>
    <x v="15"/>
    <x v="5"/>
    <x v="5"/>
  </r>
  <r>
    <s v="30.01.2023"/>
    <s v="FIO0010248"/>
    <s v="BV"/>
    <m/>
    <x v="192"/>
    <n v="0"/>
    <n v="4600"/>
    <n v="4600"/>
    <n v="1041"/>
    <x v="1"/>
    <x v="15"/>
    <x v="5"/>
    <x v="5"/>
  </r>
  <r>
    <s v="31.01.2023"/>
    <s v="FIO0010263"/>
    <s v="BV"/>
    <m/>
    <x v="193"/>
    <n v="0"/>
    <n v="4600"/>
    <n v="4600"/>
    <n v="1041"/>
    <x v="1"/>
    <x v="15"/>
    <x v="5"/>
    <x v="5"/>
  </r>
  <r>
    <s v="31.01.2023"/>
    <s v="FIO0010267"/>
    <s v="BV"/>
    <m/>
    <x v="194"/>
    <n v="0"/>
    <n v="4600"/>
    <n v="4600"/>
    <n v="1041"/>
    <x v="1"/>
    <x v="15"/>
    <x v="5"/>
    <x v="5"/>
  </r>
  <r>
    <s v="31.01.2023"/>
    <s v="FIO0010275"/>
    <s v="BV"/>
    <m/>
    <x v="195"/>
    <n v="0"/>
    <n v="4600"/>
    <n v="4600"/>
    <n v="1041"/>
    <x v="1"/>
    <x v="15"/>
    <x v="5"/>
    <x v="5"/>
  </r>
  <r>
    <s v="01.02.2023"/>
    <s v="FIO0020010"/>
    <s v="BV"/>
    <m/>
    <x v="196"/>
    <n v="0"/>
    <n v="4600"/>
    <n v="4600"/>
    <n v="1041"/>
    <x v="1"/>
    <x v="15"/>
    <x v="5"/>
    <x v="5"/>
  </r>
  <r>
    <s v="07.02.2023"/>
    <s v="FIO0020025"/>
    <s v="BV"/>
    <m/>
    <x v="197"/>
    <n v="0"/>
    <n v="2300"/>
    <n v="2300"/>
    <n v="1041"/>
    <x v="1"/>
    <x v="15"/>
    <x v="5"/>
    <x v="5"/>
  </r>
  <r>
    <s v="07.02.2023"/>
    <s v="FIO0020030"/>
    <s v="BV"/>
    <m/>
    <x v="198"/>
    <n v="0"/>
    <n v="4600"/>
    <n v="4600"/>
    <n v="1041"/>
    <x v="1"/>
    <x v="15"/>
    <x v="5"/>
    <x v="5"/>
  </r>
  <r>
    <s v="21.02.2023"/>
    <s v="FIO0020129"/>
    <s v="BV"/>
    <m/>
    <x v="199"/>
    <n v="0"/>
    <n v="2300"/>
    <n v="2300"/>
    <n v="1041"/>
    <x v="1"/>
    <x v="15"/>
    <x v="5"/>
    <x v="5"/>
  </r>
  <r>
    <s v="27.04.2023"/>
    <s v="FIO0040142"/>
    <s v="BV"/>
    <m/>
    <x v="200"/>
    <n v="0"/>
    <n v="4600"/>
    <n v="4600"/>
    <n v="1041"/>
    <x v="1"/>
    <x v="15"/>
    <x v="5"/>
    <x v="5"/>
  </r>
  <r>
    <s v="13.09.2023"/>
    <s v="FIO0090052"/>
    <s v="BV"/>
    <m/>
    <x v="201"/>
    <n v="0"/>
    <n v="5300"/>
    <n v="5300"/>
    <n v="1041"/>
    <x v="1"/>
    <x v="15"/>
    <x v="5"/>
    <x v="5"/>
  </r>
  <r>
    <s v="13.09.2023"/>
    <s v="FIO0090056"/>
    <s v="BV"/>
    <m/>
    <x v="202"/>
    <n v="0"/>
    <n v="5300"/>
    <n v="5300"/>
    <n v="1041"/>
    <x v="1"/>
    <x v="15"/>
    <x v="5"/>
    <x v="5"/>
  </r>
  <r>
    <s v="13.09.2023"/>
    <s v="FIO0090069"/>
    <s v="BV"/>
    <m/>
    <x v="203"/>
    <n v="0"/>
    <n v="5300"/>
    <n v="5300"/>
    <n v="1041"/>
    <x v="1"/>
    <x v="15"/>
    <x v="5"/>
    <x v="5"/>
  </r>
  <r>
    <s v="14.09.2023"/>
    <s v="FIO0090081"/>
    <s v="BV"/>
    <m/>
    <x v="204"/>
    <n v="0"/>
    <n v="5300"/>
    <n v="5300"/>
    <n v="1041"/>
    <x v="1"/>
    <x v="15"/>
    <x v="5"/>
    <x v="5"/>
  </r>
  <r>
    <s v="14.09.2023"/>
    <s v="FIO0090083"/>
    <s v="BV"/>
    <m/>
    <x v="68"/>
    <n v="0"/>
    <n v="5300"/>
    <n v="5300"/>
    <n v="1041"/>
    <x v="1"/>
    <x v="15"/>
    <x v="5"/>
    <x v="5"/>
  </r>
  <r>
    <s v="15.09.2023"/>
    <s v="FIO0090108"/>
    <s v="BV"/>
    <m/>
    <x v="205"/>
    <n v="0"/>
    <n v="5300"/>
    <n v="5300"/>
    <n v="1041"/>
    <x v="1"/>
    <x v="15"/>
    <x v="5"/>
    <x v="5"/>
  </r>
  <r>
    <s v="17.09.2023"/>
    <s v="FIO0090112"/>
    <s v="BV"/>
    <m/>
    <x v="206"/>
    <n v="0"/>
    <n v="5300"/>
    <n v="5300"/>
    <n v="1041"/>
    <x v="1"/>
    <x v="15"/>
    <x v="5"/>
    <x v="5"/>
  </r>
  <r>
    <s v="18.09.2023"/>
    <s v="FIO0090116"/>
    <s v="BV"/>
    <m/>
    <x v="207"/>
    <n v="0"/>
    <n v="5300"/>
    <n v="5300"/>
    <n v="1041"/>
    <x v="1"/>
    <x v="15"/>
    <x v="5"/>
    <x v="5"/>
  </r>
  <r>
    <s v="18.09.2023"/>
    <s v="FIO0090118"/>
    <s v="BV"/>
    <m/>
    <x v="208"/>
    <n v="0"/>
    <n v="5300"/>
    <n v="5300"/>
    <n v="1041"/>
    <x v="1"/>
    <x v="15"/>
    <x v="5"/>
    <x v="5"/>
  </r>
  <r>
    <s v="18.09.2023"/>
    <s v="FIO0090119"/>
    <s v="BV"/>
    <m/>
    <x v="209"/>
    <n v="0"/>
    <n v="2650"/>
    <n v="2650"/>
    <n v="1041"/>
    <x v="1"/>
    <x v="15"/>
    <x v="5"/>
    <x v="5"/>
  </r>
  <r>
    <s v="18.09.2023"/>
    <s v="FIO0090121"/>
    <s v="BV"/>
    <m/>
    <x v="68"/>
    <n v="0"/>
    <n v="5300"/>
    <n v="5300"/>
    <n v="1041"/>
    <x v="1"/>
    <x v="15"/>
    <x v="5"/>
    <x v="5"/>
  </r>
  <r>
    <s v="22.09.2023"/>
    <s v="FIO0090170"/>
    <s v="BV"/>
    <m/>
    <x v="68"/>
    <n v="0"/>
    <n v="5300"/>
    <n v="5300"/>
    <n v="1041"/>
    <x v="1"/>
    <x v="15"/>
    <x v="5"/>
    <x v="5"/>
  </r>
  <r>
    <s v="22.09.2023"/>
    <s v="FIO0090176"/>
    <s v="BV"/>
    <m/>
    <x v="210"/>
    <n v="0"/>
    <n v="5300"/>
    <n v="5300"/>
    <n v="1041"/>
    <x v="1"/>
    <x v="15"/>
    <x v="5"/>
    <x v="5"/>
  </r>
  <r>
    <s v="25.09.2023"/>
    <s v="FIO0090186"/>
    <s v="BV"/>
    <m/>
    <x v="211"/>
    <n v="0"/>
    <n v="2650"/>
    <n v="2650"/>
    <n v="1041"/>
    <x v="1"/>
    <x v="15"/>
    <x v="5"/>
    <x v="5"/>
  </r>
  <r>
    <s v="27.09.2023"/>
    <s v="FIO0090231"/>
    <s v="BV"/>
    <m/>
    <x v="212"/>
    <n v="0"/>
    <n v="5300"/>
    <n v="5300"/>
    <n v="1041"/>
    <x v="1"/>
    <x v="15"/>
    <x v="5"/>
    <x v="5"/>
  </r>
  <r>
    <s v="27.09.2023"/>
    <s v="FIO0090238"/>
    <s v="BV"/>
    <m/>
    <x v="213"/>
    <n v="0"/>
    <n v="5300"/>
    <n v="5300"/>
    <n v="1041"/>
    <x v="1"/>
    <x v="15"/>
    <x v="5"/>
    <x v="5"/>
  </r>
  <r>
    <s v="27.09.2023"/>
    <s v="FIO0090241"/>
    <s v="BV"/>
    <m/>
    <x v="214"/>
    <n v="0"/>
    <n v="5300"/>
    <n v="5300"/>
    <n v="1041"/>
    <x v="1"/>
    <x v="15"/>
    <x v="5"/>
    <x v="5"/>
  </r>
  <r>
    <s v="28.09.2023"/>
    <s v="FIO0090247"/>
    <s v="BV"/>
    <m/>
    <x v="215"/>
    <n v="0"/>
    <n v="5300"/>
    <n v="5300"/>
    <n v="1041"/>
    <x v="1"/>
    <x v="15"/>
    <x v="5"/>
    <x v="5"/>
  </r>
  <r>
    <s v="28.09.2023"/>
    <s v="FIO0090256"/>
    <s v="BV"/>
    <m/>
    <x v="216"/>
    <n v="0"/>
    <n v="5300"/>
    <n v="5300"/>
    <n v="1041"/>
    <x v="1"/>
    <x v="15"/>
    <x v="5"/>
    <x v="5"/>
  </r>
  <r>
    <s v="29.09.2023"/>
    <s v="FIO0090267"/>
    <s v="BV"/>
    <m/>
    <x v="217"/>
    <n v="0"/>
    <n v="5300"/>
    <n v="5300"/>
    <n v="1041"/>
    <x v="1"/>
    <x v="15"/>
    <x v="5"/>
    <x v="5"/>
  </r>
  <r>
    <s v="30.09.2023"/>
    <s v="D 2301003"/>
    <s v="IN"/>
    <m/>
    <x v="53"/>
    <n v="0"/>
    <n v="22854.9"/>
    <n v="22854.9"/>
    <n v="1041"/>
    <x v="1"/>
    <x v="15"/>
    <x v="5"/>
    <x v="5"/>
  </r>
  <r>
    <s v="30.09.2023"/>
    <s v="FIO0090276"/>
    <s v="BV"/>
    <m/>
    <x v="196"/>
    <n v="0"/>
    <n v="5300"/>
    <n v="5300"/>
    <n v="1041"/>
    <x v="1"/>
    <x v="15"/>
    <x v="5"/>
    <x v="5"/>
  </r>
  <r>
    <s v="30.09.2023"/>
    <s v="FIO0090278"/>
    <s v="BV"/>
    <m/>
    <x v="218"/>
    <n v="0"/>
    <n v="1060"/>
    <n v="1060"/>
    <n v="1041"/>
    <x v="1"/>
    <x v="15"/>
    <x v="5"/>
    <x v="5"/>
  </r>
  <r>
    <s v="30.09.2023"/>
    <s v="FIO0090280"/>
    <s v="BV"/>
    <m/>
    <x v="219"/>
    <n v="0"/>
    <n v="5300"/>
    <n v="5300"/>
    <n v="1041"/>
    <x v="1"/>
    <x v="15"/>
    <x v="5"/>
    <x v="5"/>
  </r>
  <r>
    <s v="30.09.2023"/>
    <s v="FIO0090284"/>
    <s v="BV"/>
    <m/>
    <x v="220"/>
    <n v="0"/>
    <n v="5300"/>
    <n v="5300"/>
    <n v="1041"/>
    <x v="1"/>
    <x v="15"/>
    <x v="5"/>
    <x v="5"/>
  </r>
  <r>
    <s v="30.09.2023"/>
    <s v="FIO0090287"/>
    <s v="BV"/>
    <m/>
    <x v="221"/>
    <n v="0"/>
    <n v="5300"/>
    <n v="5300"/>
    <n v="1041"/>
    <x v="1"/>
    <x v="15"/>
    <x v="5"/>
    <x v="5"/>
  </r>
  <r>
    <s v="01.10.2023"/>
    <s v="FIO0100002"/>
    <s v="BV"/>
    <m/>
    <x v="222"/>
    <n v="0"/>
    <n v="2650"/>
    <n v="2650"/>
    <n v="1041"/>
    <x v="1"/>
    <x v="15"/>
    <x v="5"/>
    <x v="5"/>
  </r>
  <r>
    <s v="05.10.2023"/>
    <s v="FIO0100042"/>
    <s v="BV"/>
    <m/>
    <x v="223"/>
    <n v="0"/>
    <n v="5300"/>
    <n v="5300"/>
    <n v="1041"/>
    <x v="1"/>
    <x v="15"/>
    <x v="5"/>
    <x v="5"/>
  </r>
  <r>
    <s v="05.10.2023"/>
    <s v="FIO0100047"/>
    <s v="BV"/>
    <m/>
    <x v="68"/>
    <n v="0"/>
    <n v="1060"/>
    <n v="1060"/>
    <n v="1041"/>
    <x v="1"/>
    <x v="15"/>
    <x v="5"/>
    <x v="5"/>
  </r>
  <r>
    <s v="09.10.2023"/>
    <s v="FIO0100078"/>
    <s v="BV"/>
    <m/>
    <x v="224"/>
    <n v="0"/>
    <n v="5300"/>
    <n v="5300"/>
    <n v="1041"/>
    <x v="1"/>
    <x v="15"/>
    <x v="5"/>
    <x v="5"/>
  </r>
  <r>
    <s v="15.10.2023"/>
    <s v="FIO0100141"/>
    <s v="BV"/>
    <m/>
    <x v="225"/>
    <n v="0"/>
    <n v="5300"/>
    <n v="5300"/>
    <n v="1041"/>
    <x v="1"/>
    <x v="15"/>
    <x v="5"/>
    <x v="5"/>
  </r>
  <r>
    <s v="15.11.2023"/>
    <s v="FIO0110135"/>
    <s v="BV"/>
    <m/>
    <x v="218"/>
    <n v="0"/>
    <n v="3180"/>
    <n v="3180"/>
    <n v="1041"/>
    <x v="1"/>
    <x v="15"/>
    <x v="5"/>
    <x v="5"/>
  </r>
  <r>
    <s v="31.12.2023"/>
    <s v="D čl.p"/>
    <s v="IN"/>
    <m/>
    <x v="81"/>
    <n v="0"/>
    <n v="-29531.05"/>
    <n v="-29531.05"/>
    <n v="1041"/>
    <x v="1"/>
    <x v="15"/>
    <x v="5"/>
    <x v="5"/>
  </r>
  <r>
    <s v="31.05.2023"/>
    <s v="D 2305008"/>
    <s v="IN"/>
    <m/>
    <x v="226"/>
    <n v="6000"/>
    <n v="0"/>
    <n v="-6000"/>
    <n v="1051"/>
    <x v="1"/>
    <x v="16"/>
    <x v="6"/>
    <x v="6"/>
  </r>
  <r>
    <s v="31.01.2023"/>
    <s v="PF 2301018"/>
    <s v="FP"/>
    <s v="Daniel Tichý"/>
    <x v="227"/>
    <n v="7355"/>
    <n v="0"/>
    <n v="-7355"/>
    <n v="1051"/>
    <x v="1"/>
    <x v="5"/>
    <x v="6"/>
    <x v="6"/>
  </r>
  <r>
    <s v="28.02.2023"/>
    <s v="PF 2302020"/>
    <s v="FP"/>
    <s v="Daniel Tichý"/>
    <x v="228"/>
    <n v="6985"/>
    <n v="0"/>
    <n v="-6985"/>
    <n v="1051"/>
    <x v="1"/>
    <x v="5"/>
    <x v="6"/>
    <x v="6"/>
  </r>
  <r>
    <s v="31.03.2023"/>
    <s v="PF 2303030"/>
    <s v="FP"/>
    <s v="Daniel Tichý"/>
    <x v="229"/>
    <n v="1571"/>
    <n v="0"/>
    <n v="-1571"/>
    <n v="1051"/>
    <x v="1"/>
    <x v="5"/>
    <x v="6"/>
    <x v="6"/>
  </r>
  <r>
    <s v="31.03.2023"/>
    <s v="PF 2303031"/>
    <s v="FP"/>
    <s v="Daniel Tichý"/>
    <x v="229"/>
    <n v="7800"/>
    <n v="0"/>
    <n v="-7800"/>
    <n v="1051"/>
    <x v="1"/>
    <x v="5"/>
    <x v="6"/>
    <x v="6"/>
  </r>
  <r>
    <s v="30.04.2023"/>
    <s v="PF 2304019"/>
    <s v="FP"/>
    <s v="Daniel Tichý"/>
    <x v="230"/>
    <n v="6945"/>
    <n v="0"/>
    <n v="-6945"/>
    <n v="1051"/>
    <x v="1"/>
    <x v="5"/>
    <x v="6"/>
    <x v="6"/>
  </r>
  <r>
    <s v="30.04.2023"/>
    <s v="PF 2304025"/>
    <s v="FP"/>
    <s v="Daniel Tichý"/>
    <x v="230"/>
    <n v="2940"/>
    <n v="0"/>
    <n v="-2940"/>
    <n v="1051"/>
    <x v="1"/>
    <x v="5"/>
    <x v="6"/>
    <x v="6"/>
  </r>
  <r>
    <s v="31.05.2023"/>
    <s v="PF 2305019"/>
    <s v="FP"/>
    <s v="Daniel Tichý"/>
    <x v="231"/>
    <n v="8975"/>
    <n v="0"/>
    <n v="-8975"/>
    <n v="1051"/>
    <x v="1"/>
    <x v="5"/>
    <x v="6"/>
    <x v="6"/>
  </r>
  <r>
    <s v="30.06.2023"/>
    <s v="PF2306009"/>
    <s v="FP"/>
    <s v="Daniel Tichý"/>
    <x v="232"/>
    <n v="11025"/>
    <n v="0"/>
    <n v="-11025"/>
    <n v="1051"/>
    <x v="1"/>
    <x v="5"/>
    <x v="6"/>
    <x v="6"/>
  </r>
  <r>
    <s v="31.08.2023"/>
    <s v="PF 2308013"/>
    <s v="FP"/>
    <s v="Daniel Tichý"/>
    <x v="24"/>
    <n v="205"/>
    <n v="0"/>
    <n v="-205"/>
    <n v="1051"/>
    <x v="1"/>
    <x v="5"/>
    <x v="6"/>
    <x v="6"/>
  </r>
  <r>
    <s v="30.09.2023"/>
    <s v="PF 2309025"/>
    <s v="FP"/>
    <s v="Daniel Tichý"/>
    <x v="233"/>
    <n v="7390"/>
    <n v="0"/>
    <n v="-7390"/>
    <n v="1051"/>
    <x v="1"/>
    <x v="5"/>
    <x v="6"/>
    <x v="6"/>
  </r>
  <r>
    <s v="31.10.2023"/>
    <s v="PF 2310018"/>
    <s v="FP"/>
    <s v="Daniel Tichý"/>
    <x v="234"/>
    <n v="7055"/>
    <n v="0"/>
    <n v="-7055"/>
    <n v="1051"/>
    <x v="1"/>
    <x v="5"/>
    <x v="6"/>
    <x v="6"/>
  </r>
  <r>
    <s v="30.11.2023"/>
    <s v="PF 2311016"/>
    <s v="FP"/>
    <s v="Daniel Tichý"/>
    <x v="235"/>
    <n v="8700"/>
    <n v="0"/>
    <n v="-8700"/>
    <n v="1051"/>
    <x v="1"/>
    <x v="5"/>
    <x v="6"/>
    <x v="6"/>
  </r>
  <r>
    <s v="31.12.2023"/>
    <s v="PF 2312024"/>
    <s v="FP"/>
    <s v="Daniel Tichý"/>
    <x v="236"/>
    <n v="8130"/>
    <n v="0"/>
    <n v="-8130"/>
    <n v="1051"/>
    <x v="1"/>
    <x v="5"/>
    <x v="6"/>
    <x v="6"/>
  </r>
  <r>
    <s v="07.03.2023"/>
    <s v="PF 2303005"/>
    <s v="FP"/>
    <s v="Ostravské hry, z.s."/>
    <x v="237"/>
    <n v="4500"/>
    <n v="0"/>
    <n v="-4500"/>
    <n v="1051"/>
    <x v="1"/>
    <x v="6"/>
    <x v="6"/>
    <x v="6"/>
  </r>
  <r>
    <s v="28.04.2023"/>
    <s v="PF 2304010"/>
    <s v="FP"/>
    <s v="SC Hattrick Brno Florbalová škola, z.s."/>
    <x v="167"/>
    <n v="4600"/>
    <n v="0"/>
    <n v="-4600"/>
    <n v="1051"/>
    <x v="1"/>
    <x v="6"/>
    <x v="6"/>
    <x v="6"/>
  </r>
  <r>
    <s v="31.12.2023"/>
    <s v="D haly stř"/>
    <s v="IN"/>
    <m/>
    <x v="31"/>
    <n v="93391.07"/>
    <n v="0"/>
    <n v="-93391.07"/>
    <n v="1051"/>
    <x v="1"/>
    <x v="7"/>
    <x v="6"/>
    <x v="6"/>
  </r>
  <r>
    <s v="17.05.2023"/>
    <s v="PF 2305010"/>
    <s v="FP"/>
    <s v="Luminatec s.r.o."/>
    <x v="238"/>
    <n v="12000"/>
    <n v="0"/>
    <n v="-12000"/>
    <n v="1051"/>
    <x v="1"/>
    <x v="8"/>
    <x v="6"/>
    <x v="6"/>
  </r>
  <r>
    <s v="25.06.2023"/>
    <s v="PF2306024"/>
    <s v="FP"/>
    <s v="IMOS facility, a.s."/>
    <x v="239"/>
    <n v="34025"/>
    <n v="0"/>
    <n v="-34025"/>
    <n v="1051"/>
    <x v="1"/>
    <x v="8"/>
    <x v="6"/>
    <x v="6"/>
  </r>
  <r>
    <s v="07.01.2023"/>
    <s v="D 2301006"/>
    <s v="IN"/>
    <m/>
    <x v="240"/>
    <n v="3549"/>
    <n v="0"/>
    <n v="-3549"/>
    <n v="1051"/>
    <x v="1"/>
    <x v="10"/>
    <x v="6"/>
    <x v="6"/>
  </r>
  <r>
    <s v="18.03.2023"/>
    <s v="D 2303011"/>
    <s v="IN"/>
    <m/>
    <x v="240"/>
    <n v="3100"/>
    <n v="0"/>
    <n v="-3100"/>
    <n v="1051"/>
    <x v="1"/>
    <x v="10"/>
    <x v="6"/>
    <x v="6"/>
  </r>
  <r>
    <s v="29.04.2023"/>
    <s v="D 2304007"/>
    <s v="IN"/>
    <m/>
    <x v="240"/>
    <n v="3000"/>
    <n v="0"/>
    <n v="-3000"/>
    <n v="1051"/>
    <x v="1"/>
    <x v="10"/>
    <x v="6"/>
    <x v="6"/>
  </r>
  <r>
    <s v="30.04.2023"/>
    <s v="D 2304008"/>
    <s v="IN"/>
    <m/>
    <x v="240"/>
    <n v="3132"/>
    <n v="0"/>
    <n v="-3132"/>
    <n v="1051"/>
    <x v="1"/>
    <x v="10"/>
    <x v="6"/>
    <x v="6"/>
  </r>
  <r>
    <s v="07.10.2023"/>
    <s v="D 2310002"/>
    <s v="IN"/>
    <m/>
    <x v="240"/>
    <n v="1825"/>
    <n v="0"/>
    <n v="-1825"/>
    <n v="1051"/>
    <x v="1"/>
    <x v="10"/>
    <x v="6"/>
    <x v="6"/>
  </r>
  <r>
    <s v="18.11.2023"/>
    <s v="D 2311007"/>
    <s v="IN"/>
    <m/>
    <x v="240"/>
    <n v="3010"/>
    <n v="0"/>
    <n v="-3010"/>
    <n v="1051"/>
    <x v="1"/>
    <x v="10"/>
    <x v="6"/>
    <x v="6"/>
  </r>
  <r>
    <s v="31.12.2023"/>
    <s v="VL stř"/>
    <s v="IN"/>
    <m/>
    <x v="12"/>
    <n v="66510"/>
    <n v="0"/>
    <n v="-66510"/>
    <n v="1051"/>
    <x v="1"/>
    <x v="0"/>
    <x v="6"/>
    <x v="6"/>
  </r>
  <r>
    <s v="31.05.2023"/>
    <s v="D 2305007"/>
    <s v="IN"/>
    <m/>
    <x v="123"/>
    <n v="0"/>
    <n v="31550"/>
    <n v="31550"/>
    <n v="1051"/>
    <x v="1"/>
    <x v="14"/>
    <x v="6"/>
    <x v="6"/>
  </r>
  <r>
    <s v="06.01.2023"/>
    <s v="FIO0010030"/>
    <s v="BV"/>
    <m/>
    <x v="241"/>
    <n v="0"/>
    <n v="4600"/>
    <n v="4600"/>
    <n v="1051"/>
    <x v="1"/>
    <x v="15"/>
    <x v="6"/>
    <x v="6"/>
  </r>
  <r>
    <s v="06.01.2023"/>
    <s v="FIO0010035"/>
    <s v="BV"/>
    <m/>
    <x v="242"/>
    <n v="0"/>
    <n v="4600"/>
    <n v="4600"/>
    <n v="1051"/>
    <x v="1"/>
    <x v="15"/>
    <x v="6"/>
    <x v="6"/>
  </r>
  <r>
    <s v="06.01.2023"/>
    <s v="FIO0010044"/>
    <s v="BV"/>
    <m/>
    <x v="243"/>
    <n v="0"/>
    <n v="4600"/>
    <n v="4600"/>
    <n v="1051"/>
    <x v="1"/>
    <x v="15"/>
    <x v="6"/>
    <x v="6"/>
  </r>
  <r>
    <s v="06.01.2023"/>
    <s v="FIO0010047"/>
    <s v="BV"/>
    <m/>
    <x v="244"/>
    <n v="0"/>
    <n v="4600"/>
    <n v="4600"/>
    <n v="1051"/>
    <x v="1"/>
    <x v="15"/>
    <x v="6"/>
    <x v="6"/>
  </r>
  <r>
    <s v="09.01.2023"/>
    <s v="FIO0010055"/>
    <s v="BV"/>
    <m/>
    <x v="245"/>
    <n v="0"/>
    <n v="4600"/>
    <n v="4600"/>
    <n v="1051"/>
    <x v="1"/>
    <x v="15"/>
    <x v="6"/>
    <x v="6"/>
  </r>
  <r>
    <s v="09.01.2023"/>
    <s v="FIO0010058"/>
    <s v="BV"/>
    <m/>
    <x v="246"/>
    <n v="0"/>
    <n v="4600"/>
    <n v="4600"/>
    <n v="1051"/>
    <x v="1"/>
    <x v="15"/>
    <x v="6"/>
    <x v="6"/>
  </r>
  <r>
    <s v="10.01.2023"/>
    <s v="FIO0010081"/>
    <s v="BV"/>
    <m/>
    <x v="247"/>
    <n v="0"/>
    <n v="4600"/>
    <n v="4600"/>
    <n v="1051"/>
    <x v="1"/>
    <x v="15"/>
    <x v="6"/>
    <x v="6"/>
  </r>
  <r>
    <s v="11.01.2023"/>
    <s v="FIO0010085"/>
    <s v="BV"/>
    <m/>
    <x v="217"/>
    <n v="0"/>
    <n v="4600"/>
    <n v="4600"/>
    <n v="1051"/>
    <x v="1"/>
    <x v="15"/>
    <x v="6"/>
    <x v="6"/>
  </r>
  <r>
    <s v="11.01.2023"/>
    <s v="FIO0010090"/>
    <s v="BV"/>
    <m/>
    <x v="248"/>
    <n v="0"/>
    <n v="4600"/>
    <n v="4600"/>
    <n v="1051"/>
    <x v="1"/>
    <x v="15"/>
    <x v="6"/>
    <x v="6"/>
  </r>
  <r>
    <s v="12.01.2023"/>
    <s v="FIO0010120"/>
    <s v="BV"/>
    <m/>
    <x v="249"/>
    <n v="0"/>
    <n v="4600"/>
    <n v="4600"/>
    <n v="1051"/>
    <x v="1"/>
    <x v="15"/>
    <x v="6"/>
    <x v="6"/>
  </r>
  <r>
    <s v="13.01.2023"/>
    <s v="FIO0010133"/>
    <s v="BV"/>
    <m/>
    <x v="250"/>
    <n v="0"/>
    <n v="2300"/>
    <n v="2300"/>
    <n v="1051"/>
    <x v="1"/>
    <x v="15"/>
    <x v="6"/>
    <x v="6"/>
  </r>
  <r>
    <s v="13.01.2023"/>
    <s v="FIO0010134"/>
    <s v="BV"/>
    <m/>
    <x v="251"/>
    <n v="0"/>
    <n v="4600"/>
    <n v="4600"/>
    <n v="1051"/>
    <x v="1"/>
    <x v="15"/>
    <x v="6"/>
    <x v="6"/>
  </r>
  <r>
    <s v="16.01.2023"/>
    <s v="FIO0010140"/>
    <s v="BV"/>
    <m/>
    <x v="252"/>
    <n v="0"/>
    <n v="4600"/>
    <n v="4600"/>
    <n v="1051"/>
    <x v="1"/>
    <x v="15"/>
    <x v="6"/>
    <x v="6"/>
  </r>
  <r>
    <s v="16.01.2023"/>
    <s v="FIO0010143"/>
    <s v="BV"/>
    <m/>
    <x v="253"/>
    <n v="0"/>
    <n v="4600"/>
    <n v="4600"/>
    <n v="1051"/>
    <x v="1"/>
    <x v="15"/>
    <x v="6"/>
    <x v="6"/>
  </r>
  <r>
    <s v="16.01.2023"/>
    <s v="FIO0010146"/>
    <s v="BV"/>
    <m/>
    <x v="254"/>
    <n v="0"/>
    <n v="2300"/>
    <n v="2300"/>
    <n v="1051"/>
    <x v="1"/>
    <x v="15"/>
    <x v="6"/>
    <x v="6"/>
  </r>
  <r>
    <s v="16.01.2023"/>
    <s v="FIO0010148"/>
    <s v="BV"/>
    <m/>
    <x v="255"/>
    <n v="0"/>
    <n v="4600"/>
    <n v="4600"/>
    <n v="1051"/>
    <x v="1"/>
    <x v="15"/>
    <x v="6"/>
    <x v="6"/>
  </r>
  <r>
    <s v="17.01.2023"/>
    <s v="FIO0010165"/>
    <s v="BV"/>
    <m/>
    <x v="256"/>
    <n v="0"/>
    <n v="4600"/>
    <n v="4600"/>
    <n v="1051"/>
    <x v="1"/>
    <x v="15"/>
    <x v="6"/>
    <x v="6"/>
  </r>
  <r>
    <s v="17.01.2023"/>
    <s v="FIO0010166"/>
    <s v="BV"/>
    <m/>
    <x v="257"/>
    <n v="0"/>
    <n v="2300"/>
    <n v="2300"/>
    <n v="1051"/>
    <x v="1"/>
    <x v="15"/>
    <x v="6"/>
    <x v="6"/>
  </r>
  <r>
    <s v="19.01.2023"/>
    <s v="FIO0010184"/>
    <s v="BV"/>
    <m/>
    <x v="258"/>
    <n v="0"/>
    <n v="2300"/>
    <n v="2300"/>
    <n v="1051"/>
    <x v="1"/>
    <x v="15"/>
    <x v="6"/>
    <x v="6"/>
  </r>
  <r>
    <s v="23.01.2023"/>
    <s v="FIO0010194"/>
    <s v="BV"/>
    <m/>
    <x v="259"/>
    <n v="0"/>
    <n v="4600"/>
    <n v="4600"/>
    <n v="1051"/>
    <x v="1"/>
    <x v="15"/>
    <x v="6"/>
    <x v="6"/>
  </r>
  <r>
    <s v="24.01.2023"/>
    <s v="FIO0010207"/>
    <s v="BV"/>
    <m/>
    <x v="260"/>
    <n v="0"/>
    <n v="4600"/>
    <n v="4600"/>
    <n v="1051"/>
    <x v="1"/>
    <x v="15"/>
    <x v="6"/>
    <x v="6"/>
  </r>
  <r>
    <s v="25.01.2023"/>
    <s v="FIO0010213"/>
    <s v="BV"/>
    <m/>
    <x v="261"/>
    <n v="0"/>
    <n v="4600"/>
    <n v="4600"/>
    <n v="1051"/>
    <x v="1"/>
    <x v="15"/>
    <x v="6"/>
    <x v="6"/>
  </r>
  <r>
    <s v="25.01.2023"/>
    <s v="FIO0010214"/>
    <s v="BV"/>
    <m/>
    <x v="262"/>
    <n v="0"/>
    <n v="4600"/>
    <n v="4600"/>
    <n v="1051"/>
    <x v="1"/>
    <x v="15"/>
    <x v="6"/>
    <x v="6"/>
  </r>
  <r>
    <s v="25.01.2023"/>
    <s v="FIO0010215"/>
    <s v="BV"/>
    <m/>
    <x v="263"/>
    <n v="0"/>
    <n v="2300"/>
    <n v="2300"/>
    <n v="1051"/>
    <x v="1"/>
    <x v="15"/>
    <x v="6"/>
    <x v="6"/>
  </r>
  <r>
    <s v="26.01.2023"/>
    <s v="FIO0010220"/>
    <s v="BV"/>
    <m/>
    <x v="264"/>
    <n v="0"/>
    <n v="4600"/>
    <n v="4600"/>
    <n v="1051"/>
    <x v="1"/>
    <x v="15"/>
    <x v="6"/>
    <x v="6"/>
  </r>
  <r>
    <s v="30.01.2023"/>
    <s v="FIO0010247"/>
    <s v="BV"/>
    <m/>
    <x v="265"/>
    <n v="0"/>
    <n v="4600"/>
    <n v="4600"/>
    <n v="1051"/>
    <x v="1"/>
    <x v="15"/>
    <x v="6"/>
    <x v="6"/>
  </r>
  <r>
    <s v="31.01.2023"/>
    <s v="FIO0010258"/>
    <s v="BV"/>
    <m/>
    <x v="266"/>
    <n v="0"/>
    <n v="4600"/>
    <n v="4600"/>
    <n v="1051"/>
    <x v="1"/>
    <x v="15"/>
    <x v="6"/>
    <x v="6"/>
  </r>
  <r>
    <s v="31.01.2023"/>
    <s v="FIO0010262"/>
    <s v="BV"/>
    <m/>
    <x v="267"/>
    <n v="0"/>
    <n v="4600"/>
    <n v="4600"/>
    <n v="1051"/>
    <x v="1"/>
    <x v="15"/>
    <x v="6"/>
    <x v="6"/>
  </r>
  <r>
    <s v="31.01.2023"/>
    <s v="FIO0010271"/>
    <s v="BV"/>
    <m/>
    <x v="268"/>
    <n v="0"/>
    <n v="4600"/>
    <n v="4600"/>
    <n v="1051"/>
    <x v="1"/>
    <x v="15"/>
    <x v="6"/>
    <x v="6"/>
  </r>
  <r>
    <s v="01.02.2023"/>
    <s v="FIO0020001"/>
    <s v="BV"/>
    <m/>
    <x v="269"/>
    <n v="0"/>
    <n v="4600"/>
    <n v="4600"/>
    <n v="1051"/>
    <x v="1"/>
    <x v="15"/>
    <x v="6"/>
    <x v="6"/>
  </r>
  <r>
    <s v="01.02.2023"/>
    <s v="FIO0020005"/>
    <s v="BV"/>
    <m/>
    <x v="270"/>
    <n v="0"/>
    <n v="4600"/>
    <n v="4600"/>
    <n v="1051"/>
    <x v="1"/>
    <x v="15"/>
    <x v="6"/>
    <x v="6"/>
  </r>
  <r>
    <s v="01.02.2023"/>
    <s v="FIO0020009"/>
    <s v="BV"/>
    <m/>
    <x v="68"/>
    <n v="0"/>
    <n v="4600"/>
    <n v="4600"/>
    <n v="1051"/>
    <x v="1"/>
    <x v="15"/>
    <x v="6"/>
    <x v="6"/>
  </r>
  <r>
    <s v="06.02.2023"/>
    <s v="FIO0020022"/>
    <s v="BV"/>
    <m/>
    <x v="271"/>
    <n v="0"/>
    <n v="4600"/>
    <n v="4600"/>
    <n v="1051"/>
    <x v="1"/>
    <x v="15"/>
    <x v="6"/>
    <x v="6"/>
  </r>
  <r>
    <s v="06.02.2023"/>
    <s v="FIO0020023"/>
    <s v="BV"/>
    <m/>
    <x v="272"/>
    <n v="0"/>
    <n v="4600"/>
    <n v="4600"/>
    <n v="1051"/>
    <x v="1"/>
    <x v="15"/>
    <x v="6"/>
    <x v="6"/>
  </r>
  <r>
    <s v="21.02.2023"/>
    <s v="FIO0020130"/>
    <s v="BV"/>
    <m/>
    <x v="273"/>
    <n v="0"/>
    <n v="4600"/>
    <n v="4600"/>
    <n v="1051"/>
    <x v="1"/>
    <x v="15"/>
    <x v="6"/>
    <x v="6"/>
  </r>
  <r>
    <s v="23.03.2023"/>
    <s v="FIO0030097"/>
    <s v="BV"/>
    <m/>
    <x v="274"/>
    <n v="0"/>
    <n v="2300"/>
    <n v="2300"/>
    <n v="1051"/>
    <x v="1"/>
    <x v="15"/>
    <x v="6"/>
    <x v="6"/>
  </r>
  <r>
    <s v="03.04.2023"/>
    <s v="FIO0040001"/>
    <s v="BV"/>
    <m/>
    <x v="275"/>
    <n v="0"/>
    <n v="2300"/>
    <n v="2300"/>
    <n v="1051"/>
    <x v="1"/>
    <x v="15"/>
    <x v="6"/>
    <x v="6"/>
  </r>
  <r>
    <s v="09.05.2023"/>
    <s v="FIO0050075"/>
    <s v="BV"/>
    <m/>
    <x v="276"/>
    <n v="0"/>
    <n v="2300"/>
    <n v="2300"/>
    <n v="1051"/>
    <x v="1"/>
    <x v="15"/>
    <x v="6"/>
    <x v="6"/>
  </r>
  <r>
    <s v="13.09.2023"/>
    <s v="FIO0090064"/>
    <s v="BV"/>
    <m/>
    <x v="277"/>
    <n v="0"/>
    <n v="5300"/>
    <n v="5300"/>
    <n v="1051"/>
    <x v="1"/>
    <x v="15"/>
    <x v="6"/>
    <x v="6"/>
  </r>
  <r>
    <s v="13.09.2023"/>
    <s v="FIO0090065"/>
    <s v="BV"/>
    <m/>
    <x v="278"/>
    <n v="0"/>
    <n v="5300"/>
    <n v="5300"/>
    <n v="1051"/>
    <x v="1"/>
    <x v="15"/>
    <x v="6"/>
    <x v="6"/>
  </r>
  <r>
    <s v="13.09.2023"/>
    <s v="FIO0090066"/>
    <s v="BV"/>
    <m/>
    <x v="279"/>
    <n v="0"/>
    <n v="5300"/>
    <n v="5300"/>
    <n v="1051"/>
    <x v="1"/>
    <x v="15"/>
    <x v="6"/>
    <x v="6"/>
  </r>
  <r>
    <s v="13.09.2023"/>
    <s v="FIO0090070"/>
    <s v="BV"/>
    <m/>
    <x v="246"/>
    <n v="0"/>
    <n v="5300"/>
    <n v="5300"/>
    <n v="1051"/>
    <x v="1"/>
    <x v="15"/>
    <x v="6"/>
    <x v="6"/>
  </r>
  <r>
    <s v="14.09.2023"/>
    <s v="FIO0090078"/>
    <s v="BV"/>
    <m/>
    <x v="280"/>
    <n v="0"/>
    <n v="5300"/>
    <n v="5300"/>
    <n v="1051"/>
    <x v="1"/>
    <x v="15"/>
    <x v="6"/>
    <x v="6"/>
  </r>
  <r>
    <s v="14.09.2023"/>
    <s v="FIO0090084"/>
    <s v="BV"/>
    <m/>
    <x v="281"/>
    <n v="0"/>
    <n v="5300"/>
    <n v="5300"/>
    <n v="1051"/>
    <x v="1"/>
    <x v="15"/>
    <x v="6"/>
    <x v="6"/>
  </r>
  <r>
    <s v="14.09.2023"/>
    <s v="FIO0090094"/>
    <s v="BV"/>
    <m/>
    <x v="282"/>
    <n v="0"/>
    <n v="5300"/>
    <n v="5300"/>
    <n v="1051"/>
    <x v="1"/>
    <x v="15"/>
    <x v="6"/>
    <x v="6"/>
  </r>
  <r>
    <s v="15.09.2023"/>
    <s v="FIO0090096"/>
    <s v="BV"/>
    <m/>
    <x v="283"/>
    <n v="0"/>
    <n v="5300"/>
    <n v="5300"/>
    <n v="1051"/>
    <x v="1"/>
    <x v="15"/>
    <x v="6"/>
    <x v="6"/>
  </r>
  <r>
    <s v="15.09.2023"/>
    <s v="FIO0090098"/>
    <s v="BV"/>
    <m/>
    <x v="284"/>
    <n v="0"/>
    <n v="5300"/>
    <n v="5300"/>
    <n v="1051"/>
    <x v="1"/>
    <x v="15"/>
    <x v="6"/>
    <x v="6"/>
  </r>
  <r>
    <s v="15.09.2023"/>
    <s v="FIO0090103"/>
    <s v="BV"/>
    <m/>
    <x v="285"/>
    <n v="0"/>
    <n v="5300"/>
    <n v="5300"/>
    <n v="1051"/>
    <x v="1"/>
    <x v="15"/>
    <x v="6"/>
    <x v="6"/>
  </r>
  <r>
    <s v="15.09.2023"/>
    <s v="FIO0090104"/>
    <s v="BV"/>
    <m/>
    <x v="286"/>
    <n v="0"/>
    <n v="5300"/>
    <n v="5300"/>
    <n v="1051"/>
    <x v="1"/>
    <x v="15"/>
    <x v="6"/>
    <x v="6"/>
  </r>
  <r>
    <s v="15.09.2023"/>
    <s v="FIO0090106"/>
    <s v="BV"/>
    <m/>
    <x v="68"/>
    <n v="0"/>
    <n v="5300"/>
    <n v="5300"/>
    <n v="1051"/>
    <x v="1"/>
    <x v="15"/>
    <x v="6"/>
    <x v="6"/>
  </r>
  <r>
    <s v="17.09.2023"/>
    <s v="FIO0090115"/>
    <s v="BV"/>
    <m/>
    <x v="287"/>
    <n v="0"/>
    <n v="5300"/>
    <n v="5300"/>
    <n v="1051"/>
    <x v="1"/>
    <x v="15"/>
    <x v="6"/>
    <x v="6"/>
  </r>
  <r>
    <s v="18.09.2023"/>
    <s v="FIO0090120"/>
    <s v="BV"/>
    <m/>
    <x v="288"/>
    <n v="0"/>
    <n v="5300"/>
    <n v="5300"/>
    <n v="1051"/>
    <x v="1"/>
    <x v="15"/>
    <x v="6"/>
    <x v="6"/>
  </r>
  <r>
    <s v="19.09.2023"/>
    <s v="FIO0090129"/>
    <s v="BV"/>
    <m/>
    <x v="68"/>
    <n v="0"/>
    <n v="2650"/>
    <n v="2650"/>
    <n v="1051"/>
    <x v="1"/>
    <x v="15"/>
    <x v="6"/>
    <x v="6"/>
  </r>
  <r>
    <s v="19.09.2023"/>
    <s v="FIO0090133"/>
    <s v="BV"/>
    <m/>
    <x v="251"/>
    <n v="0"/>
    <n v="2650"/>
    <n v="2650"/>
    <n v="1051"/>
    <x v="1"/>
    <x v="15"/>
    <x v="6"/>
    <x v="6"/>
  </r>
  <r>
    <s v="19.09.2023"/>
    <s v="FIO0090134"/>
    <s v="BV"/>
    <m/>
    <x v="289"/>
    <n v="0"/>
    <n v="5300"/>
    <n v="5300"/>
    <n v="1051"/>
    <x v="1"/>
    <x v="15"/>
    <x v="6"/>
    <x v="6"/>
  </r>
  <r>
    <s v="19.09.2023"/>
    <s v="FIO0090139"/>
    <s v="BV"/>
    <m/>
    <x v="290"/>
    <n v="0"/>
    <n v="2650"/>
    <n v="2650"/>
    <n v="1051"/>
    <x v="1"/>
    <x v="15"/>
    <x v="6"/>
    <x v="6"/>
  </r>
  <r>
    <s v="19.09.2023"/>
    <s v="FIO0090140"/>
    <s v="BV"/>
    <m/>
    <x v="291"/>
    <n v="0"/>
    <n v="5300"/>
    <n v="5300"/>
    <n v="1051"/>
    <x v="1"/>
    <x v="15"/>
    <x v="6"/>
    <x v="6"/>
  </r>
  <r>
    <s v="20.09.2023"/>
    <s v="FIO0090142"/>
    <s v="BV"/>
    <m/>
    <x v="292"/>
    <n v="0"/>
    <n v="5300"/>
    <n v="5300"/>
    <n v="1051"/>
    <x v="1"/>
    <x v="15"/>
    <x v="6"/>
    <x v="6"/>
  </r>
  <r>
    <s v="21.09.2023"/>
    <s v="FIO0090160"/>
    <s v="BV"/>
    <m/>
    <x v="293"/>
    <n v="0"/>
    <n v="5300"/>
    <n v="5300"/>
    <n v="1051"/>
    <x v="1"/>
    <x v="15"/>
    <x v="6"/>
    <x v="6"/>
  </r>
  <r>
    <s v="21.09.2023"/>
    <s v="FIO0090166"/>
    <s v="BV"/>
    <m/>
    <x v="294"/>
    <n v="0"/>
    <n v="5300"/>
    <n v="5300"/>
    <n v="1051"/>
    <x v="1"/>
    <x v="15"/>
    <x v="6"/>
    <x v="6"/>
  </r>
  <r>
    <s v="21.09.2023"/>
    <s v="FIO0090168"/>
    <s v="BV"/>
    <m/>
    <x v="295"/>
    <n v="0"/>
    <n v="5300"/>
    <n v="5300"/>
    <n v="1051"/>
    <x v="1"/>
    <x v="15"/>
    <x v="6"/>
    <x v="6"/>
  </r>
  <r>
    <s v="22.09.2023"/>
    <s v="FIO0090172"/>
    <s v="BV"/>
    <m/>
    <x v="296"/>
    <n v="0"/>
    <n v="5300"/>
    <n v="5300"/>
    <n v="1051"/>
    <x v="1"/>
    <x v="15"/>
    <x v="6"/>
    <x v="6"/>
  </r>
  <r>
    <s v="25.09.2023"/>
    <s v="FIO0090190"/>
    <s v="BV"/>
    <m/>
    <x v="297"/>
    <n v="0"/>
    <n v="5300"/>
    <n v="5300"/>
    <n v="1051"/>
    <x v="1"/>
    <x v="15"/>
    <x v="6"/>
    <x v="6"/>
  </r>
  <r>
    <s v="25.09.2023"/>
    <s v="FIO0090196"/>
    <s v="BV"/>
    <m/>
    <x v="298"/>
    <n v="0"/>
    <n v="5300"/>
    <n v="5300"/>
    <n v="1051"/>
    <x v="1"/>
    <x v="15"/>
    <x v="6"/>
    <x v="6"/>
  </r>
  <r>
    <s v="26.09.2023"/>
    <s v="FIO0090221"/>
    <s v="BV"/>
    <m/>
    <x v="68"/>
    <n v="0"/>
    <n v="5300"/>
    <n v="5300"/>
    <n v="1051"/>
    <x v="1"/>
    <x v="15"/>
    <x v="6"/>
    <x v="6"/>
  </r>
  <r>
    <s v="26.09.2023"/>
    <s v="FIO0090222"/>
    <s v="BV"/>
    <m/>
    <x v="299"/>
    <n v="0"/>
    <n v="5300"/>
    <n v="5300"/>
    <n v="1051"/>
    <x v="1"/>
    <x v="15"/>
    <x v="6"/>
    <x v="6"/>
  </r>
  <r>
    <s v="26.09.2023"/>
    <s v="FIO0090224"/>
    <s v="BV"/>
    <m/>
    <x v="300"/>
    <n v="0"/>
    <n v="5300"/>
    <n v="5300"/>
    <n v="1051"/>
    <x v="1"/>
    <x v="15"/>
    <x v="6"/>
    <x v="6"/>
  </r>
  <r>
    <s v="27.09.2023"/>
    <s v="FIO0090230"/>
    <s v="BV"/>
    <m/>
    <x v="301"/>
    <n v="0"/>
    <n v="5300"/>
    <n v="5300"/>
    <n v="1051"/>
    <x v="1"/>
    <x v="15"/>
    <x v="6"/>
    <x v="6"/>
  </r>
  <r>
    <s v="27.09.2023"/>
    <s v="FIO0090235"/>
    <s v="BV"/>
    <m/>
    <x v="68"/>
    <n v="0"/>
    <n v="5300"/>
    <n v="5300"/>
    <n v="1051"/>
    <x v="1"/>
    <x v="15"/>
    <x v="6"/>
    <x v="6"/>
  </r>
  <r>
    <s v="27.09.2023"/>
    <s v="FIO0090237"/>
    <s v="BV"/>
    <m/>
    <x v="302"/>
    <n v="0"/>
    <n v="5300"/>
    <n v="5300"/>
    <n v="1051"/>
    <x v="1"/>
    <x v="15"/>
    <x v="6"/>
    <x v="6"/>
  </r>
  <r>
    <s v="29.09.2023"/>
    <s v="FIO0090266"/>
    <s v="BV"/>
    <m/>
    <x v="303"/>
    <n v="0"/>
    <n v="2650"/>
    <n v="2650"/>
    <n v="1051"/>
    <x v="1"/>
    <x v="15"/>
    <x v="6"/>
    <x v="6"/>
  </r>
  <r>
    <s v="30.09.2023"/>
    <s v="D 2301003"/>
    <s v="IN"/>
    <m/>
    <x v="53"/>
    <n v="0"/>
    <n v="31850.980000000003"/>
    <n v="31850.980000000003"/>
    <n v="1051"/>
    <x v="1"/>
    <x v="15"/>
    <x v="6"/>
    <x v="6"/>
  </r>
  <r>
    <s v="30.09.2023"/>
    <s v="FIO0090283"/>
    <s v="BV"/>
    <m/>
    <x v="68"/>
    <n v="0"/>
    <n v="5300"/>
    <n v="5300"/>
    <n v="1051"/>
    <x v="1"/>
    <x v="15"/>
    <x v="6"/>
    <x v="6"/>
  </r>
  <r>
    <s v="01.10.2023"/>
    <s v="FIO0100003"/>
    <s v="BV"/>
    <m/>
    <x v="304"/>
    <n v="0"/>
    <n v="5300"/>
    <n v="5300"/>
    <n v="1051"/>
    <x v="1"/>
    <x v="15"/>
    <x v="6"/>
    <x v="6"/>
  </r>
  <r>
    <s v="02.10.2023"/>
    <s v="FIO0100011"/>
    <s v="BV"/>
    <m/>
    <x v="305"/>
    <n v="0"/>
    <n v="5300"/>
    <n v="5300"/>
    <n v="1051"/>
    <x v="1"/>
    <x v="15"/>
    <x v="6"/>
    <x v="6"/>
  </r>
  <r>
    <s v="04.10.2023"/>
    <s v="FIO0100021"/>
    <s v="BV"/>
    <m/>
    <x v="306"/>
    <n v="0"/>
    <n v="5300"/>
    <n v="5300"/>
    <n v="1051"/>
    <x v="1"/>
    <x v="15"/>
    <x v="6"/>
    <x v="6"/>
  </r>
  <r>
    <s v="06.10.2023"/>
    <s v="FIO0100056"/>
    <s v="BV"/>
    <m/>
    <x v="68"/>
    <n v="0"/>
    <n v="5300"/>
    <n v="5300"/>
    <n v="1051"/>
    <x v="1"/>
    <x v="15"/>
    <x v="6"/>
    <x v="6"/>
  </r>
  <r>
    <s v="11.10.2023"/>
    <s v="FIO0100105"/>
    <s v="BV"/>
    <m/>
    <x v="307"/>
    <n v="0"/>
    <n v="5300"/>
    <n v="5300"/>
    <n v="1051"/>
    <x v="1"/>
    <x v="15"/>
    <x v="6"/>
    <x v="6"/>
  </r>
  <r>
    <s v="12.10.2023"/>
    <s v="FIO0100133"/>
    <s v="BV"/>
    <m/>
    <x v="308"/>
    <n v="0"/>
    <n v="5300"/>
    <n v="5300"/>
    <n v="1051"/>
    <x v="1"/>
    <x v="15"/>
    <x v="6"/>
    <x v="6"/>
  </r>
  <r>
    <s v="31.12.2023"/>
    <s v="D čl.p"/>
    <s v="IN"/>
    <m/>
    <x v="81"/>
    <n v="0"/>
    <n v="-40806.54"/>
    <n v="-40806.54"/>
    <n v="1051"/>
    <x v="1"/>
    <x v="15"/>
    <x v="6"/>
    <x v="6"/>
  </r>
  <r>
    <s v="28.06.2023"/>
    <s v="PV 2306002"/>
    <s v="PO"/>
    <m/>
    <x v="309"/>
    <n v="827"/>
    <n v="0"/>
    <n v="-827"/>
    <n v="1061"/>
    <x v="1"/>
    <x v="17"/>
    <x v="7"/>
    <x v="7"/>
  </r>
  <r>
    <s v="01.07.2023"/>
    <s v="PF2307002"/>
    <s v="FP"/>
    <s v="SC Hattrick Brno Florbalová škola, z.s."/>
    <x v="310"/>
    <n v="10200"/>
    <n v="0"/>
    <n v="-10200"/>
    <n v="1061"/>
    <x v="1"/>
    <x v="17"/>
    <x v="7"/>
    <x v="7"/>
  </r>
  <r>
    <s v="28.06.2023"/>
    <s v="PV 2306001"/>
    <s v="PO"/>
    <m/>
    <x v="311"/>
    <n v="3990"/>
    <n v="0"/>
    <n v="-3990"/>
    <n v="1061"/>
    <x v="1"/>
    <x v="4"/>
    <x v="7"/>
    <x v="7"/>
  </r>
  <r>
    <s v="28.04.2023"/>
    <s v="PF 2304010"/>
    <s v="FP"/>
    <s v="SC Hattrick Brno Florbalová škola, z.s."/>
    <x v="167"/>
    <n v="4600"/>
    <n v="0"/>
    <n v="-4600"/>
    <n v="1061"/>
    <x v="1"/>
    <x v="6"/>
    <x v="7"/>
    <x v="7"/>
  </r>
  <r>
    <s v="03.05.2023"/>
    <s v="PF 2305002"/>
    <s v="FP"/>
    <s v="Tělocvičná jednota Sokol Brno I"/>
    <x v="312"/>
    <n v="3000"/>
    <n v="0"/>
    <n v="-3000"/>
    <n v="1061"/>
    <x v="1"/>
    <x v="6"/>
    <x v="7"/>
    <x v="7"/>
  </r>
  <r>
    <s v="31.05.2023"/>
    <s v="PF 2305022"/>
    <s v="FP"/>
    <s v="TJ Spartak Hluk, z. s."/>
    <x v="313"/>
    <n v="2000"/>
    <n v="0"/>
    <n v="-2000"/>
    <n v="1061"/>
    <x v="1"/>
    <x v="6"/>
    <x v="7"/>
    <x v="7"/>
  </r>
  <r>
    <s v="01.07.2023"/>
    <s v="PF2307002"/>
    <s v="FP"/>
    <s v="SC Hattrick Brno Florbalová škola, z.s."/>
    <x v="310"/>
    <n v="9000"/>
    <n v="0"/>
    <n v="-9000"/>
    <n v="1061"/>
    <x v="1"/>
    <x v="6"/>
    <x v="7"/>
    <x v="7"/>
  </r>
  <r>
    <s v="31.12.2023"/>
    <s v="D haly stř"/>
    <s v="IN"/>
    <m/>
    <x v="31"/>
    <n v="108976.61"/>
    <n v="0"/>
    <n v="-108976.61"/>
    <n v="1061"/>
    <x v="1"/>
    <x v="7"/>
    <x v="7"/>
    <x v="7"/>
  </r>
  <r>
    <s v="01.07.2023"/>
    <s v="PF2307002"/>
    <s v="FP"/>
    <s v="SC Hattrick Brno Florbalová škola, z.s."/>
    <x v="310"/>
    <n v="29750"/>
    <n v="0"/>
    <n v="-29750"/>
    <n v="1061"/>
    <x v="1"/>
    <x v="8"/>
    <x v="7"/>
    <x v="7"/>
  </r>
  <r>
    <s v="26.08.2023"/>
    <s v="PF 2308031"/>
    <s v="FP"/>
    <s v="TOP HOTELS GROUP a.s."/>
    <x v="314"/>
    <n v="32400"/>
    <n v="0"/>
    <n v="-32400"/>
    <n v="1061"/>
    <x v="1"/>
    <x v="8"/>
    <x v="7"/>
    <x v="7"/>
  </r>
  <r>
    <s v="01.04.2023"/>
    <s v="D 2304001"/>
    <s v="IN"/>
    <m/>
    <x v="315"/>
    <n v="2716"/>
    <n v="0"/>
    <n v="-2716"/>
    <n v="1061"/>
    <x v="1"/>
    <x v="10"/>
    <x v="7"/>
    <x v="7"/>
  </r>
  <r>
    <s v="14.10.2023"/>
    <s v="D 2310007"/>
    <s v="IN"/>
    <m/>
    <x v="315"/>
    <n v="3000"/>
    <n v="0"/>
    <n v="-3000"/>
    <n v="1061"/>
    <x v="1"/>
    <x v="10"/>
    <x v="7"/>
    <x v="7"/>
  </r>
  <r>
    <s v="09.12.2023"/>
    <s v="D 2312001"/>
    <s v="IN"/>
    <m/>
    <x v="315"/>
    <n v="3088"/>
    <n v="0"/>
    <n v="-3088"/>
    <n v="1061"/>
    <x v="1"/>
    <x v="10"/>
    <x v="7"/>
    <x v="7"/>
  </r>
  <r>
    <s v="31.12.2023"/>
    <s v="VL stř"/>
    <s v="IN"/>
    <m/>
    <x v="12"/>
    <n v="49910"/>
    <n v="0"/>
    <n v="-49910"/>
    <n v="1061"/>
    <x v="1"/>
    <x v="0"/>
    <x v="7"/>
    <x v="7"/>
  </r>
  <r>
    <s v="31.05.2023"/>
    <s v="D 2305005"/>
    <s v="IN"/>
    <m/>
    <x v="316"/>
    <n v="0"/>
    <n v="37620"/>
    <n v="37620"/>
    <n v="1061"/>
    <x v="1"/>
    <x v="14"/>
    <x v="7"/>
    <x v="7"/>
  </r>
  <r>
    <s v="31.05.2023"/>
    <s v="D 2305006"/>
    <s v="IN"/>
    <m/>
    <x v="317"/>
    <n v="0"/>
    <n v="5000"/>
    <n v="5000"/>
    <n v="1061"/>
    <x v="1"/>
    <x v="14"/>
    <x v="7"/>
    <x v="7"/>
  </r>
  <r>
    <s v="30.06.2023"/>
    <s v="D 2306002"/>
    <s v="IN"/>
    <m/>
    <x v="318"/>
    <n v="0"/>
    <n v="2000"/>
    <n v="2000"/>
    <n v="1061"/>
    <x v="1"/>
    <x v="14"/>
    <x v="7"/>
    <x v="7"/>
  </r>
  <r>
    <s v="31.07.2023"/>
    <s v="D 2307001"/>
    <s v="IN"/>
    <m/>
    <x v="173"/>
    <n v="0"/>
    <n v="40000"/>
    <n v="40000"/>
    <n v="1061"/>
    <x v="1"/>
    <x v="14"/>
    <x v="7"/>
    <x v="7"/>
  </r>
  <r>
    <s v="05.01.2023"/>
    <s v="FIO0010026"/>
    <s v="BV"/>
    <m/>
    <x v="319"/>
    <n v="0"/>
    <n v="4000"/>
    <n v="4000"/>
    <n v="1061"/>
    <x v="1"/>
    <x v="15"/>
    <x v="7"/>
    <x v="7"/>
  </r>
  <r>
    <s v="05.01.2023"/>
    <s v="FIO0010027"/>
    <s v="BV"/>
    <m/>
    <x v="320"/>
    <n v="0"/>
    <n v="2000"/>
    <n v="2000"/>
    <n v="1061"/>
    <x v="1"/>
    <x v="15"/>
    <x v="7"/>
    <x v="7"/>
  </r>
  <r>
    <s v="06.01.2023"/>
    <s v="FIO0010029"/>
    <s v="BV"/>
    <m/>
    <x v="321"/>
    <n v="0"/>
    <n v="4000"/>
    <n v="4000"/>
    <n v="1061"/>
    <x v="1"/>
    <x v="15"/>
    <x v="7"/>
    <x v="7"/>
  </r>
  <r>
    <s v="06.01.2023"/>
    <s v="FIO0010039"/>
    <s v="BV"/>
    <m/>
    <x v="68"/>
    <n v="0"/>
    <n v="4000"/>
    <n v="4000"/>
    <n v="1061"/>
    <x v="1"/>
    <x v="15"/>
    <x v="7"/>
    <x v="7"/>
  </r>
  <r>
    <s v="06.01.2023"/>
    <s v="FIO0010041"/>
    <s v="BV"/>
    <m/>
    <x v="322"/>
    <n v="0"/>
    <n v="4000"/>
    <n v="4000"/>
    <n v="1061"/>
    <x v="1"/>
    <x v="15"/>
    <x v="7"/>
    <x v="7"/>
  </r>
  <r>
    <s v="08.01.2023"/>
    <s v="FIO0010050"/>
    <s v="BV"/>
    <m/>
    <x v="323"/>
    <n v="0"/>
    <n v="4000"/>
    <n v="4000"/>
    <n v="1061"/>
    <x v="1"/>
    <x v="15"/>
    <x v="7"/>
    <x v="7"/>
  </r>
  <r>
    <s v="08.01.2023"/>
    <s v="FIO0010051"/>
    <s v="BV"/>
    <m/>
    <x v="324"/>
    <n v="0"/>
    <n v="4000"/>
    <n v="4000"/>
    <n v="1061"/>
    <x v="1"/>
    <x v="15"/>
    <x v="7"/>
    <x v="7"/>
  </r>
  <r>
    <s v="09.01.2023"/>
    <s v="FIO0010060"/>
    <s v="BV"/>
    <m/>
    <x v="325"/>
    <n v="0"/>
    <n v="4000"/>
    <n v="4000"/>
    <n v="1061"/>
    <x v="1"/>
    <x v="15"/>
    <x v="7"/>
    <x v="7"/>
  </r>
  <r>
    <s v="09.01.2023"/>
    <s v="FIO0010061"/>
    <s v="BV"/>
    <m/>
    <x v="326"/>
    <n v="0"/>
    <n v="4000"/>
    <n v="4000"/>
    <n v="1061"/>
    <x v="1"/>
    <x v="15"/>
    <x v="7"/>
    <x v="7"/>
  </r>
  <r>
    <s v="10.01.2023"/>
    <s v="FIO0010083"/>
    <s v="BV"/>
    <m/>
    <x v="327"/>
    <n v="0"/>
    <n v="4000"/>
    <n v="4000"/>
    <n v="1061"/>
    <x v="1"/>
    <x v="15"/>
    <x v="7"/>
    <x v="7"/>
  </r>
  <r>
    <s v="11.01.2023"/>
    <s v="FIO0010086"/>
    <s v="BV"/>
    <m/>
    <x v="303"/>
    <n v="0"/>
    <n v="2000"/>
    <n v="2000"/>
    <n v="1061"/>
    <x v="1"/>
    <x v="15"/>
    <x v="7"/>
    <x v="7"/>
  </r>
  <r>
    <s v="13.01.2023"/>
    <s v="FIO0010127"/>
    <s v="BV"/>
    <m/>
    <x v="328"/>
    <n v="0"/>
    <n v="4000"/>
    <n v="4000"/>
    <n v="1061"/>
    <x v="1"/>
    <x v="15"/>
    <x v="7"/>
    <x v="7"/>
  </r>
  <r>
    <s v="16.01.2023"/>
    <s v="FIO0010162"/>
    <s v="BV"/>
    <m/>
    <x v="329"/>
    <n v="0"/>
    <n v="4000"/>
    <n v="4000"/>
    <n v="1061"/>
    <x v="1"/>
    <x v="15"/>
    <x v="7"/>
    <x v="7"/>
  </r>
  <r>
    <s v="17.01.2023"/>
    <s v="FIO0010164"/>
    <s v="BV"/>
    <m/>
    <x v="330"/>
    <n v="0"/>
    <n v="4000"/>
    <n v="4000"/>
    <n v="1061"/>
    <x v="1"/>
    <x v="15"/>
    <x v="7"/>
    <x v="7"/>
  </r>
  <r>
    <s v="18.01.2023"/>
    <s v="FIO0010171"/>
    <s v="BV"/>
    <m/>
    <x v="68"/>
    <n v="0"/>
    <n v="4000"/>
    <n v="4000"/>
    <n v="1061"/>
    <x v="1"/>
    <x v="15"/>
    <x v="7"/>
    <x v="7"/>
  </r>
  <r>
    <s v="18.01.2023"/>
    <s v="FIO0010173"/>
    <s v="BV"/>
    <m/>
    <x v="68"/>
    <n v="0"/>
    <n v="4000"/>
    <n v="4000"/>
    <n v="1061"/>
    <x v="1"/>
    <x v="15"/>
    <x v="7"/>
    <x v="7"/>
  </r>
  <r>
    <s v="18.01.2023"/>
    <s v="FIO0010176"/>
    <s v="BV"/>
    <m/>
    <x v="331"/>
    <n v="0"/>
    <n v="2000"/>
    <n v="2000"/>
    <n v="1061"/>
    <x v="1"/>
    <x v="15"/>
    <x v="7"/>
    <x v="7"/>
  </r>
  <r>
    <s v="22.01.2023"/>
    <s v="FIO0010189"/>
    <s v="BV"/>
    <m/>
    <x v="332"/>
    <n v="0"/>
    <n v="4000"/>
    <n v="4000"/>
    <n v="1061"/>
    <x v="1"/>
    <x v="15"/>
    <x v="7"/>
    <x v="7"/>
  </r>
  <r>
    <s v="24.01.2023"/>
    <s v="FIO0010208"/>
    <s v="BV"/>
    <m/>
    <x v="333"/>
    <n v="0"/>
    <n v="4000"/>
    <n v="4000"/>
    <n v="1061"/>
    <x v="1"/>
    <x v="15"/>
    <x v="7"/>
    <x v="7"/>
  </r>
  <r>
    <s v="26.01.2023"/>
    <s v="FIO0010221"/>
    <s v="BV"/>
    <m/>
    <x v="334"/>
    <n v="0"/>
    <n v="4000"/>
    <n v="4000"/>
    <n v="1061"/>
    <x v="1"/>
    <x v="15"/>
    <x v="7"/>
    <x v="7"/>
  </r>
  <r>
    <s v="30.01.2023"/>
    <s v="FIO0010239"/>
    <s v="BV"/>
    <m/>
    <x v="68"/>
    <n v="0"/>
    <n v="4000"/>
    <n v="4000"/>
    <n v="1061"/>
    <x v="1"/>
    <x v="15"/>
    <x v="7"/>
    <x v="7"/>
  </r>
  <r>
    <s v="30.01.2023"/>
    <s v="FIO0010244"/>
    <s v="BV"/>
    <m/>
    <x v="68"/>
    <n v="0"/>
    <n v="4000"/>
    <n v="4000"/>
    <n v="1061"/>
    <x v="1"/>
    <x v="15"/>
    <x v="7"/>
    <x v="7"/>
  </r>
  <r>
    <s v="30.01.2023"/>
    <s v="FIO0010252"/>
    <s v="BV"/>
    <m/>
    <x v="68"/>
    <n v="0"/>
    <n v="4000"/>
    <n v="4000"/>
    <n v="1061"/>
    <x v="1"/>
    <x v="15"/>
    <x v="7"/>
    <x v="7"/>
  </r>
  <r>
    <s v="31.01.2023"/>
    <s v="FIO0010253"/>
    <s v="BV"/>
    <m/>
    <x v="335"/>
    <n v="0"/>
    <n v="4000"/>
    <n v="4000"/>
    <n v="1061"/>
    <x v="1"/>
    <x v="15"/>
    <x v="7"/>
    <x v="7"/>
  </r>
  <r>
    <s v="31.01.2023"/>
    <s v="FIO0010255"/>
    <s v="BV"/>
    <m/>
    <x v="336"/>
    <n v="0"/>
    <n v="4000"/>
    <n v="4000"/>
    <n v="1061"/>
    <x v="1"/>
    <x v="15"/>
    <x v="7"/>
    <x v="7"/>
  </r>
  <r>
    <s v="31.01.2023"/>
    <s v="FIO0010264"/>
    <s v="BV"/>
    <m/>
    <x v="337"/>
    <n v="0"/>
    <n v="4000"/>
    <n v="4000"/>
    <n v="1061"/>
    <x v="1"/>
    <x v="15"/>
    <x v="7"/>
    <x v="7"/>
  </r>
  <r>
    <s v="07.02.2023"/>
    <s v="FIO0020027"/>
    <s v="BV"/>
    <m/>
    <x v="338"/>
    <n v="0"/>
    <n v="4000"/>
    <n v="4000"/>
    <n v="1061"/>
    <x v="1"/>
    <x v="15"/>
    <x v="7"/>
    <x v="7"/>
  </r>
  <r>
    <s v="08.02.2023"/>
    <s v="FIO0020053"/>
    <s v="BV"/>
    <m/>
    <x v="339"/>
    <n v="0"/>
    <n v="4000"/>
    <n v="4000"/>
    <n v="1061"/>
    <x v="1"/>
    <x v="15"/>
    <x v="7"/>
    <x v="7"/>
  </r>
  <r>
    <s v="12.02.2023"/>
    <s v="FIO0020072"/>
    <s v="BV"/>
    <m/>
    <x v="340"/>
    <n v="0"/>
    <n v="1000"/>
    <n v="1000"/>
    <n v="1061"/>
    <x v="1"/>
    <x v="15"/>
    <x v="7"/>
    <x v="7"/>
  </r>
  <r>
    <s v="15.02.2023"/>
    <s v="FIO0020082"/>
    <s v="BV"/>
    <m/>
    <x v="341"/>
    <n v="0"/>
    <n v="-4000"/>
    <n v="-4000"/>
    <n v="1061"/>
    <x v="1"/>
    <x v="15"/>
    <x v="7"/>
    <x v="7"/>
  </r>
  <r>
    <s v="05.04.2023"/>
    <s v="FIO0040023"/>
    <s v="BV"/>
    <m/>
    <x v="342"/>
    <n v="0"/>
    <n v="4000"/>
    <n v="4000"/>
    <n v="1061"/>
    <x v="1"/>
    <x v="15"/>
    <x v="7"/>
    <x v="7"/>
  </r>
  <r>
    <s v="02.05.2023"/>
    <s v="FIO0050008"/>
    <s v="BV"/>
    <m/>
    <x v="343"/>
    <n v="0"/>
    <n v="2000"/>
    <n v="2000"/>
    <n v="1061"/>
    <x v="1"/>
    <x v="15"/>
    <x v="7"/>
    <x v="7"/>
  </r>
  <r>
    <s v="09.05.2023"/>
    <s v="FIO0050076"/>
    <s v="BV"/>
    <m/>
    <x v="344"/>
    <n v="0"/>
    <n v="1000"/>
    <n v="1000"/>
    <n v="1061"/>
    <x v="1"/>
    <x v="15"/>
    <x v="7"/>
    <x v="7"/>
  </r>
  <r>
    <s v="09.05.2023"/>
    <s v="FIO0050085"/>
    <s v="BV"/>
    <m/>
    <x v="345"/>
    <n v="0"/>
    <n v="1600"/>
    <n v="1600"/>
    <n v="1061"/>
    <x v="1"/>
    <x v="15"/>
    <x v="7"/>
    <x v="7"/>
  </r>
  <r>
    <s v="31.05.2023"/>
    <s v="FIO0050260"/>
    <s v="BV"/>
    <m/>
    <x v="68"/>
    <n v="0"/>
    <n v="5000"/>
    <n v="5000"/>
    <n v="1061"/>
    <x v="1"/>
    <x v="15"/>
    <x v="7"/>
    <x v="7"/>
  </r>
  <r>
    <s v="13.09.2023"/>
    <s v="FIO0090053"/>
    <s v="BV"/>
    <m/>
    <x v="346"/>
    <n v="0"/>
    <n v="4100"/>
    <n v="4100"/>
    <n v="1061"/>
    <x v="1"/>
    <x v="15"/>
    <x v="7"/>
    <x v="7"/>
  </r>
  <r>
    <s v="13.09.2023"/>
    <s v="FIO0090058"/>
    <s v="BV"/>
    <m/>
    <x v="347"/>
    <n v="0"/>
    <n v="4100"/>
    <n v="4100"/>
    <n v="1061"/>
    <x v="1"/>
    <x v="15"/>
    <x v="7"/>
    <x v="7"/>
  </r>
  <r>
    <s v="13.09.2023"/>
    <s v="FIO0090077"/>
    <s v="BV"/>
    <m/>
    <x v="348"/>
    <n v="0"/>
    <n v="4100"/>
    <n v="4100"/>
    <n v="1061"/>
    <x v="1"/>
    <x v="15"/>
    <x v="7"/>
    <x v="7"/>
  </r>
  <r>
    <s v="14.09.2023"/>
    <s v="FIO0090085"/>
    <s v="BV"/>
    <m/>
    <x v="349"/>
    <n v="0"/>
    <n v="4100"/>
    <n v="4100"/>
    <n v="1061"/>
    <x v="1"/>
    <x v="15"/>
    <x v="7"/>
    <x v="7"/>
  </r>
  <r>
    <s v="14.09.2023"/>
    <s v="FIO0090086"/>
    <s v="BV"/>
    <m/>
    <x v="350"/>
    <n v="0"/>
    <n v="4100"/>
    <n v="4100"/>
    <n v="1061"/>
    <x v="1"/>
    <x v="15"/>
    <x v="7"/>
    <x v="7"/>
  </r>
  <r>
    <s v="14.09.2023"/>
    <s v="FIO0090088"/>
    <s v="BV"/>
    <m/>
    <x v="351"/>
    <n v="0"/>
    <n v="4100"/>
    <n v="4100"/>
    <n v="1061"/>
    <x v="1"/>
    <x v="15"/>
    <x v="7"/>
    <x v="7"/>
  </r>
  <r>
    <s v="14.09.2023"/>
    <s v="FIO0090089"/>
    <s v="BV"/>
    <m/>
    <x v="68"/>
    <n v="0"/>
    <n v="4100"/>
    <n v="4100"/>
    <n v="1061"/>
    <x v="1"/>
    <x v="15"/>
    <x v="7"/>
    <x v="7"/>
  </r>
  <r>
    <s v="15.09.2023"/>
    <s v="FIO0090099"/>
    <s v="BV"/>
    <m/>
    <x v="352"/>
    <n v="0"/>
    <n v="4100"/>
    <n v="4100"/>
    <n v="1061"/>
    <x v="1"/>
    <x v="15"/>
    <x v="7"/>
    <x v="7"/>
  </r>
  <r>
    <s v="15.09.2023"/>
    <s v="FIO0090100"/>
    <s v="BV"/>
    <m/>
    <x v="353"/>
    <n v="0"/>
    <n v="4100"/>
    <n v="4100"/>
    <n v="1061"/>
    <x v="1"/>
    <x v="15"/>
    <x v="7"/>
    <x v="7"/>
  </r>
  <r>
    <s v="15.09.2023"/>
    <s v="FIO0090105"/>
    <s v="BV"/>
    <m/>
    <x v="68"/>
    <n v="0"/>
    <n v="4100"/>
    <n v="4100"/>
    <n v="1061"/>
    <x v="1"/>
    <x v="15"/>
    <x v="7"/>
    <x v="7"/>
  </r>
  <r>
    <s v="15.09.2023"/>
    <s v="FIO0090107"/>
    <s v="BV"/>
    <m/>
    <x v="354"/>
    <n v="0"/>
    <n v="4100"/>
    <n v="4100"/>
    <n v="1061"/>
    <x v="1"/>
    <x v="15"/>
    <x v="7"/>
    <x v="7"/>
  </r>
  <r>
    <s v="17.09.2023"/>
    <s v="FIO0090111"/>
    <s v="BV"/>
    <m/>
    <x v="355"/>
    <n v="0"/>
    <n v="4100"/>
    <n v="4100"/>
    <n v="1061"/>
    <x v="1"/>
    <x v="15"/>
    <x v="7"/>
    <x v="7"/>
  </r>
  <r>
    <s v="17.09.2023"/>
    <s v="FIO0090114"/>
    <s v="BV"/>
    <m/>
    <x v="356"/>
    <n v="0"/>
    <n v="4100"/>
    <n v="4100"/>
    <n v="1061"/>
    <x v="1"/>
    <x v="15"/>
    <x v="7"/>
    <x v="7"/>
  </r>
  <r>
    <s v="18.09.2023"/>
    <s v="FIO0090122"/>
    <s v="BV"/>
    <m/>
    <x v="357"/>
    <n v="0"/>
    <n v="4100"/>
    <n v="4100"/>
    <n v="1061"/>
    <x v="1"/>
    <x v="15"/>
    <x v="7"/>
    <x v="7"/>
  </r>
  <r>
    <s v="20.09.2023"/>
    <s v="FIO0090152"/>
    <s v="BV"/>
    <m/>
    <x v="358"/>
    <n v="0"/>
    <n v="4100"/>
    <n v="4100"/>
    <n v="1061"/>
    <x v="1"/>
    <x v="15"/>
    <x v="7"/>
    <x v="7"/>
  </r>
  <r>
    <s v="20.09.2023"/>
    <s v="FIO0090153"/>
    <s v="BV"/>
    <m/>
    <x v="359"/>
    <n v="0"/>
    <n v="4100"/>
    <n v="4100"/>
    <n v="1061"/>
    <x v="1"/>
    <x v="15"/>
    <x v="7"/>
    <x v="7"/>
  </r>
  <r>
    <s v="21.09.2023"/>
    <s v="FIO0090162"/>
    <s v="BV"/>
    <m/>
    <x v="360"/>
    <n v="0"/>
    <n v="4100"/>
    <n v="4100"/>
    <n v="1061"/>
    <x v="1"/>
    <x v="15"/>
    <x v="7"/>
    <x v="7"/>
  </r>
  <r>
    <s v="21.09.2023"/>
    <s v="FIO0090165"/>
    <s v="BV"/>
    <m/>
    <x v="361"/>
    <n v="0"/>
    <n v="2050"/>
    <n v="2050"/>
    <n v="1061"/>
    <x v="1"/>
    <x v="15"/>
    <x v="7"/>
    <x v="7"/>
  </r>
  <r>
    <s v="25.09.2023"/>
    <s v="FIO0090194"/>
    <s v="BV"/>
    <m/>
    <x v="362"/>
    <n v="0"/>
    <n v="2050"/>
    <n v="2050"/>
    <n v="1061"/>
    <x v="1"/>
    <x v="15"/>
    <x v="7"/>
    <x v="7"/>
  </r>
  <r>
    <s v="25.09.2023"/>
    <s v="FIO0090197"/>
    <s v="BV"/>
    <m/>
    <x v="363"/>
    <n v="0"/>
    <n v="4100"/>
    <n v="4100"/>
    <n v="1061"/>
    <x v="1"/>
    <x v="15"/>
    <x v="7"/>
    <x v="7"/>
  </r>
  <r>
    <s v="26.09.2023"/>
    <s v="FIO0090201"/>
    <s v="BV"/>
    <m/>
    <x v="364"/>
    <n v="0"/>
    <n v="4100"/>
    <n v="4100"/>
    <n v="1061"/>
    <x v="1"/>
    <x v="15"/>
    <x v="7"/>
    <x v="7"/>
  </r>
  <r>
    <s v="26.09.2023"/>
    <s v="FIO0090226"/>
    <s v="BV"/>
    <m/>
    <x v="365"/>
    <n v="0"/>
    <n v="2050"/>
    <n v="2050"/>
    <n v="1061"/>
    <x v="1"/>
    <x v="15"/>
    <x v="7"/>
    <x v="7"/>
  </r>
  <r>
    <s v="30.09.2023"/>
    <s v="D 2301003"/>
    <s v="IN"/>
    <m/>
    <x v="53"/>
    <n v="0"/>
    <n v="21943.14"/>
    <n v="21943.14"/>
    <n v="1061"/>
    <x v="1"/>
    <x v="15"/>
    <x v="7"/>
    <x v="7"/>
  </r>
  <r>
    <s v="30.09.2023"/>
    <s v="FIO0090272"/>
    <s v="BV"/>
    <m/>
    <x v="366"/>
    <n v="0"/>
    <n v="4100"/>
    <n v="4100"/>
    <n v="1061"/>
    <x v="1"/>
    <x v="15"/>
    <x v="7"/>
    <x v="7"/>
  </r>
  <r>
    <s v="30.09.2023"/>
    <s v="FIO0090285"/>
    <s v="BV"/>
    <m/>
    <x v="367"/>
    <n v="0"/>
    <n v="2050"/>
    <n v="2050"/>
    <n v="1061"/>
    <x v="1"/>
    <x v="15"/>
    <x v="7"/>
    <x v="7"/>
  </r>
  <r>
    <s v="04.10.2023"/>
    <s v="FIO0100023"/>
    <s v="BV"/>
    <m/>
    <x v="368"/>
    <n v="0"/>
    <n v="2050"/>
    <n v="2050"/>
    <n v="1061"/>
    <x v="1"/>
    <x v="15"/>
    <x v="7"/>
    <x v="7"/>
  </r>
  <r>
    <s v="07.10.2023"/>
    <s v="FIO0100058"/>
    <s v="BV"/>
    <m/>
    <x v="68"/>
    <n v="0"/>
    <n v="2050"/>
    <n v="2050"/>
    <n v="1061"/>
    <x v="1"/>
    <x v="15"/>
    <x v="7"/>
    <x v="7"/>
  </r>
  <r>
    <s v="09.10.2023"/>
    <s v="FIO0100073"/>
    <s v="BV"/>
    <m/>
    <x v="369"/>
    <n v="0"/>
    <n v="2050"/>
    <n v="2050"/>
    <n v="1061"/>
    <x v="1"/>
    <x v="15"/>
    <x v="7"/>
    <x v="7"/>
  </r>
  <r>
    <s v="06.11.2023"/>
    <s v="FIO0110020"/>
    <s v="BV"/>
    <m/>
    <x v="370"/>
    <n v="0"/>
    <n v="4100"/>
    <n v="4100"/>
    <n v="1061"/>
    <x v="1"/>
    <x v="15"/>
    <x v="7"/>
    <x v="7"/>
  </r>
  <r>
    <s v="31.12.2023"/>
    <s v="D čl.p"/>
    <s v="IN"/>
    <m/>
    <x v="81"/>
    <n v="0"/>
    <n v="-20352.609999999997"/>
    <n v="-20352.609999999997"/>
    <n v="1061"/>
    <x v="1"/>
    <x v="15"/>
    <x v="7"/>
    <x v="7"/>
  </r>
  <r>
    <s v="10.04.2023"/>
    <s v="PF 2304027"/>
    <s v="FP"/>
    <s v="ProEvent Makers, z.s."/>
    <x v="371"/>
    <n v="2500"/>
    <n v="0"/>
    <n v="-2500"/>
    <n v="1071"/>
    <x v="1"/>
    <x v="6"/>
    <x v="8"/>
    <x v="8"/>
  </r>
  <r>
    <s v="31.12.2023"/>
    <s v="D haly stř"/>
    <s v="IN"/>
    <m/>
    <x v="31"/>
    <n v="72401.670000000013"/>
    <n v="0"/>
    <n v="-72401.670000000013"/>
    <n v="1071"/>
    <x v="1"/>
    <x v="7"/>
    <x v="8"/>
    <x v="8"/>
  </r>
  <r>
    <s v="05.03.2023"/>
    <s v="D 2303004"/>
    <s v="IN"/>
    <m/>
    <x v="372"/>
    <n v="1398"/>
    <n v="0"/>
    <n v="-1398"/>
    <n v="1071"/>
    <x v="1"/>
    <x v="10"/>
    <x v="8"/>
    <x v="8"/>
  </r>
  <r>
    <s v="16.12.2023"/>
    <s v="D 2312003"/>
    <s v="IN"/>
    <m/>
    <x v="372"/>
    <n v="1599"/>
    <n v="0"/>
    <n v="-1599"/>
    <n v="1071"/>
    <x v="1"/>
    <x v="10"/>
    <x v="8"/>
    <x v="8"/>
  </r>
  <r>
    <s v="31.12.2023"/>
    <s v="VL stř"/>
    <s v="IN"/>
    <m/>
    <x v="12"/>
    <n v="29930"/>
    <n v="0"/>
    <n v="-29930"/>
    <n v="1071"/>
    <x v="1"/>
    <x v="0"/>
    <x v="8"/>
    <x v="8"/>
  </r>
  <r>
    <s v="31.05.2023"/>
    <s v="D 2305005"/>
    <s v="IN"/>
    <m/>
    <x v="316"/>
    <n v="0"/>
    <n v="54100"/>
    <n v="54100"/>
    <n v="1071"/>
    <x v="1"/>
    <x v="14"/>
    <x v="8"/>
    <x v="8"/>
  </r>
  <r>
    <s v="05.01.2023"/>
    <s v="FIO0010025"/>
    <s v="BV"/>
    <m/>
    <x v="373"/>
    <n v="0"/>
    <n v="4000"/>
    <n v="4000"/>
    <n v="1071"/>
    <x v="1"/>
    <x v="15"/>
    <x v="8"/>
    <x v="8"/>
  </r>
  <r>
    <s v="06.01.2023"/>
    <s v="FIO0010028"/>
    <s v="BV"/>
    <m/>
    <x v="374"/>
    <n v="0"/>
    <n v="2000"/>
    <n v="2000"/>
    <n v="1071"/>
    <x v="1"/>
    <x v="15"/>
    <x v="8"/>
    <x v="8"/>
  </r>
  <r>
    <s v="06.01.2023"/>
    <s v="FIO0010043"/>
    <s v="BV"/>
    <m/>
    <x v="375"/>
    <n v="0"/>
    <n v="4000"/>
    <n v="4000"/>
    <n v="1071"/>
    <x v="1"/>
    <x v="15"/>
    <x v="8"/>
    <x v="8"/>
  </r>
  <r>
    <s v="10.01.2023"/>
    <s v="FIO0010064"/>
    <s v="BV"/>
    <m/>
    <x v="68"/>
    <n v="0"/>
    <n v="4000"/>
    <n v="4000"/>
    <n v="1071"/>
    <x v="1"/>
    <x v="15"/>
    <x v="8"/>
    <x v="8"/>
  </r>
  <r>
    <s v="10.01.2023"/>
    <s v="FIO0010068"/>
    <s v="BV"/>
    <m/>
    <x v="376"/>
    <n v="0"/>
    <n v="4000"/>
    <n v="4000"/>
    <n v="1071"/>
    <x v="1"/>
    <x v="15"/>
    <x v="8"/>
    <x v="8"/>
  </r>
  <r>
    <s v="10.01.2023"/>
    <s v="FIO0010082"/>
    <s v="BV"/>
    <m/>
    <x v="377"/>
    <n v="0"/>
    <n v="4000"/>
    <n v="4000"/>
    <n v="1071"/>
    <x v="1"/>
    <x v="15"/>
    <x v="8"/>
    <x v="8"/>
  </r>
  <r>
    <s v="11.01.2023"/>
    <s v="FIO0010088"/>
    <s v="BV"/>
    <m/>
    <x v="378"/>
    <n v="0"/>
    <n v="4000"/>
    <n v="4000"/>
    <n v="1071"/>
    <x v="1"/>
    <x v="15"/>
    <x v="8"/>
    <x v="8"/>
  </r>
  <r>
    <s v="12.01.2023"/>
    <s v="FIO0010122"/>
    <s v="BV"/>
    <m/>
    <x v="379"/>
    <n v="0"/>
    <n v="2000"/>
    <n v="2000"/>
    <n v="1071"/>
    <x v="1"/>
    <x v="15"/>
    <x v="8"/>
    <x v="8"/>
  </r>
  <r>
    <s v="16.01.2023"/>
    <s v="FIO0010141"/>
    <s v="BV"/>
    <m/>
    <x v="380"/>
    <n v="0"/>
    <n v="2000"/>
    <n v="2000"/>
    <n v="1071"/>
    <x v="1"/>
    <x v="15"/>
    <x v="8"/>
    <x v="8"/>
  </r>
  <r>
    <s v="18.01.2023"/>
    <s v="FIO0010178"/>
    <s v="BV"/>
    <m/>
    <x v="381"/>
    <n v="0"/>
    <n v="4000"/>
    <n v="4000"/>
    <n v="1071"/>
    <x v="1"/>
    <x v="15"/>
    <x v="8"/>
    <x v="8"/>
  </r>
  <r>
    <s v="18.01.2023"/>
    <s v="FIO0010180"/>
    <s v="BV"/>
    <m/>
    <x v="382"/>
    <n v="0"/>
    <n v="4000"/>
    <n v="4000"/>
    <n v="1071"/>
    <x v="1"/>
    <x v="15"/>
    <x v="8"/>
    <x v="8"/>
  </r>
  <r>
    <s v="23.01.2023"/>
    <s v="FIO0010192"/>
    <s v="BV"/>
    <m/>
    <x v="383"/>
    <n v="0"/>
    <n v="2000"/>
    <n v="2000"/>
    <n v="1071"/>
    <x v="1"/>
    <x v="15"/>
    <x v="8"/>
    <x v="8"/>
  </r>
  <r>
    <s v="23.01.2023"/>
    <s v="FIO0010193"/>
    <s v="BV"/>
    <m/>
    <x v="384"/>
    <n v="0"/>
    <n v="4000"/>
    <n v="4000"/>
    <n v="1071"/>
    <x v="1"/>
    <x v="15"/>
    <x v="8"/>
    <x v="8"/>
  </r>
  <r>
    <s v="23.01.2023"/>
    <s v="FIO0010195"/>
    <s v="BV"/>
    <m/>
    <x v="385"/>
    <n v="0"/>
    <n v="4000"/>
    <n v="4000"/>
    <n v="1071"/>
    <x v="1"/>
    <x v="15"/>
    <x v="8"/>
    <x v="8"/>
  </r>
  <r>
    <s v="24.01.2023"/>
    <s v="FIO0010204"/>
    <s v="BV"/>
    <m/>
    <x v="386"/>
    <n v="0"/>
    <n v="4000"/>
    <n v="4000"/>
    <n v="1071"/>
    <x v="1"/>
    <x v="15"/>
    <x v="8"/>
    <x v="8"/>
  </r>
  <r>
    <s v="31.01.2023"/>
    <s v="FIO0010254"/>
    <s v="BV"/>
    <m/>
    <x v="387"/>
    <n v="0"/>
    <n v="4000"/>
    <n v="4000"/>
    <n v="1071"/>
    <x v="1"/>
    <x v="15"/>
    <x v="8"/>
    <x v="8"/>
  </r>
  <r>
    <s v="31.01.2023"/>
    <s v="FIO0010259"/>
    <s v="BV"/>
    <m/>
    <x v="388"/>
    <n v="0"/>
    <n v="4000"/>
    <n v="4000"/>
    <n v="1071"/>
    <x v="1"/>
    <x v="15"/>
    <x v="8"/>
    <x v="8"/>
  </r>
  <r>
    <s v="31.01.2023"/>
    <s v="FIO0010260"/>
    <s v="BV"/>
    <m/>
    <x v="389"/>
    <n v="0"/>
    <n v="2000"/>
    <n v="2000"/>
    <n v="1071"/>
    <x v="1"/>
    <x v="15"/>
    <x v="8"/>
    <x v="8"/>
  </r>
  <r>
    <s v="31.01.2023"/>
    <s v="FIO0010261"/>
    <s v="BV"/>
    <m/>
    <x v="390"/>
    <n v="0"/>
    <n v="2000"/>
    <n v="2000"/>
    <n v="1071"/>
    <x v="1"/>
    <x v="15"/>
    <x v="8"/>
    <x v="8"/>
  </r>
  <r>
    <s v="31.01.2023"/>
    <s v="FIO0010266"/>
    <s v="BV"/>
    <m/>
    <x v="391"/>
    <n v="0"/>
    <n v="4000"/>
    <n v="4000"/>
    <n v="1071"/>
    <x v="1"/>
    <x v="15"/>
    <x v="8"/>
    <x v="8"/>
  </r>
  <r>
    <s v="31.01.2023"/>
    <s v="FIO0010273"/>
    <s v="BV"/>
    <m/>
    <x v="392"/>
    <n v="0"/>
    <n v="4000"/>
    <n v="4000"/>
    <n v="1071"/>
    <x v="1"/>
    <x v="15"/>
    <x v="8"/>
    <x v="8"/>
  </r>
  <r>
    <s v="31.01.2023"/>
    <s v="FIO0010279"/>
    <s v="BV"/>
    <m/>
    <x v="393"/>
    <n v="0"/>
    <n v="4000"/>
    <n v="4000"/>
    <n v="1071"/>
    <x v="1"/>
    <x v="15"/>
    <x v="8"/>
    <x v="8"/>
  </r>
  <r>
    <s v="01.02.2023"/>
    <s v="FIO0020008"/>
    <s v="BV"/>
    <m/>
    <x v="394"/>
    <n v="0"/>
    <n v="-4000"/>
    <n v="-4000"/>
    <n v="1071"/>
    <x v="1"/>
    <x v="15"/>
    <x v="8"/>
    <x v="8"/>
  </r>
  <r>
    <s v="02.02.2023"/>
    <s v="FIO0020012"/>
    <s v="BV"/>
    <m/>
    <x v="395"/>
    <n v="0"/>
    <n v="4000"/>
    <n v="4000"/>
    <n v="1071"/>
    <x v="1"/>
    <x v="15"/>
    <x v="8"/>
    <x v="8"/>
  </r>
  <r>
    <s v="08.03.2023"/>
    <s v="FIO0030019"/>
    <s v="BV"/>
    <m/>
    <x v="396"/>
    <n v="0"/>
    <n v="4000"/>
    <n v="4000"/>
    <n v="1071"/>
    <x v="1"/>
    <x v="15"/>
    <x v="8"/>
    <x v="8"/>
  </r>
  <r>
    <s v="25.05.2023"/>
    <s v="FIO0050223"/>
    <s v="BV"/>
    <m/>
    <x v="68"/>
    <n v="0"/>
    <n v="4000"/>
    <n v="4000"/>
    <n v="1071"/>
    <x v="1"/>
    <x v="15"/>
    <x v="8"/>
    <x v="8"/>
  </r>
  <r>
    <s v="20.09.2023"/>
    <s v="FIO0090141"/>
    <s v="BV"/>
    <m/>
    <x v="397"/>
    <n v="0"/>
    <n v="2050"/>
    <n v="2050"/>
    <n v="1071"/>
    <x v="1"/>
    <x v="15"/>
    <x v="8"/>
    <x v="8"/>
  </r>
  <r>
    <s v="24.09.2023"/>
    <s v="FIO0090182"/>
    <s v="BV"/>
    <m/>
    <x v="380"/>
    <n v="0"/>
    <n v="2050"/>
    <n v="2050"/>
    <n v="1071"/>
    <x v="1"/>
    <x v="15"/>
    <x v="8"/>
    <x v="8"/>
  </r>
  <r>
    <s v="26.09.2023"/>
    <s v="FIO0090223"/>
    <s v="BV"/>
    <m/>
    <x v="398"/>
    <n v="0"/>
    <n v="4100"/>
    <n v="4100"/>
    <n v="1071"/>
    <x v="1"/>
    <x v="15"/>
    <x v="8"/>
    <x v="8"/>
  </r>
  <r>
    <s v="27.09.2023"/>
    <s v="FIO0090239"/>
    <s v="BV"/>
    <m/>
    <x v="399"/>
    <n v="0"/>
    <n v="4100"/>
    <n v="4100"/>
    <n v="1071"/>
    <x v="1"/>
    <x v="15"/>
    <x v="8"/>
    <x v="8"/>
  </r>
  <r>
    <s v="30.09.2023"/>
    <s v="D 2301003"/>
    <s v="IN"/>
    <m/>
    <x v="53"/>
    <n v="0"/>
    <n v="12318.949999999999"/>
    <n v="12318.949999999999"/>
    <n v="1071"/>
    <x v="1"/>
    <x v="15"/>
    <x v="8"/>
    <x v="8"/>
  </r>
  <r>
    <s v="30.09.2023"/>
    <s v="FIO0090281"/>
    <s v="BV"/>
    <m/>
    <x v="400"/>
    <n v="0"/>
    <n v="4100"/>
    <n v="4100"/>
    <n v="1071"/>
    <x v="1"/>
    <x v="15"/>
    <x v="8"/>
    <x v="8"/>
  </r>
  <r>
    <s v="30.09.2023"/>
    <s v="FIO0090282"/>
    <s v="BV"/>
    <m/>
    <x v="401"/>
    <n v="0"/>
    <n v="4100"/>
    <n v="4100"/>
    <n v="1071"/>
    <x v="1"/>
    <x v="15"/>
    <x v="8"/>
    <x v="8"/>
  </r>
  <r>
    <s v="03.10.2023"/>
    <s v="FIO0100020"/>
    <s v="BV"/>
    <m/>
    <x v="402"/>
    <n v="0"/>
    <n v="4100"/>
    <n v="4100"/>
    <n v="1071"/>
    <x v="1"/>
    <x v="15"/>
    <x v="8"/>
    <x v="8"/>
  </r>
  <r>
    <s v="08.10.2023"/>
    <s v="FIO0100059"/>
    <s v="BV"/>
    <m/>
    <x v="403"/>
    <n v="0"/>
    <n v="1500"/>
    <n v="1500"/>
    <n v="1071"/>
    <x v="1"/>
    <x v="15"/>
    <x v="8"/>
    <x v="8"/>
  </r>
  <r>
    <s v="08.10.2023"/>
    <s v="FIO0100060"/>
    <s v="BV"/>
    <m/>
    <x v="404"/>
    <n v="0"/>
    <n v="4100"/>
    <n v="4100"/>
    <n v="1071"/>
    <x v="1"/>
    <x v="15"/>
    <x v="8"/>
    <x v="8"/>
  </r>
  <r>
    <s v="08.10.2023"/>
    <s v="VF2302017"/>
    <s v="FV"/>
    <s v="Ministerstvo obrany"/>
    <x v="405"/>
    <n v="0"/>
    <n v="2100"/>
    <n v="2100"/>
    <n v="1071"/>
    <x v="1"/>
    <x v="15"/>
    <x v="8"/>
    <x v="8"/>
  </r>
  <r>
    <s v="10.10.2023"/>
    <s v="FIO0100091"/>
    <s v="BV"/>
    <m/>
    <x v="406"/>
    <n v="0"/>
    <n v="4100"/>
    <n v="4100"/>
    <n v="1071"/>
    <x v="1"/>
    <x v="15"/>
    <x v="8"/>
    <x v="8"/>
  </r>
  <r>
    <s v="13.10.2023"/>
    <s v="FIO0100135"/>
    <s v="BV"/>
    <m/>
    <x v="407"/>
    <n v="0"/>
    <n v="4100"/>
    <n v="4100"/>
    <n v="1071"/>
    <x v="1"/>
    <x v="15"/>
    <x v="8"/>
    <x v="8"/>
  </r>
  <r>
    <s v="17.10.2023"/>
    <s v="FIO0100175"/>
    <s v="BV"/>
    <m/>
    <x v="408"/>
    <n v="0"/>
    <n v="4100"/>
    <n v="4100"/>
    <n v="1071"/>
    <x v="1"/>
    <x v="15"/>
    <x v="8"/>
    <x v="8"/>
  </r>
  <r>
    <s v="18.10.2023"/>
    <s v="FIO0100184"/>
    <s v="BV"/>
    <m/>
    <x v="409"/>
    <n v="0"/>
    <n v="4100"/>
    <n v="4100"/>
    <n v="1071"/>
    <x v="1"/>
    <x v="15"/>
    <x v="8"/>
    <x v="8"/>
  </r>
  <r>
    <s v="26.10.2023"/>
    <s v="FIO0100207"/>
    <s v="BV"/>
    <m/>
    <x v="68"/>
    <n v="0"/>
    <n v="2000"/>
    <n v="2000"/>
    <n v="1071"/>
    <x v="1"/>
    <x v="15"/>
    <x v="8"/>
    <x v="8"/>
  </r>
  <r>
    <s v="30.10.2023"/>
    <s v="FIO0100221"/>
    <s v="BV"/>
    <m/>
    <x v="410"/>
    <n v="0"/>
    <n v="2600"/>
    <n v="2600"/>
    <n v="1071"/>
    <x v="1"/>
    <x v="15"/>
    <x v="8"/>
    <x v="8"/>
  </r>
  <r>
    <s v="12.12.2023"/>
    <s v="FIO0120107"/>
    <s v="BV"/>
    <m/>
    <x v="411"/>
    <n v="0"/>
    <n v="4100"/>
    <n v="4100"/>
    <n v="1071"/>
    <x v="1"/>
    <x v="15"/>
    <x v="8"/>
    <x v="8"/>
  </r>
  <r>
    <s v="31.12.2023"/>
    <s v="D čl.p"/>
    <s v="IN"/>
    <m/>
    <x v="81"/>
    <n v="0"/>
    <n v="-11630.07"/>
    <n v="-11630.07"/>
    <n v="1071"/>
    <x v="1"/>
    <x v="15"/>
    <x v="8"/>
    <x v="8"/>
  </r>
  <r>
    <s v="31.03.2023"/>
    <s v="D 2303016"/>
    <s v="IN"/>
    <m/>
    <x v="412"/>
    <n v="14071"/>
    <n v="0"/>
    <n v="-14071"/>
    <n v="2011"/>
    <x v="2"/>
    <x v="17"/>
    <x v="9"/>
    <x v="9"/>
  </r>
  <r>
    <s v="26.01.2023"/>
    <s v="PV 2301008"/>
    <s v="PO"/>
    <m/>
    <x v="413"/>
    <n v="1800"/>
    <n v="0"/>
    <n v="-1800"/>
    <n v="2011"/>
    <x v="2"/>
    <x v="4"/>
    <x v="9"/>
    <x v="9"/>
  </r>
  <r>
    <s v="21.02.2023"/>
    <s v="PV 2302013"/>
    <s v="PO"/>
    <m/>
    <x v="413"/>
    <n v="5040"/>
    <n v="0"/>
    <n v="-5040"/>
    <n v="2011"/>
    <x v="2"/>
    <x v="4"/>
    <x v="9"/>
    <x v="9"/>
  </r>
  <r>
    <s v="21.02.2023"/>
    <s v="PV 2302014"/>
    <s v="PO"/>
    <m/>
    <x v="413"/>
    <n v="6960"/>
    <n v="0"/>
    <n v="-6960"/>
    <n v="2011"/>
    <x v="2"/>
    <x v="4"/>
    <x v="9"/>
    <x v="9"/>
  </r>
  <r>
    <s v="21.02.2023"/>
    <s v="PV 2302015"/>
    <s v="PO"/>
    <m/>
    <x v="414"/>
    <n v="392"/>
    <n v="0"/>
    <n v="-392"/>
    <n v="2011"/>
    <x v="2"/>
    <x v="4"/>
    <x v="9"/>
    <x v="9"/>
  </r>
  <r>
    <s v="21.02.2023"/>
    <s v="PV 2302016"/>
    <s v="PO"/>
    <m/>
    <x v="415"/>
    <n v="2712"/>
    <n v="0"/>
    <n v="-2712"/>
    <n v="2011"/>
    <x v="2"/>
    <x v="4"/>
    <x v="9"/>
    <x v="9"/>
  </r>
  <r>
    <s v="21.02.2023"/>
    <s v="PV 2302017"/>
    <s v="PO"/>
    <m/>
    <x v="416"/>
    <n v="848"/>
    <n v="0"/>
    <n v="-848"/>
    <n v="2011"/>
    <x v="2"/>
    <x v="4"/>
    <x v="9"/>
    <x v="9"/>
  </r>
  <r>
    <s v="21.02.2023"/>
    <s v="PV 2302018"/>
    <s v="PO"/>
    <m/>
    <x v="417"/>
    <n v="460"/>
    <n v="0"/>
    <n v="-460"/>
    <n v="2011"/>
    <x v="2"/>
    <x v="4"/>
    <x v="9"/>
    <x v="9"/>
  </r>
  <r>
    <s v="28.02.2023"/>
    <s v="PV 2302019"/>
    <s v="PO"/>
    <m/>
    <x v="413"/>
    <n v="10800"/>
    <n v="0"/>
    <n v="-10800"/>
    <n v="2011"/>
    <x v="2"/>
    <x v="4"/>
    <x v="9"/>
    <x v="9"/>
  </r>
  <r>
    <s v="27.03.2023"/>
    <s v="PV 2303011"/>
    <s v="PO"/>
    <m/>
    <x v="413"/>
    <n v="3600"/>
    <n v="0"/>
    <n v="-3600"/>
    <n v="2011"/>
    <x v="2"/>
    <x v="4"/>
    <x v="9"/>
    <x v="9"/>
  </r>
  <r>
    <s v="27.03.2023"/>
    <s v="PV 2303012"/>
    <s v="PO"/>
    <m/>
    <x v="418"/>
    <n v="446"/>
    <n v="0"/>
    <n v="-446"/>
    <n v="2011"/>
    <x v="2"/>
    <x v="4"/>
    <x v="9"/>
    <x v="9"/>
  </r>
  <r>
    <s v="27.03.2023"/>
    <s v="PV 2303013"/>
    <s v="PO"/>
    <m/>
    <x v="419"/>
    <n v="2445"/>
    <n v="0"/>
    <n v="-2445"/>
    <n v="2011"/>
    <x v="2"/>
    <x v="4"/>
    <x v="9"/>
    <x v="9"/>
  </r>
  <r>
    <s v="27.03.2023"/>
    <s v="PV 2303014"/>
    <s v="PO"/>
    <m/>
    <x v="420"/>
    <n v="527"/>
    <n v="0"/>
    <n v="-527"/>
    <n v="2011"/>
    <x v="2"/>
    <x v="4"/>
    <x v="9"/>
    <x v="9"/>
  </r>
  <r>
    <s v="27.03.2023"/>
    <s v="PV 2303015"/>
    <s v="PO"/>
    <m/>
    <x v="421"/>
    <n v="416"/>
    <n v="0"/>
    <n v="-416"/>
    <n v="2011"/>
    <x v="2"/>
    <x v="4"/>
    <x v="9"/>
    <x v="9"/>
  </r>
  <r>
    <s v="27.03.2023"/>
    <s v="PV 2303016"/>
    <s v="PO"/>
    <m/>
    <x v="422"/>
    <n v="432"/>
    <n v="0"/>
    <n v="-432"/>
    <n v="2011"/>
    <x v="2"/>
    <x v="4"/>
    <x v="9"/>
    <x v="9"/>
  </r>
  <r>
    <s v="06.04.2023"/>
    <s v="PV 2304006"/>
    <s v="PO"/>
    <m/>
    <x v="423"/>
    <n v="513"/>
    <n v="0"/>
    <n v="-513"/>
    <n v="2011"/>
    <x v="2"/>
    <x v="4"/>
    <x v="9"/>
    <x v="9"/>
  </r>
  <r>
    <s v="06.04.2023"/>
    <s v="PV 2304007"/>
    <s v="PO"/>
    <m/>
    <x v="424"/>
    <n v="1220"/>
    <n v="0"/>
    <n v="-1220"/>
    <n v="2011"/>
    <x v="2"/>
    <x v="4"/>
    <x v="9"/>
    <x v="9"/>
  </r>
  <r>
    <s v="27.08.2023"/>
    <s v="PV 2308009"/>
    <s v="PO"/>
    <m/>
    <x v="311"/>
    <n v="1920"/>
    <n v="0"/>
    <n v="-1920"/>
    <n v="2011"/>
    <x v="2"/>
    <x v="4"/>
    <x v="9"/>
    <x v="9"/>
  </r>
  <r>
    <s v="18.09.2023"/>
    <s v="PV 2309003"/>
    <s v="PO"/>
    <m/>
    <x v="425"/>
    <n v="518"/>
    <n v="0"/>
    <n v="-518"/>
    <n v="2011"/>
    <x v="2"/>
    <x v="4"/>
    <x v="9"/>
    <x v="9"/>
  </r>
  <r>
    <s v="18.09.2023"/>
    <s v="PV 2309004"/>
    <s v="PO"/>
    <m/>
    <x v="426"/>
    <n v="2049"/>
    <n v="0"/>
    <n v="-2049"/>
    <n v="2011"/>
    <x v="2"/>
    <x v="4"/>
    <x v="9"/>
    <x v="9"/>
  </r>
  <r>
    <s v="18.09.2023"/>
    <s v="PV 2309005"/>
    <s v="PO"/>
    <m/>
    <x v="427"/>
    <n v="366"/>
    <n v="0"/>
    <n v="-366"/>
    <n v="2011"/>
    <x v="2"/>
    <x v="4"/>
    <x v="9"/>
    <x v="9"/>
  </r>
  <r>
    <s v="18.09.2023"/>
    <s v="PV 2309007"/>
    <s v="PO"/>
    <m/>
    <x v="311"/>
    <n v="2400"/>
    <n v="0"/>
    <n v="-2400"/>
    <n v="2011"/>
    <x v="2"/>
    <x v="4"/>
    <x v="9"/>
    <x v="9"/>
  </r>
  <r>
    <s v="18.09.2023"/>
    <s v="PV 2309008"/>
    <s v="PO"/>
    <m/>
    <x v="311"/>
    <n v="8400"/>
    <n v="0"/>
    <n v="-8400"/>
    <n v="2011"/>
    <x v="2"/>
    <x v="4"/>
    <x v="9"/>
    <x v="9"/>
  </r>
  <r>
    <s v="23.10.2023"/>
    <s v="PV 2310005"/>
    <s v="PO"/>
    <m/>
    <x v="311"/>
    <n v="6720"/>
    <n v="0"/>
    <n v="-6720"/>
    <n v="2011"/>
    <x v="2"/>
    <x v="4"/>
    <x v="9"/>
    <x v="9"/>
  </r>
  <r>
    <s v="23.10.2023"/>
    <s v="PV 2310006"/>
    <s v="PO"/>
    <m/>
    <x v="428"/>
    <n v="2657"/>
    <n v="0"/>
    <n v="-2657"/>
    <n v="2011"/>
    <x v="2"/>
    <x v="4"/>
    <x v="9"/>
    <x v="9"/>
  </r>
  <r>
    <s v="23.10.2023"/>
    <s v="PV 2310007"/>
    <s v="PO"/>
    <m/>
    <x v="429"/>
    <n v="388"/>
    <n v="0"/>
    <n v="-388"/>
    <n v="2011"/>
    <x v="2"/>
    <x v="4"/>
    <x v="9"/>
    <x v="9"/>
  </r>
  <r>
    <s v="23.10.2023"/>
    <s v="PV 2310008"/>
    <s v="PO"/>
    <m/>
    <x v="430"/>
    <n v="2605"/>
    <n v="0"/>
    <n v="-2605"/>
    <n v="2011"/>
    <x v="2"/>
    <x v="4"/>
    <x v="9"/>
    <x v="9"/>
  </r>
  <r>
    <s v="24.11.2023"/>
    <s v="PV 2311011"/>
    <s v="PO"/>
    <m/>
    <x v="431"/>
    <n v="325"/>
    <n v="0"/>
    <n v="-325"/>
    <n v="2011"/>
    <x v="2"/>
    <x v="4"/>
    <x v="9"/>
    <x v="9"/>
  </r>
  <r>
    <s v="24.11.2023"/>
    <s v="PV 2311012"/>
    <s v="PO"/>
    <m/>
    <x v="432"/>
    <n v="2880"/>
    <n v="0"/>
    <n v="-2880"/>
    <n v="2011"/>
    <x v="2"/>
    <x v="4"/>
    <x v="9"/>
    <x v="9"/>
  </r>
  <r>
    <s v="24.11.2023"/>
    <s v="PV 2311013"/>
    <s v="PO"/>
    <m/>
    <x v="433"/>
    <n v="3750"/>
    <n v="0"/>
    <n v="-3750"/>
    <n v="2011"/>
    <x v="2"/>
    <x v="4"/>
    <x v="9"/>
    <x v="9"/>
  </r>
  <r>
    <s v="27.11.2023"/>
    <s v="PV 2311016"/>
    <s v="PO"/>
    <m/>
    <x v="311"/>
    <n v="9120"/>
    <n v="0"/>
    <n v="-9120"/>
    <n v="2011"/>
    <x v="2"/>
    <x v="4"/>
    <x v="9"/>
    <x v="9"/>
  </r>
  <r>
    <s v="29.11.2023"/>
    <s v="PV 2311020"/>
    <s v="PO"/>
    <m/>
    <x v="311"/>
    <n v="4950"/>
    <n v="0"/>
    <n v="-4950"/>
    <n v="2011"/>
    <x v="2"/>
    <x v="4"/>
    <x v="9"/>
    <x v="9"/>
  </r>
  <r>
    <s v="29.11.2023"/>
    <s v="PV 2311021"/>
    <s v="PO"/>
    <m/>
    <x v="434"/>
    <n v="795"/>
    <n v="0"/>
    <n v="-795"/>
    <n v="2011"/>
    <x v="2"/>
    <x v="4"/>
    <x v="9"/>
    <x v="9"/>
  </r>
  <r>
    <s v="29.11.2023"/>
    <s v="PV 2311022"/>
    <s v="PO"/>
    <m/>
    <x v="435"/>
    <n v="592"/>
    <n v="0"/>
    <n v="-592"/>
    <n v="2011"/>
    <x v="2"/>
    <x v="4"/>
    <x v="9"/>
    <x v="9"/>
  </r>
  <r>
    <s v="29.11.2023"/>
    <s v="PV 2311023"/>
    <s v="PO"/>
    <m/>
    <x v="436"/>
    <n v="885"/>
    <n v="0"/>
    <n v="-885"/>
    <n v="2011"/>
    <x v="2"/>
    <x v="4"/>
    <x v="9"/>
    <x v="9"/>
  </r>
  <r>
    <s v="12.12.2023"/>
    <s v="PV 2312004"/>
    <s v="PO"/>
    <m/>
    <x v="437"/>
    <n v="432"/>
    <n v="0"/>
    <n v="-432"/>
    <n v="2011"/>
    <x v="2"/>
    <x v="4"/>
    <x v="9"/>
    <x v="9"/>
  </r>
  <r>
    <s v="12.12.2023"/>
    <s v="PV 2312005"/>
    <s v="PO"/>
    <m/>
    <x v="438"/>
    <n v="3250"/>
    <n v="0"/>
    <n v="-3250"/>
    <n v="2011"/>
    <x v="2"/>
    <x v="4"/>
    <x v="9"/>
    <x v="9"/>
  </r>
  <r>
    <s v="20.12.2023"/>
    <s v="PF 2312007"/>
    <s v="PO"/>
    <m/>
    <x v="311"/>
    <n v="1920"/>
    <n v="0"/>
    <n v="-1920"/>
    <n v="2011"/>
    <x v="2"/>
    <x v="4"/>
    <x v="9"/>
    <x v="9"/>
  </r>
  <r>
    <s v="21.12.2023"/>
    <s v="PV 2312008"/>
    <s v="PO"/>
    <m/>
    <x v="311"/>
    <n v="2400"/>
    <n v="0"/>
    <n v="-2400"/>
    <n v="2011"/>
    <x v="2"/>
    <x v="4"/>
    <x v="9"/>
    <x v="9"/>
  </r>
  <r>
    <s v="29.12.2023"/>
    <s v="PV 2312010"/>
    <s v="PO"/>
    <m/>
    <x v="439"/>
    <n v="211"/>
    <n v="0"/>
    <n v="-211"/>
    <n v="2011"/>
    <x v="2"/>
    <x v="4"/>
    <x v="9"/>
    <x v="9"/>
  </r>
  <r>
    <s v="29.12.2023"/>
    <s v="PV 2312011"/>
    <s v="PO"/>
    <m/>
    <x v="440"/>
    <n v="1860"/>
    <n v="0"/>
    <n v="-1860"/>
    <n v="2011"/>
    <x v="2"/>
    <x v="4"/>
    <x v="9"/>
    <x v="9"/>
  </r>
  <r>
    <s v="29.12.2023"/>
    <s v="PV 2312012"/>
    <s v="PO"/>
    <m/>
    <x v="441"/>
    <n v="972"/>
    <n v="0"/>
    <n v="-972"/>
    <n v="2011"/>
    <x v="2"/>
    <x v="4"/>
    <x v="9"/>
    <x v="9"/>
  </r>
  <r>
    <s v="12.12.2023"/>
    <s v="PV 2312006"/>
    <s v="PO"/>
    <m/>
    <x v="442"/>
    <n v="3300"/>
    <n v="0"/>
    <n v="-3300"/>
    <n v="2011"/>
    <x v="2"/>
    <x v="5"/>
    <x v="9"/>
    <x v="9"/>
  </r>
  <r>
    <s v="09.08.2023"/>
    <s v="PF 2308028"/>
    <s v="FP"/>
    <s v="Tělovýchovná jednota Tatran Střešovice, z. s."/>
    <x v="443"/>
    <n v="25000"/>
    <n v="0"/>
    <n v="-25000"/>
    <n v="2011"/>
    <x v="2"/>
    <x v="6"/>
    <x v="9"/>
    <x v="9"/>
  </r>
  <r>
    <s v="18.08.2023"/>
    <s v="PF 2308008"/>
    <s v="FP"/>
    <s v="Florbal Židenice, z.s."/>
    <x v="444"/>
    <n v="4000"/>
    <n v="0"/>
    <n v="-4000"/>
    <n v="2011"/>
    <x v="2"/>
    <x v="6"/>
    <x v="9"/>
    <x v="9"/>
  </r>
  <r>
    <s v="14.03.2023"/>
    <s v="PV 2303008"/>
    <s v="PO"/>
    <m/>
    <x v="445"/>
    <n v="1750"/>
    <n v="0"/>
    <n v="-1750"/>
    <n v="2011"/>
    <x v="2"/>
    <x v="7"/>
    <x v="9"/>
    <x v="9"/>
  </r>
  <r>
    <s v="31.12.2023"/>
    <s v="D haly stř"/>
    <s v="IN"/>
    <m/>
    <x v="31"/>
    <n v="107227.08"/>
    <n v="0"/>
    <n v="-107227.08"/>
    <n v="2011"/>
    <x v="2"/>
    <x v="7"/>
    <x v="9"/>
    <x v="9"/>
  </r>
  <r>
    <s v="04.03.2023"/>
    <s v="PF 2303032"/>
    <s v="FP"/>
    <s v="Vysoká škola báňská - Technická univerzita Ostrava"/>
    <x v="446"/>
    <n v="14778"/>
    <n v="0"/>
    <n v="-14778"/>
    <n v="2011"/>
    <x v="2"/>
    <x v="8"/>
    <x v="9"/>
    <x v="9"/>
  </r>
  <r>
    <s v="16.05.2023"/>
    <s v="PF 2305009"/>
    <s v="FP"/>
    <s v="Vysoká škola báňská - Technická univerzita Ostrava"/>
    <x v="447"/>
    <n v="20484"/>
    <n v="0"/>
    <n v="-20484"/>
    <n v="2011"/>
    <x v="2"/>
    <x v="8"/>
    <x v="9"/>
    <x v="9"/>
  </r>
  <r>
    <s v="17.08.2023"/>
    <s v="PF 2308006"/>
    <s v="FP"/>
    <s v="FLORBAL CHODOV z.s."/>
    <x v="33"/>
    <n v="18000"/>
    <n v="0"/>
    <n v="-18000"/>
    <n v="2011"/>
    <x v="2"/>
    <x v="9"/>
    <x v="9"/>
    <x v="9"/>
  </r>
  <r>
    <s v="03.01.2023"/>
    <s v="D 2301005"/>
    <s v="IN"/>
    <m/>
    <x v="448"/>
    <n v="3057"/>
    <n v="0"/>
    <n v="-3057"/>
    <n v="2011"/>
    <x v="2"/>
    <x v="10"/>
    <x v="9"/>
    <x v="9"/>
  </r>
  <r>
    <s v="28.01.2023"/>
    <s v="D 2301016"/>
    <s v="IN"/>
    <m/>
    <x v="449"/>
    <n v="3057"/>
    <n v="0"/>
    <n v="-3057"/>
    <n v="2011"/>
    <x v="2"/>
    <x v="10"/>
    <x v="9"/>
    <x v="9"/>
  </r>
  <r>
    <s v="18.02.2023"/>
    <s v="D 2302006"/>
    <s v="IN"/>
    <m/>
    <x v="449"/>
    <n v="2877"/>
    <n v="0"/>
    <n v="-2877"/>
    <n v="2011"/>
    <x v="2"/>
    <x v="10"/>
    <x v="9"/>
    <x v="9"/>
  </r>
  <r>
    <s v="11.03.2023"/>
    <s v="D 2303007"/>
    <s v="IN"/>
    <m/>
    <x v="450"/>
    <n v="3336"/>
    <n v="0"/>
    <n v="-3336"/>
    <n v="2011"/>
    <x v="2"/>
    <x v="10"/>
    <x v="9"/>
    <x v="9"/>
  </r>
  <r>
    <s v="12.03.2023"/>
    <s v="D 2303010"/>
    <s v="IN"/>
    <m/>
    <x v="449"/>
    <n v="3165"/>
    <n v="0"/>
    <n v="-3165"/>
    <n v="2011"/>
    <x v="2"/>
    <x v="10"/>
    <x v="9"/>
    <x v="9"/>
  </r>
  <r>
    <s v="10.09.2023"/>
    <s v="D 2309002"/>
    <s v="IN"/>
    <m/>
    <x v="39"/>
    <n v="3075"/>
    <n v="0"/>
    <n v="-3075"/>
    <n v="2011"/>
    <x v="2"/>
    <x v="10"/>
    <x v="9"/>
    <x v="9"/>
  </r>
  <r>
    <s v="16.09.2023"/>
    <s v="D 2309003"/>
    <s v="IN"/>
    <m/>
    <x v="451"/>
    <n v="3500"/>
    <n v="0"/>
    <n v="-3500"/>
    <n v="2011"/>
    <x v="2"/>
    <x v="10"/>
    <x v="9"/>
    <x v="9"/>
  </r>
  <r>
    <s v="30.09.2023"/>
    <s v="D 2309008"/>
    <s v="IN"/>
    <m/>
    <x v="451"/>
    <n v="3750"/>
    <n v="0"/>
    <n v="-3750"/>
    <n v="2011"/>
    <x v="2"/>
    <x v="10"/>
    <x v="9"/>
    <x v="9"/>
  </r>
  <r>
    <s v="08.10.2023"/>
    <s v="D 2310004"/>
    <s v="IN"/>
    <m/>
    <x v="451"/>
    <n v="3800"/>
    <n v="0"/>
    <n v="-3800"/>
    <n v="2011"/>
    <x v="2"/>
    <x v="10"/>
    <x v="9"/>
    <x v="9"/>
  </r>
  <r>
    <s v="29.10.2023"/>
    <s v="D 2310010"/>
    <s v="IN"/>
    <m/>
    <x v="451"/>
    <n v="3345"/>
    <n v="0"/>
    <n v="-3345"/>
    <n v="2011"/>
    <x v="2"/>
    <x v="10"/>
    <x v="9"/>
    <x v="9"/>
  </r>
  <r>
    <s v="09.11.2023"/>
    <s v="D 2311004"/>
    <s v="IN"/>
    <m/>
    <x v="451"/>
    <n v="1470"/>
    <n v="0"/>
    <n v="-1470"/>
    <n v="2011"/>
    <x v="2"/>
    <x v="10"/>
    <x v="9"/>
    <x v="9"/>
  </r>
  <r>
    <s v="30.11.2023"/>
    <s v="D 2311011"/>
    <s v="IN"/>
    <m/>
    <x v="451"/>
    <n v="3075"/>
    <n v="0"/>
    <n v="-3075"/>
    <n v="2011"/>
    <x v="2"/>
    <x v="10"/>
    <x v="9"/>
    <x v="9"/>
  </r>
  <r>
    <s v="03.01.2023"/>
    <s v="PV 2301001"/>
    <s v="PO"/>
    <m/>
    <x v="41"/>
    <n v="2500"/>
    <n v="0"/>
    <n v="-2500"/>
    <n v="2011"/>
    <x v="2"/>
    <x v="11"/>
    <x v="9"/>
    <x v="9"/>
  </r>
  <r>
    <s v="28.01.2023"/>
    <s v="PV 2301009"/>
    <s v="PO"/>
    <m/>
    <x v="41"/>
    <n v="1200"/>
    <n v="0"/>
    <n v="-1200"/>
    <n v="2011"/>
    <x v="2"/>
    <x v="11"/>
    <x v="9"/>
    <x v="9"/>
  </r>
  <r>
    <s v="28.01.2023"/>
    <s v="PV 2301010"/>
    <s v="PO"/>
    <m/>
    <x v="41"/>
    <n v="2500"/>
    <n v="0"/>
    <n v="-2500"/>
    <n v="2011"/>
    <x v="2"/>
    <x v="11"/>
    <x v="9"/>
    <x v="9"/>
  </r>
  <r>
    <s v="11.03.2023"/>
    <s v="PV 2303005"/>
    <s v="PO"/>
    <m/>
    <x v="41"/>
    <n v="2500"/>
    <n v="0"/>
    <n v="-2500"/>
    <n v="2011"/>
    <x v="2"/>
    <x v="11"/>
    <x v="9"/>
    <x v="9"/>
  </r>
  <r>
    <s v="12.03.2023"/>
    <s v="PV 2303006"/>
    <s v="PO"/>
    <m/>
    <x v="41"/>
    <n v="2500"/>
    <n v="0"/>
    <n v="-2500"/>
    <n v="2011"/>
    <x v="2"/>
    <x v="11"/>
    <x v="9"/>
    <x v="9"/>
  </r>
  <r>
    <s v="18.09.2023"/>
    <s v="PV 2309002"/>
    <s v="PO"/>
    <m/>
    <x v="41"/>
    <n v="3400"/>
    <n v="0"/>
    <n v="-3400"/>
    <n v="2011"/>
    <x v="2"/>
    <x v="11"/>
    <x v="9"/>
    <x v="9"/>
  </r>
  <r>
    <s v="18.09.2023"/>
    <s v="PV 2309006"/>
    <s v="PO"/>
    <m/>
    <x v="41"/>
    <n v="2200"/>
    <n v="0"/>
    <n v="-2200"/>
    <n v="2011"/>
    <x v="2"/>
    <x v="11"/>
    <x v="9"/>
    <x v="9"/>
  </r>
  <r>
    <s v="28.09.2023"/>
    <s v="PV 2309015"/>
    <s v="PO"/>
    <m/>
    <x v="41"/>
    <n v="2200"/>
    <n v="0"/>
    <n v="-2200"/>
    <n v="2011"/>
    <x v="2"/>
    <x v="11"/>
    <x v="9"/>
    <x v="9"/>
  </r>
  <r>
    <s v="08.10.2023"/>
    <s v="PV 2310001"/>
    <s v="PO"/>
    <m/>
    <x v="41"/>
    <n v="2200"/>
    <n v="0"/>
    <n v="-2200"/>
    <n v="2011"/>
    <x v="2"/>
    <x v="11"/>
    <x v="9"/>
    <x v="9"/>
  </r>
  <r>
    <s v="08.10.2023"/>
    <s v="PV 2310002"/>
    <s v="PO"/>
    <m/>
    <x v="41"/>
    <n v="1200"/>
    <n v="0"/>
    <n v="-1200"/>
    <n v="2011"/>
    <x v="2"/>
    <x v="11"/>
    <x v="9"/>
    <x v="9"/>
  </r>
  <r>
    <s v="29.10.2023"/>
    <s v="PV 2310013"/>
    <s v="PO"/>
    <m/>
    <x v="41"/>
    <n v="2200"/>
    <n v="0"/>
    <n v="-2200"/>
    <n v="2011"/>
    <x v="2"/>
    <x v="11"/>
    <x v="9"/>
    <x v="9"/>
  </r>
  <r>
    <s v="09.11.2023"/>
    <s v="PV 2311007"/>
    <s v="PO"/>
    <m/>
    <x v="41"/>
    <n v="2200"/>
    <n v="0"/>
    <n v="-2200"/>
    <n v="2011"/>
    <x v="2"/>
    <x v="11"/>
    <x v="9"/>
    <x v="9"/>
  </r>
  <r>
    <s v="12.11.2023"/>
    <s v="PV 2311008"/>
    <s v="PO"/>
    <m/>
    <x v="41"/>
    <n v="2200"/>
    <n v="0"/>
    <n v="-2200"/>
    <n v="2011"/>
    <x v="2"/>
    <x v="11"/>
    <x v="9"/>
    <x v="9"/>
  </r>
  <r>
    <s v="31.12.2023"/>
    <s v="VL stř"/>
    <s v="IN"/>
    <m/>
    <x v="12"/>
    <n v="84400"/>
    <n v="0"/>
    <n v="-84400"/>
    <n v="2011"/>
    <x v="2"/>
    <x v="0"/>
    <x v="9"/>
    <x v="9"/>
  </r>
  <r>
    <s v="07.08.2023"/>
    <s v="VF2302014"/>
    <s v="FV"/>
    <s v="Bulldogs Brno"/>
    <x v="452"/>
    <n v="0"/>
    <n v="7500"/>
    <n v="7500"/>
    <n v="2011"/>
    <x v="2"/>
    <x v="12"/>
    <x v="9"/>
    <x v="9"/>
  </r>
  <r>
    <s v="26.11.2023"/>
    <s v="VF2302019"/>
    <s v="FV"/>
    <s v="Bulldogs Brno"/>
    <x v="453"/>
    <n v="0"/>
    <n v="7500"/>
    <n v="7500"/>
    <n v="2011"/>
    <x v="2"/>
    <x v="12"/>
    <x v="9"/>
    <x v="9"/>
  </r>
  <r>
    <s v="31.08.2023"/>
    <s v="VF2301006"/>
    <s v="FV"/>
    <s v="IP Systém a.s."/>
    <x v="454"/>
    <n v="0"/>
    <n v="33333.340000000004"/>
    <n v="33333.340000000004"/>
    <n v="2011"/>
    <x v="2"/>
    <x v="18"/>
    <x v="9"/>
    <x v="9"/>
  </r>
  <r>
    <s v="31.08.2023"/>
    <s v="VF2301008"/>
    <s v="FV"/>
    <s v="Ing. Radislav Řehák"/>
    <x v="455"/>
    <n v="0"/>
    <n v="19666.669999999998"/>
    <n v="19666.669999999998"/>
    <n v="2011"/>
    <x v="2"/>
    <x v="18"/>
    <x v="9"/>
    <x v="9"/>
  </r>
  <r>
    <s v="22.01.2023"/>
    <s v="D 2301014"/>
    <s v="IN"/>
    <m/>
    <x v="456"/>
    <n v="4286"/>
    <n v="0"/>
    <n v="-4286"/>
    <n v="2012"/>
    <x v="2"/>
    <x v="10"/>
    <x v="10"/>
    <x v="10"/>
  </r>
  <r>
    <s v="02.04.2023"/>
    <s v="D 2304002"/>
    <s v="IN"/>
    <m/>
    <x v="457"/>
    <n v="2850"/>
    <n v="0"/>
    <n v="-2850"/>
    <n v="2012"/>
    <x v="2"/>
    <x v="10"/>
    <x v="10"/>
    <x v="10"/>
  </r>
  <r>
    <s v="19.09.2023"/>
    <s v="FIO0090126"/>
    <s v="BV"/>
    <m/>
    <x v="458"/>
    <n v="0"/>
    <n v="9000"/>
    <n v="9000"/>
    <n v="2012"/>
    <x v="2"/>
    <x v="15"/>
    <x v="10"/>
    <x v="10"/>
  </r>
  <r>
    <s v="30.09.2023"/>
    <s v="D 2301003"/>
    <s v="IN"/>
    <m/>
    <x v="53"/>
    <n v="0"/>
    <n v="8307.19"/>
    <n v="8307.19"/>
    <n v="2012"/>
    <x v="2"/>
    <x v="15"/>
    <x v="10"/>
    <x v="10"/>
  </r>
  <r>
    <s v="09.11.2023"/>
    <s v="FIO0110069"/>
    <s v="BV"/>
    <m/>
    <x v="459"/>
    <n v="0"/>
    <n v="32500"/>
    <n v="32500"/>
    <n v="2012"/>
    <x v="2"/>
    <x v="15"/>
    <x v="10"/>
    <x v="10"/>
  </r>
  <r>
    <s v="31.12.2023"/>
    <s v="D čl.p"/>
    <s v="IN"/>
    <m/>
    <x v="81"/>
    <n v="0"/>
    <n v="-8408.5"/>
    <n v="-8408.5"/>
    <n v="2012"/>
    <x v="2"/>
    <x v="15"/>
    <x v="10"/>
    <x v="10"/>
  </r>
  <r>
    <s v="04.04.2023"/>
    <s v="PV 2304002"/>
    <s v="PO"/>
    <m/>
    <x v="460"/>
    <n v="5178"/>
    <n v="0"/>
    <n v="-5178"/>
    <n v="2021"/>
    <x v="2"/>
    <x v="4"/>
    <x v="11"/>
    <x v="11"/>
  </r>
  <r>
    <s v="04.04.2023"/>
    <s v="PV 2304003"/>
    <s v="PO"/>
    <m/>
    <x v="460"/>
    <n v="6072"/>
    <n v="0"/>
    <n v="-6072"/>
    <n v="2021"/>
    <x v="2"/>
    <x v="4"/>
    <x v="11"/>
    <x v="11"/>
  </r>
  <r>
    <s v="02.05.2023"/>
    <s v="PV 2305002"/>
    <s v="PO"/>
    <m/>
    <x v="460"/>
    <n v="9972"/>
    <n v="0"/>
    <n v="-9972"/>
    <n v="2021"/>
    <x v="2"/>
    <x v="4"/>
    <x v="11"/>
    <x v="11"/>
  </r>
  <r>
    <s v="02.05.2023"/>
    <s v="PV 2305003"/>
    <s v="PO"/>
    <m/>
    <x v="460"/>
    <n v="3324"/>
    <n v="0"/>
    <n v="-3324"/>
    <n v="2021"/>
    <x v="2"/>
    <x v="4"/>
    <x v="11"/>
    <x v="11"/>
  </r>
  <r>
    <s v="09.11.2023"/>
    <s v="PV 2311006"/>
    <s v="PO"/>
    <m/>
    <x v="311"/>
    <n v="8970"/>
    <n v="0"/>
    <n v="-8970"/>
    <n v="2021"/>
    <x v="2"/>
    <x v="4"/>
    <x v="11"/>
    <x v="11"/>
  </r>
  <r>
    <s v="27.11.2023"/>
    <s v="PV 2311017"/>
    <s v="PO"/>
    <m/>
    <x v="311"/>
    <n v="6900"/>
    <n v="0"/>
    <n v="-6900"/>
    <n v="2021"/>
    <x v="2"/>
    <x v="4"/>
    <x v="11"/>
    <x v="11"/>
  </r>
  <r>
    <s v="27.11.2023"/>
    <s v="PV 2311018"/>
    <s v="PO"/>
    <m/>
    <x v="311"/>
    <n v="3792"/>
    <n v="0"/>
    <n v="-3792"/>
    <n v="2021"/>
    <x v="2"/>
    <x v="4"/>
    <x v="11"/>
    <x v="11"/>
  </r>
  <r>
    <s v="12.12.2023"/>
    <s v="PV 2312003"/>
    <s v="PO"/>
    <m/>
    <x v="311"/>
    <n v="6720"/>
    <n v="0"/>
    <n v="-6720"/>
    <n v="2021"/>
    <x v="2"/>
    <x v="4"/>
    <x v="11"/>
    <x v="11"/>
  </r>
  <r>
    <s v="04.04.2023"/>
    <s v="PV 2304001"/>
    <s v="PO"/>
    <m/>
    <x v="461"/>
    <n v="4370"/>
    <n v="0"/>
    <n v="-4370"/>
    <n v="2021"/>
    <x v="2"/>
    <x v="19"/>
    <x v="11"/>
    <x v="11"/>
  </r>
  <r>
    <s v="31.10.2023"/>
    <s v="PF 2310012"/>
    <s v="FP"/>
    <s v="Ondřej Čoček"/>
    <x v="462"/>
    <n v="5000"/>
    <n v="0"/>
    <n v="-5000"/>
    <n v="2021"/>
    <x v="2"/>
    <x v="5"/>
    <x v="11"/>
    <x v="11"/>
  </r>
  <r>
    <s v="30.11.2023"/>
    <s v="PF 2311013"/>
    <s v="FP"/>
    <s v="Ondřej Čoček"/>
    <x v="463"/>
    <n v="5000"/>
    <n v="0"/>
    <n v="-5000"/>
    <n v="2021"/>
    <x v="2"/>
    <x v="5"/>
    <x v="11"/>
    <x v="11"/>
  </r>
  <r>
    <s v="31.12.2023"/>
    <s v="PF 2312018"/>
    <s v="FP"/>
    <s v="Ondřej Čoček"/>
    <x v="464"/>
    <n v="5000"/>
    <n v="0"/>
    <n v="-5000"/>
    <n v="2021"/>
    <x v="2"/>
    <x v="5"/>
    <x v="11"/>
    <x v="11"/>
  </r>
  <r>
    <s v="06.03.2023"/>
    <s v="PF 2303003"/>
    <s v="FP"/>
    <s v="Tělocvičná jednota Sokol Olšany u Prostějova"/>
    <x v="465"/>
    <n v="3500"/>
    <n v="0"/>
    <n v="-3500"/>
    <n v="2021"/>
    <x v="2"/>
    <x v="7"/>
    <x v="11"/>
    <x v="11"/>
  </r>
  <r>
    <s v="31.03.2023"/>
    <s v="PF 2303019"/>
    <s v="FP"/>
    <s v="TJ Lokomotiva Olomouc z.s."/>
    <x v="466"/>
    <n v="6600"/>
    <n v="0"/>
    <n v="-6600"/>
    <n v="2021"/>
    <x v="2"/>
    <x v="7"/>
    <x v="11"/>
    <x v="11"/>
  </r>
  <r>
    <s v="15.12.2023"/>
    <s v="PF 2312007"/>
    <s v="FP"/>
    <s v="TJ Lokomotiva Olomouc z.s."/>
    <x v="466"/>
    <n v="9100"/>
    <n v="0"/>
    <n v="-9100"/>
    <n v="2021"/>
    <x v="2"/>
    <x v="7"/>
    <x v="11"/>
    <x v="11"/>
  </r>
  <r>
    <s v="31.12.2023"/>
    <s v="D haly stř"/>
    <s v="IN"/>
    <m/>
    <x v="31"/>
    <n v="73229.170000000013"/>
    <n v="0"/>
    <n v="-73229.170000000013"/>
    <n v="2021"/>
    <x v="2"/>
    <x v="7"/>
    <x v="11"/>
    <x v="11"/>
  </r>
  <r>
    <s v="24.09.2023"/>
    <s v="PF 2309032"/>
    <s v="FP"/>
    <s v="TOP HOTELS GROUP a.s."/>
    <x v="467"/>
    <n v="22500"/>
    <n v="0"/>
    <n v="-22500"/>
    <n v="2021"/>
    <x v="2"/>
    <x v="8"/>
    <x v="11"/>
    <x v="11"/>
  </r>
  <r>
    <s v="29.10.2023"/>
    <s v="PF 2310011"/>
    <s v="FP"/>
    <s v="TOP HOTELS GROUP a.s."/>
    <x v="467"/>
    <n v="17400"/>
    <n v="0"/>
    <n v="-17400"/>
    <n v="2021"/>
    <x v="2"/>
    <x v="8"/>
    <x v="11"/>
    <x v="11"/>
  </r>
  <r>
    <s v="01.11.2023"/>
    <s v="PF 2311001"/>
    <s v="FP"/>
    <s v="1.SC Vítkovice z.s."/>
    <x v="468"/>
    <n v="3000"/>
    <n v="0"/>
    <n v="-3000"/>
    <n v="2021"/>
    <x v="2"/>
    <x v="9"/>
    <x v="11"/>
    <x v="11"/>
  </r>
  <r>
    <s v="14.01.2023"/>
    <s v="D 2301010"/>
    <s v="IN"/>
    <m/>
    <x v="469"/>
    <n v="1985"/>
    <n v="0"/>
    <n v="-1985"/>
    <n v="2021"/>
    <x v="2"/>
    <x v="10"/>
    <x v="11"/>
    <x v="11"/>
  </r>
  <r>
    <s v="14.01.2023"/>
    <s v="D 2301011"/>
    <s v="IN"/>
    <m/>
    <x v="469"/>
    <n v="1450"/>
    <n v="0"/>
    <n v="-1450"/>
    <n v="2021"/>
    <x v="2"/>
    <x v="10"/>
    <x v="11"/>
    <x v="11"/>
  </r>
  <r>
    <s v="28.01.2023"/>
    <s v="D 2301015"/>
    <s v="IN"/>
    <m/>
    <x v="469"/>
    <n v="1540"/>
    <n v="0"/>
    <n v="-1540"/>
    <n v="2021"/>
    <x v="2"/>
    <x v="10"/>
    <x v="11"/>
    <x v="11"/>
  </r>
  <r>
    <s v="09.02.2023"/>
    <s v="D 2302003"/>
    <s v="IN"/>
    <m/>
    <x v="469"/>
    <n v="1270"/>
    <n v="0"/>
    <n v="-1270"/>
    <n v="2021"/>
    <x v="2"/>
    <x v="10"/>
    <x v="11"/>
    <x v="11"/>
  </r>
  <r>
    <s v="11.02.2023"/>
    <s v="D 2302004"/>
    <s v="IN"/>
    <m/>
    <x v="469"/>
    <n v="1891"/>
    <n v="0"/>
    <n v="-1891"/>
    <n v="2021"/>
    <x v="2"/>
    <x v="10"/>
    <x v="11"/>
    <x v="11"/>
  </r>
  <r>
    <s v="04.03.2023"/>
    <s v="D 2303001"/>
    <s v="IN"/>
    <m/>
    <x v="470"/>
    <n v="1875"/>
    <n v="0"/>
    <n v="-1875"/>
    <n v="2021"/>
    <x v="2"/>
    <x v="10"/>
    <x v="11"/>
    <x v="11"/>
  </r>
  <r>
    <s v="11.03.2023"/>
    <s v="D 2303008"/>
    <s v="IN"/>
    <m/>
    <x v="469"/>
    <n v="2280"/>
    <n v="0"/>
    <n v="-2280"/>
    <n v="2021"/>
    <x v="2"/>
    <x v="10"/>
    <x v="11"/>
    <x v="11"/>
  </r>
  <r>
    <s v="19.03.2023"/>
    <s v="D 2303012"/>
    <s v="IN"/>
    <m/>
    <x v="469"/>
    <n v="1425"/>
    <n v="0"/>
    <n v="-1425"/>
    <n v="2021"/>
    <x v="2"/>
    <x v="10"/>
    <x v="11"/>
    <x v="11"/>
  </r>
  <r>
    <s v="25.03.2023"/>
    <s v="D 2303014"/>
    <s v="IN"/>
    <m/>
    <x v="469"/>
    <n v="1650"/>
    <n v="0"/>
    <n v="-1650"/>
    <n v="2021"/>
    <x v="2"/>
    <x v="10"/>
    <x v="11"/>
    <x v="11"/>
  </r>
  <r>
    <s v="06.04.2023"/>
    <s v="D 2304003"/>
    <s v="IN"/>
    <m/>
    <x v="469"/>
    <n v="2055"/>
    <n v="0"/>
    <n v="-2055"/>
    <n v="2021"/>
    <x v="2"/>
    <x v="10"/>
    <x v="11"/>
    <x v="11"/>
  </r>
  <r>
    <s v="09.09.2023"/>
    <s v="D 2309001"/>
    <s v="IN"/>
    <m/>
    <x v="469"/>
    <n v="1432"/>
    <n v="0"/>
    <n v="-1432"/>
    <n v="2021"/>
    <x v="2"/>
    <x v="10"/>
    <x v="11"/>
    <x v="11"/>
  </r>
  <r>
    <s v="30.09.2023"/>
    <s v="D 2309009"/>
    <s v="IN"/>
    <m/>
    <x v="94"/>
    <n v="1315"/>
    <n v="0"/>
    <n v="-1315"/>
    <n v="2021"/>
    <x v="2"/>
    <x v="10"/>
    <x v="11"/>
    <x v="11"/>
  </r>
  <r>
    <s v="14.10.2023"/>
    <s v="D 2310006"/>
    <s v="IN"/>
    <m/>
    <x v="469"/>
    <n v="1544"/>
    <n v="0"/>
    <n v="-1544"/>
    <n v="2021"/>
    <x v="2"/>
    <x v="10"/>
    <x v="11"/>
    <x v="11"/>
  </r>
  <r>
    <s v="15.10.2023"/>
    <s v="D 2310009"/>
    <s v="IN"/>
    <m/>
    <x v="469"/>
    <n v="1437"/>
    <n v="0"/>
    <n v="-1437"/>
    <n v="2021"/>
    <x v="2"/>
    <x v="10"/>
    <x v="11"/>
    <x v="11"/>
  </r>
  <r>
    <s v="04.11.2023"/>
    <s v="D 2311002"/>
    <s v="IN"/>
    <m/>
    <x v="469"/>
    <n v="1000"/>
    <n v="0"/>
    <n v="-1000"/>
    <n v="2021"/>
    <x v="2"/>
    <x v="10"/>
    <x v="11"/>
    <x v="11"/>
  </r>
  <r>
    <s v="05.11.2023"/>
    <s v="D 2311003"/>
    <s v="IN"/>
    <m/>
    <x v="469"/>
    <n v="1490"/>
    <n v="0"/>
    <n v="-1490"/>
    <n v="2021"/>
    <x v="2"/>
    <x v="10"/>
    <x v="11"/>
    <x v="11"/>
  </r>
  <r>
    <s v="31.12.2023"/>
    <s v="D 2312005"/>
    <s v="IN"/>
    <m/>
    <x v="469"/>
    <n v="1270"/>
    <n v="0"/>
    <n v="-1270"/>
    <n v="2021"/>
    <x v="2"/>
    <x v="10"/>
    <x v="11"/>
    <x v="11"/>
  </r>
  <r>
    <s v="14.01.2023"/>
    <s v="PV 2301005"/>
    <s v="PO"/>
    <m/>
    <x v="41"/>
    <n v="1200"/>
    <n v="0"/>
    <n v="-1200"/>
    <n v="2021"/>
    <x v="2"/>
    <x v="11"/>
    <x v="11"/>
    <x v="11"/>
  </r>
  <r>
    <s v="09.02.2023"/>
    <s v="PV 2302005"/>
    <s v="PO"/>
    <m/>
    <x v="41"/>
    <n v="1200"/>
    <n v="0"/>
    <n v="-1200"/>
    <n v="2021"/>
    <x v="2"/>
    <x v="11"/>
    <x v="11"/>
    <x v="11"/>
  </r>
  <r>
    <s v="18.02.2023"/>
    <s v="PV 2302010"/>
    <s v="PO"/>
    <m/>
    <x v="41"/>
    <n v="2500"/>
    <n v="0"/>
    <n v="-2500"/>
    <n v="2021"/>
    <x v="2"/>
    <x v="11"/>
    <x v="11"/>
    <x v="11"/>
  </r>
  <r>
    <s v="04.03.2023"/>
    <s v="PV 2303001"/>
    <s v="PO"/>
    <m/>
    <x v="41"/>
    <n v="1900"/>
    <n v="0"/>
    <n v="-1900"/>
    <n v="2021"/>
    <x v="2"/>
    <x v="11"/>
    <x v="11"/>
    <x v="11"/>
  </r>
  <r>
    <s v="11.03.2023"/>
    <s v="PV 2303004"/>
    <s v="PO"/>
    <m/>
    <x v="41"/>
    <n v="2200"/>
    <n v="0"/>
    <n v="-2200"/>
    <n v="2021"/>
    <x v="2"/>
    <x v="11"/>
    <x v="11"/>
    <x v="11"/>
  </r>
  <r>
    <s v="19.03.2023"/>
    <s v="PV 2303009"/>
    <s v="PO"/>
    <m/>
    <x v="41"/>
    <n v="2200"/>
    <n v="0"/>
    <n v="-2200"/>
    <n v="2021"/>
    <x v="2"/>
    <x v="11"/>
    <x v="11"/>
    <x v="11"/>
  </r>
  <r>
    <s v="25.03.2023"/>
    <s v="PV 2303010"/>
    <s v="PO"/>
    <m/>
    <x v="41"/>
    <n v="2200"/>
    <n v="0"/>
    <n v="-2200"/>
    <n v="2021"/>
    <x v="2"/>
    <x v="11"/>
    <x v="11"/>
    <x v="11"/>
  </r>
  <r>
    <s v="06.04.2023"/>
    <s v="PV 2304005"/>
    <s v="PO"/>
    <m/>
    <x v="41"/>
    <n v="2200"/>
    <n v="0"/>
    <n v="-2200"/>
    <n v="2021"/>
    <x v="2"/>
    <x v="11"/>
    <x v="11"/>
    <x v="11"/>
  </r>
  <r>
    <s v="18.09.2023"/>
    <s v="PV 2309001"/>
    <s v="PO"/>
    <m/>
    <x v="41"/>
    <n v="900"/>
    <n v="0"/>
    <n v="-900"/>
    <n v="2021"/>
    <x v="2"/>
    <x v="11"/>
    <x v="11"/>
    <x v="11"/>
  </r>
  <r>
    <s v="28.09.2023"/>
    <s v="PV 2309016"/>
    <s v="PO"/>
    <m/>
    <x v="41"/>
    <n v="900"/>
    <n v="0"/>
    <n v="-900"/>
    <n v="2021"/>
    <x v="2"/>
    <x v="11"/>
    <x v="11"/>
    <x v="11"/>
  </r>
  <r>
    <s v="23.10.2023"/>
    <s v="PV 2310010"/>
    <s v="PO"/>
    <m/>
    <x v="41"/>
    <n v="1200"/>
    <n v="0"/>
    <n v="-1200"/>
    <n v="2021"/>
    <x v="2"/>
    <x v="11"/>
    <x v="11"/>
    <x v="11"/>
  </r>
  <r>
    <s v="23.10.2023"/>
    <s v="PV 2310011"/>
    <s v="PO"/>
    <m/>
    <x v="41"/>
    <n v="1200"/>
    <n v="0"/>
    <n v="-1200"/>
    <n v="2021"/>
    <x v="2"/>
    <x v="11"/>
    <x v="11"/>
    <x v="11"/>
  </r>
  <r>
    <s v="04.11.2023"/>
    <s v="PV 2311004"/>
    <s v="PO"/>
    <m/>
    <x v="41"/>
    <n v="1200"/>
    <n v="0"/>
    <n v="-1200"/>
    <n v="2021"/>
    <x v="2"/>
    <x v="11"/>
    <x v="11"/>
    <x v="11"/>
  </r>
  <r>
    <s v="05.11.2023"/>
    <s v="PV 2311005"/>
    <s v="PO"/>
    <m/>
    <x v="41"/>
    <n v="1200"/>
    <n v="0"/>
    <n v="-1200"/>
    <n v="2021"/>
    <x v="2"/>
    <x v="11"/>
    <x v="11"/>
    <x v="11"/>
  </r>
  <r>
    <s v="21.12.2023"/>
    <s v="PV 2312009"/>
    <s v="PO"/>
    <m/>
    <x v="41"/>
    <n v="1200"/>
    <n v="0"/>
    <n v="-1200"/>
    <n v="2021"/>
    <x v="2"/>
    <x v="11"/>
    <x v="11"/>
    <x v="11"/>
  </r>
  <r>
    <s v="31.12.2023"/>
    <s v="VL stř"/>
    <s v="IN"/>
    <m/>
    <x v="12"/>
    <n v="109900"/>
    <n v="0"/>
    <n v="-109900"/>
    <n v="2021"/>
    <x v="2"/>
    <x v="0"/>
    <x v="11"/>
    <x v="11"/>
  </r>
  <r>
    <s v="31.08.2023"/>
    <s v="VF2301006"/>
    <s v="FV"/>
    <s v="IP Systém a.s."/>
    <x v="454"/>
    <n v="0"/>
    <n v="33333.33"/>
    <n v="33333.33"/>
    <n v="2021"/>
    <x v="2"/>
    <x v="18"/>
    <x v="11"/>
    <x v="11"/>
  </r>
  <r>
    <s v="31.08.2023"/>
    <s v="VF2301008"/>
    <s v="FV"/>
    <s v="Ing. Radislav Řehák"/>
    <x v="455"/>
    <n v="0"/>
    <n v="19666.66"/>
    <n v="19666.66"/>
    <n v="2021"/>
    <x v="2"/>
    <x v="18"/>
    <x v="11"/>
    <x v="11"/>
  </r>
  <r>
    <s v="09.01.2023"/>
    <s v="FIO0010054"/>
    <s v="BV"/>
    <m/>
    <x v="471"/>
    <n v="0"/>
    <n v="4600"/>
    <n v="4600"/>
    <n v="2021"/>
    <x v="2"/>
    <x v="15"/>
    <x v="11"/>
    <x v="11"/>
  </r>
  <r>
    <s v="10.01.2023"/>
    <s v="FIO0010063"/>
    <s v="BV"/>
    <m/>
    <x v="472"/>
    <n v="0"/>
    <n v="4600"/>
    <n v="4600"/>
    <n v="2021"/>
    <x v="2"/>
    <x v="15"/>
    <x v="11"/>
    <x v="11"/>
  </r>
  <r>
    <s v="10.01.2023"/>
    <s v="FIO0010084"/>
    <s v="BV"/>
    <m/>
    <x v="473"/>
    <n v="0"/>
    <n v="2300"/>
    <n v="2300"/>
    <n v="2021"/>
    <x v="2"/>
    <x v="15"/>
    <x v="11"/>
    <x v="11"/>
  </r>
  <r>
    <s v="12.01.2023"/>
    <s v="FIO0010124"/>
    <s v="BV"/>
    <m/>
    <x v="68"/>
    <n v="0"/>
    <n v="4600"/>
    <n v="4600"/>
    <n v="2021"/>
    <x v="2"/>
    <x v="15"/>
    <x v="11"/>
    <x v="11"/>
  </r>
  <r>
    <s v="16.01.2023"/>
    <s v="FIO0010144"/>
    <s v="BV"/>
    <m/>
    <x v="474"/>
    <n v="0"/>
    <n v="2300"/>
    <n v="2300"/>
    <n v="2021"/>
    <x v="2"/>
    <x v="15"/>
    <x v="11"/>
    <x v="11"/>
  </r>
  <r>
    <s v="17.01.2023"/>
    <s v="FIO0010167"/>
    <s v="BV"/>
    <m/>
    <x v="68"/>
    <n v="0"/>
    <n v="2300"/>
    <n v="2300"/>
    <n v="2021"/>
    <x v="2"/>
    <x v="15"/>
    <x v="11"/>
    <x v="11"/>
  </r>
  <r>
    <s v="24.01.2023"/>
    <s v="FIO0010209"/>
    <s v="BV"/>
    <m/>
    <x v="475"/>
    <n v="0"/>
    <n v="2300"/>
    <n v="2300"/>
    <n v="2021"/>
    <x v="2"/>
    <x v="15"/>
    <x v="11"/>
    <x v="11"/>
  </r>
  <r>
    <s v="25.01.2023"/>
    <s v="FIO0010212"/>
    <s v="BV"/>
    <m/>
    <x v="476"/>
    <n v="0"/>
    <n v="2300"/>
    <n v="2300"/>
    <n v="2021"/>
    <x v="2"/>
    <x v="15"/>
    <x v="11"/>
    <x v="11"/>
  </r>
  <r>
    <s v="30.01.2023"/>
    <s v="FIO0010238"/>
    <s v="BV"/>
    <m/>
    <x v="68"/>
    <n v="0"/>
    <n v="2300"/>
    <n v="2300"/>
    <n v="2021"/>
    <x v="2"/>
    <x v="15"/>
    <x v="11"/>
    <x v="11"/>
  </r>
  <r>
    <s v="14.09.2023"/>
    <s v="FIO0090080"/>
    <s v="BV"/>
    <m/>
    <x v="472"/>
    <n v="0"/>
    <n v="5300"/>
    <n v="5300"/>
    <n v="2021"/>
    <x v="2"/>
    <x v="15"/>
    <x v="11"/>
    <x v="11"/>
  </r>
  <r>
    <s v="16.09.2023"/>
    <s v="FIO0090109"/>
    <s v="BV"/>
    <m/>
    <x v="477"/>
    <n v="0"/>
    <n v="2650"/>
    <n v="2650"/>
    <n v="2021"/>
    <x v="2"/>
    <x v="15"/>
    <x v="11"/>
    <x v="11"/>
  </r>
  <r>
    <s v="19.09.2023"/>
    <s v="FIO0090136"/>
    <s v="BV"/>
    <m/>
    <x v="478"/>
    <n v="0"/>
    <n v="2650"/>
    <n v="2650"/>
    <n v="2021"/>
    <x v="2"/>
    <x v="15"/>
    <x v="11"/>
    <x v="11"/>
  </r>
  <r>
    <s v="20.09.2023"/>
    <s v="FIO0090155"/>
    <s v="BV"/>
    <m/>
    <x v="479"/>
    <n v="0"/>
    <n v="2650"/>
    <n v="2650"/>
    <n v="2021"/>
    <x v="2"/>
    <x v="15"/>
    <x v="11"/>
    <x v="11"/>
  </r>
  <r>
    <s v="25.09.2023"/>
    <s v="FIO0090198"/>
    <s v="BV"/>
    <m/>
    <x v="480"/>
    <n v="0"/>
    <n v="2650"/>
    <n v="2650"/>
    <n v="2021"/>
    <x v="2"/>
    <x v="15"/>
    <x v="11"/>
    <x v="11"/>
  </r>
  <r>
    <s v="28.09.2023"/>
    <s v="FIO0090249"/>
    <s v="BV"/>
    <m/>
    <x v="68"/>
    <n v="0"/>
    <n v="2650"/>
    <n v="2650"/>
    <n v="2021"/>
    <x v="2"/>
    <x v="15"/>
    <x v="11"/>
    <x v="11"/>
  </r>
  <r>
    <s v="29.09.2023"/>
    <s v="FIO0090261"/>
    <s v="BV"/>
    <m/>
    <x v="481"/>
    <n v="0"/>
    <n v="2650"/>
    <n v="2650"/>
    <n v="2021"/>
    <x v="2"/>
    <x v="15"/>
    <x v="11"/>
    <x v="11"/>
  </r>
  <r>
    <s v="30.09.2023"/>
    <s v="D 2301003"/>
    <s v="IN"/>
    <m/>
    <x v="53"/>
    <n v="0"/>
    <n v="8003.2699999999995"/>
    <n v="8003.2699999999995"/>
    <n v="2021"/>
    <x v="2"/>
    <x v="15"/>
    <x v="11"/>
    <x v="11"/>
  </r>
  <r>
    <s v="30.09.2023"/>
    <s v="FIO0090270"/>
    <s v="BV"/>
    <m/>
    <x v="482"/>
    <n v="0"/>
    <n v="2650"/>
    <n v="2650"/>
    <n v="2021"/>
    <x v="2"/>
    <x v="15"/>
    <x v="11"/>
    <x v="11"/>
  </r>
  <r>
    <s v="30.09.2023"/>
    <s v="FIO0090271"/>
    <s v="BV"/>
    <m/>
    <x v="483"/>
    <n v="0"/>
    <n v="2650"/>
    <n v="2650"/>
    <n v="2021"/>
    <x v="2"/>
    <x v="15"/>
    <x v="11"/>
    <x v="11"/>
  </r>
  <r>
    <s v="02.10.2023"/>
    <s v="FIO0100012"/>
    <s v="BV"/>
    <m/>
    <x v="484"/>
    <n v="0"/>
    <n v="5300"/>
    <n v="5300"/>
    <n v="2021"/>
    <x v="2"/>
    <x v="15"/>
    <x v="11"/>
    <x v="11"/>
  </r>
  <r>
    <s v="09.10.2023"/>
    <s v="FIO0100080"/>
    <s v="BV"/>
    <m/>
    <x v="485"/>
    <n v="0"/>
    <n v="2650"/>
    <n v="2650"/>
    <n v="2021"/>
    <x v="2"/>
    <x v="15"/>
    <x v="11"/>
    <x v="11"/>
  </r>
  <r>
    <s v="16.10.2023"/>
    <s v="FIO0100146"/>
    <s v="BV"/>
    <m/>
    <x v="486"/>
    <n v="0"/>
    <n v="5300"/>
    <n v="5300"/>
    <n v="2021"/>
    <x v="2"/>
    <x v="15"/>
    <x v="11"/>
    <x v="11"/>
  </r>
  <r>
    <s v="17.10.2023"/>
    <s v="FIO0100157"/>
    <s v="BV"/>
    <m/>
    <x v="487"/>
    <n v="0"/>
    <n v="2650"/>
    <n v="2650"/>
    <n v="2021"/>
    <x v="2"/>
    <x v="15"/>
    <x v="11"/>
    <x v="11"/>
  </r>
  <r>
    <s v="09.11.2023"/>
    <s v="FIO0110068"/>
    <s v="BV"/>
    <m/>
    <x v="488"/>
    <n v="0"/>
    <n v="2650"/>
    <n v="2650"/>
    <n v="2021"/>
    <x v="2"/>
    <x v="15"/>
    <x v="11"/>
    <x v="11"/>
  </r>
  <r>
    <s v="31.12.2023"/>
    <s v="D čl.p"/>
    <s v="IN"/>
    <m/>
    <x v="81"/>
    <n v="0"/>
    <n v="-9127.7800000000007"/>
    <n v="-9127.7800000000007"/>
    <n v="2021"/>
    <x v="2"/>
    <x v="15"/>
    <x v="11"/>
    <x v="11"/>
  </r>
  <r>
    <s v="25.04.2023"/>
    <s v="PF 2304005"/>
    <s v="FP"/>
    <s v="Bulldogs Brno"/>
    <x v="237"/>
    <n v="5000"/>
    <n v="0"/>
    <n v="-5000"/>
    <n v="2031"/>
    <x v="2"/>
    <x v="6"/>
    <x v="12"/>
    <x v="12"/>
  </r>
  <r>
    <s v="09.08.2023"/>
    <s v="PF 2308017"/>
    <s v="FP"/>
    <s v="AC Sparta Praha - florbal, z. s."/>
    <x v="489"/>
    <n v="5850"/>
    <n v="0"/>
    <n v="-5850"/>
    <n v="2031"/>
    <x v="2"/>
    <x v="6"/>
    <x v="12"/>
    <x v="12"/>
  </r>
  <r>
    <s v="12.03.2023"/>
    <s v="PF 2303008"/>
    <s v="FP"/>
    <s v="FBC Přerov, z.s."/>
    <x v="490"/>
    <n v="2600"/>
    <n v="0"/>
    <n v="-2600"/>
    <n v="2031"/>
    <x v="2"/>
    <x v="7"/>
    <x v="12"/>
    <x v="12"/>
  </r>
  <r>
    <s v="28.03.2023"/>
    <s v="PF 2303014"/>
    <s v="FP"/>
    <s v="Synex Group DC s.r.o."/>
    <x v="490"/>
    <n v="3000"/>
    <n v="0"/>
    <n v="-3000"/>
    <n v="2031"/>
    <x v="2"/>
    <x v="7"/>
    <x v="12"/>
    <x v="12"/>
  </r>
  <r>
    <s v="31.12.2023"/>
    <s v="D haly stř"/>
    <s v="IN"/>
    <m/>
    <x v="31"/>
    <n v="137238.04"/>
    <n v="0"/>
    <n v="-137238.04"/>
    <n v="2031"/>
    <x v="2"/>
    <x v="7"/>
    <x v="12"/>
    <x v="12"/>
  </r>
  <r>
    <s v="29.04.2023"/>
    <s v="PF 2304026"/>
    <s v="FP"/>
    <s v="CZECHOTEL s.r.o."/>
    <x v="491"/>
    <n v="10000"/>
    <n v="0"/>
    <n v="-10000"/>
    <n v="2031"/>
    <x v="2"/>
    <x v="8"/>
    <x v="12"/>
    <x v="12"/>
  </r>
  <r>
    <s v="30.08.2023"/>
    <s v="PF 2308012"/>
    <s v="FP"/>
    <s v="Fbc  Šternberk, z. s."/>
    <x v="33"/>
    <n v="5000"/>
    <n v="0"/>
    <n v="-5000"/>
    <n v="2031"/>
    <x v="2"/>
    <x v="9"/>
    <x v="12"/>
    <x v="12"/>
  </r>
  <r>
    <s v="08.01.2023"/>
    <s v="D 2301008"/>
    <s v="IN"/>
    <m/>
    <x v="492"/>
    <n v="1800"/>
    <n v="0"/>
    <n v="-1800"/>
    <n v="2031"/>
    <x v="2"/>
    <x v="10"/>
    <x v="12"/>
    <x v="12"/>
  </r>
  <r>
    <s v="23.03.2023"/>
    <s v="D 2303013"/>
    <s v="IN"/>
    <m/>
    <x v="493"/>
    <n v="1735"/>
    <n v="0"/>
    <n v="-1735"/>
    <n v="2031"/>
    <x v="2"/>
    <x v="10"/>
    <x v="12"/>
    <x v="12"/>
  </r>
  <r>
    <s v="08.10.2023"/>
    <s v="D 2310003"/>
    <s v="IN"/>
    <m/>
    <x v="492"/>
    <n v="2670"/>
    <n v="0"/>
    <n v="-2670"/>
    <n v="2031"/>
    <x v="2"/>
    <x v="10"/>
    <x v="12"/>
    <x v="12"/>
  </r>
  <r>
    <s v="31.12.2023"/>
    <s v="VL stř"/>
    <s v="IN"/>
    <m/>
    <x v="12"/>
    <n v="17970"/>
    <n v="0"/>
    <n v="-17970"/>
    <n v="2031"/>
    <x v="2"/>
    <x v="0"/>
    <x v="12"/>
    <x v="12"/>
  </r>
  <r>
    <s v="30.09.2023"/>
    <s v="D 2309011"/>
    <s v="IN"/>
    <m/>
    <x v="494"/>
    <n v="0"/>
    <n v="37700"/>
    <n v="37700"/>
    <n v="2031"/>
    <x v="2"/>
    <x v="14"/>
    <x v="12"/>
    <x v="12"/>
  </r>
  <r>
    <s v="10.01.2023"/>
    <s v="FIO0010065"/>
    <s v="BV"/>
    <m/>
    <x v="495"/>
    <n v="0"/>
    <n v="4600"/>
    <n v="4600"/>
    <n v="2031"/>
    <x v="2"/>
    <x v="15"/>
    <x v="12"/>
    <x v="12"/>
  </r>
  <r>
    <s v="15.01.2023"/>
    <s v="FIO0010138"/>
    <s v="BV"/>
    <m/>
    <x v="496"/>
    <n v="0"/>
    <n v="4600"/>
    <n v="4600"/>
    <n v="2031"/>
    <x v="2"/>
    <x v="15"/>
    <x v="12"/>
    <x v="12"/>
  </r>
  <r>
    <s v="23.01.2023"/>
    <s v="FIO0010191"/>
    <s v="BV"/>
    <m/>
    <x v="497"/>
    <n v="0"/>
    <n v="4600"/>
    <n v="4600"/>
    <n v="2031"/>
    <x v="2"/>
    <x v="15"/>
    <x v="12"/>
    <x v="12"/>
  </r>
  <r>
    <s v="25.01.2023"/>
    <s v="FIO0010211"/>
    <s v="BV"/>
    <m/>
    <x v="68"/>
    <n v="0"/>
    <n v="4600"/>
    <n v="4600"/>
    <n v="2031"/>
    <x v="2"/>
    <x v="15"/>
    <x v="12"/>
    <x v="12"/>
  </r>
  <r>
    <s v="27.01.2023"/>
    <s v="FIO0010223"/>
    <s v="BV"/>
    <m/>
    <x v="498"/>
    <n v="0"/>
    <n v="4600"/>
    <n v="4600"/>
    <n v="2031"/>
    <x v="2"/>
    <x v="15"/>
    <x v="12"/>
    <x v="12"/>
  </r>
  <r>
    <s v="30.01.2023"/>
    <s v="FIO0010234"/>
    <s v="BV"/>
    <m/>
    <x v="499"/>
    <n v="0"/>
    <n v="4600"/>
    <n v="4600"/>
    <n v="2031"/>
    <x v="2"/>
    <x v="15"/>
    <x v="12"/>
    <x v="12"/>
  </r>
  <r>
    <s v="31.01.2023"/>
    <s v="FIO0010270"/>
    <s v="BV"/>
    <m/>
    <x v="500"/>
    <n v="0"/>
    <n v="2300"/>
    <n v="2300"/>
    <n v="2031"/>
    <x v="2"/>
    <x v="15"/>
    <x v="12"/>
    <x v="12"/>
  </r>
  <r>
    <s v="31.01.2023"/>
    <s v="FIO0010277"/>
    <s v="BV"/>
    <m/>
    <x v="501"/>
    <n v="0"/>
    <n v="2300"/>
    <n v="2300"/>
    <n v="2031"/>
    <x v="2"/>
    <x v="15"/>
    <x v="12"/>
    <x v="12"/>
  </r>
  <r>
    <s v="31.01.2023"/>
    <s v="FIO0010280"/>
    <s v="BV"/>
    <m/>
    <x v="68"/>
    <n v="0"/>
    <n v="2300"/>
    <n v="2300"/>
    <n v="2031"/>
    <x v="2"/>
    <x v="15"/>
    <x v="12"/>
    <x v="12"/>
  </r>
  <r>
    <s v="06.02.2023"/>
    <s v="FIO0020019"/>
    <s v="BV"/>
    <m/>
    <x v="502"/>
    <n v="0"/>
    <n v="4600"/>
    <n v="4600"/>
    <n v="2031"/>
    <x v="2"/>
    <x v="15"/>
    <x v="12"/>
    <x v="12"/>
  </r>
  <r>
    <s v="10.02.2023"/>
    <s v="FIO0020064"/>
    <s v="BV"/>
    <m/>
    <x v="503"/>
    <n v="0"/>
    <n v="4600"/>
    <n v="4600"/>
    <n v="2031"/>
    <x v="2"/>
    <x v="15"/>
    <x v="12"/>
    <x v="12"/>
  </r>
  <r>
    <s v="14.02.2023"/>
    <s v="FIO0020077"/>
    <s v="BV"/>
    <m/>
    <x v="504"/>
    <n v="0"/>
    <n v="4600"/>
    <n v="4600"/>
    <n v="2031"/>
    <x v="2"/>
    <x v="15"/>
    <x v="12"/>
    <x v="12"/>
  </r>
  <r>
    <s v="01.03.2023"/>
    <s v="FIO0030002"/>
    <s v="BV"/>
    <m/>
    <x v="505"/>
    <n v="0"/>
    <n v="4600"/>
    <n v="4600"/>
    <n v="2031"/>
    <x v="2"/>
    <x v="15"/>
    <x v="12"/>
    <x v="12"/>
  </r>
  <r>
    <s v="24.04.2023"/>
    <s v="FIO0040119"/>
    <s v="BV"/>
    <m/>
    <x v="506"/>
    <n v="0"/>
    <n v="2300"/>
    <n v="2300"/>
    <n v="2031"/>
    <x v="2"/>
    <x v="15"/>
    <x v="12"/>
    <x v="12"/>
  </r>
  <r>
    <s v="13.09.2023"/>
    <s v="FIO0090059"/>
    <s v="BV"/>
    <m/>
    <x v="507"/>
    <n v="0"/>
    <n v="2650"/>
    <n v="2650"/>
    <n v="2031"/>
    <x v="2"/>
    <x v="15"/>
    <x v="12"/>
    <x v="12"/>
  </r>
  <r>
    <s v="13.09.2023"/>
    <s v="FIO0090067"/>
    <s v="BV"/>
    <m/>
    <x v="508"/>
    <n v="0"/>
    <n v="5300"/>
    <n v="5300"/>
    <n v="2031"/>
    <x v="2"/>
    <x v="15"/>
    <x v="12"/>
    <x v="12"/>
  </r>
  <r>
    <s v="13.09.2023"/>
    <s v="FIO0090072"/>
    <s v="BV"/>
    <m/>
    <x v="509"/>
    <n v="0"/>
    <n v="5300"/>
    <n v="5300"/>
    <n v="2031"/>
    <x v="2"/>
    <x v="15"/>
    <x v="12"/>
    <x v="12"/>
  </r>
  <r>
    <s v="15.09.2023"/>
    <s v="FIO0090097"/>
    <s v="BV"/>
    <m/>
    <x v="510"/>
    <n v="0"/>
    <n v="5300"/>
    <n v="5300"/>
    <n v="2031"/>
    <x v="2"/>
    <x v="15"/>
    <x v="12"/>
    <x v="12"/>
  </r>
  <r>
    <s v="19.09.2023"/>
    <s v="FIO0090124"/>
    <s v="BV"/>
    <m/>
    <x v="68"/>
    <n v="0"/>
    <n v="5300"/>
    <n v="5300"/>
    <n v="2031"/>
    <x v="2"/>
    <x v="15"/>
    <x v="12"/>
    <x v="12"/>
  </r>
  <r>
    <s v="21.09.2023"/>
    <s v="FIO0090164"/>
    <s v="BV"/>
    <m/>
    <x v="68"/>
    <n v="0"/>
    <n v="5300"/>
    <n v="5300"/>
    <n v="2031"/>
    <x v="2"/>
    <x v="15"/>
    <x v="12"/>
    <x v="12"/>
  </r>
  <r>
    <s v="22.09.2023"/>
    <s v="FIO0090177"/>
    <s v="BV"/>
    <m/>
    <x v="511"/>
    <n v="0"/>
    <n v="5300"/>
    <n v="5300"/>
    <n v="2031"/>
    <x v="2"/>
    <x v="15"/>
    <x v="12"/>
    <x v="12"/>
  </r>
  <r>
    <s v="29.09.2023"/>
    <s v="FIO0090265"/>
    <s v="BV"/>
    <m/>
    <x v="512"/>
    <n v="0"/>
    <n v="5300"/>
    <n v="5300"/>
    <n v="2031"/>
    <x v="2"/>
    <x v="15"/>
    <x v="12"/>
    <x v="12"/>
  </r>
  <r>
    <s v="30.09.2023"/>
    <s v="D 2301003"/>
    <s v="IN"/>
    <m/>
    <x v="53"/>
    <n v="0"/>
    <n v="8003.2699999999995"/>
    <n v="8003.2699999999995"/>
    <n v="2031"/>
    <x v="2"/>
    <x v="15"/>
    <x v="12"/>
    <x v="12"/>
  </r>
  <r>
    <s v="02.10.2023"/>
    <s v="FIO0100005"/>
    <s v="BV"/>
    <m/>
    <x v="513"/>
    <n v="0"/>
    <n v="5300"/>
    <n v="5300"/>
    <n v="2031"/>
    <x v="2"/>
    <x v="15"/>
    <x v="12"/>
    <x v="12"/>
  </r>
  <r>
    <s v="04.10.2023"/>
    <s v="FIO0100041"/>
    <s v="BV"/>
    <m/>
    <x v="507"/>
    <n v="0"/>
    <n v="2650"/>
    <n v="2650"/>
    <n v="2031"/>
    <x v="2"/>
    <x v="15"/>
    <x v="12"/>
    <x v="12"/>
  </r>
  <r>
    <s v="05.10.2023"/>
    <s v="FIO0100045"/>
    <s v="BV"/>
    <m/>
    <x v="514"/>
    <n v="0"/>
    <n v="5300"/>
    <n v="5300"/>
    <n v="2031"/>
    <x v="2"/>
    <x v="15"/>
    <x v="12"/>
    <x v="12"/>
  </r>
  <r>
    <s v="11.10.2023"/>
    <s v="FIO0100094"/>
    <s v="BV"/>
    <m/>
    <x v="515"/>
    <n v="0"/>
    <n v="5300"/>
    <n v="5300"/>
    <n v="2031"/>
    <x v="2"/>
    <x v="15"/>
    <x v="12"/>
    <x v="12"/>
  </r>
  <r>
    <s v="16.10.2023"/>
    <s v="FIO0100150"/>
    <s v="BV"/>
    <m/>
    <x v="516"/>
    <n v="0"/>
    <n v="5300"/>
    <n v="5300"/>
    <n v="2031"/>
    <x v="2"/>
    <x v="15"/>
    <x v="12"/>
    <x v="12"/>
  </r>
  <r>
    <s v="31.12.2023"/>
    <s v="D čl.p"/>
    <s v="IN"/>
    <m/>
    <x v="81"/>
    <n v="0"/>
    <n v="-12886.27"/>
    <n v="-12886.27"/>
    <n v="2031"/>
    <x v="2"/>
    <x v="15"/>
    <x v="12"/>
    <x v="12"/>
  </r>
  <r>
    <s v="31.05.2023"/>
    <s v="D 2305004"/>
    <s v="IN"/>
    <m/>
    <x v="517"/>
    <n v="34661"/>
    <n v="0"/>
    <n v="-34661"/>
    <n v="2041"/>
    <x v="2"/>
    <x v="20"/>
    <x v="13"/>
    <x v="13"/>
  </r>
  <r>
    <s v="31.12.2023"/>
    <s v="D haly stř"/>
    <s v="IN"/>
    <m/>
    <x v="31"/>
    <n v="66876.429999999993"/>
    <n v="0"/>
    <n v="-66876.429999999993"/>
    <n v="2041"/>
    <x v="2"/>
    <x v="7"/>
    <x v="13"/>
    <x v="13"/>
  </r>
  <r>
    <s v="14.01.2023"/>
    <s v="D 2301009"/>
    <s v="IN"/>
    <m/>
    <x v="518"/>
    <n v="2025"/>
    <n v="0"/>
    <n v="-2025"/>
    <n v="2041"/>
    <x v="2"/>
    <x v="10"/>
    <x v="13"/>
    <x v="13"/>
  </r>
  <r>
    <s v="22.04.2023"/>
    <s v="D 2304006"/>
    <s v="IN"/>
    <m/>
    <x v="518"/>
    <n v="3600"/>
    <n v="0"/>
    <n v="-3600"/>
    <n v="2041"/>
    <x v="2"/>
    <x v="10"/>
    <x v="13"/>
    <x v="13"/>
  </r>
  <r>
    <s v="15.10.2023"/>
    <s v="D 2310008"/>
    <s v="IN"/>
    <m/>
    <x v="518"/>
    <n v="3180"/>
    <n v="0"/>
    <n v="-3180"/>
    <n v="2041"/>
    <x v="2"/>
    <x v="10"/>
    <x v="13"/>
    <x v="13"/>
  </r>
  <r>
    <s v="31.12.2023"/>
    <s v="VL stř"/>
    <s v="IN"/>
    <m/>
    <x v="12"/>
    <n v="21550"/>
    <n v="0"/>
    <n v="-21550"/>
    <n v="2041"/>
    <x v="2"/>
    <x v="0"/>
    <x v="13"/>
    <x v="13"/>
  </r>
  <r>
    <s v="05.01.2023"/>
    <s v="FIO0010023"/>
    <s v="BV"/>
    <m/>
    <x v="519"/>
    <n v="0"/>
    <n v="4600"/>
    <n v="4600"/>
    <n v="2041"/>
    <x v="2"/>
    <x v="15"/>
    <x v="13"/>
    <x v="13"/>
  </r>
  <r>
    <s v="06.01.2023"/>
    <s v="FIO0010034"/>
    <s v="BV"/>
    <m/>
    <x v="520"/>
    <n v="0"/>
    <n v="4600"/>
    <n v="4600"/>
    <n v="2041"/>
    <x v="2"/>
    <x v="15"/>
    <x v="13"/>
    <x v="13"/>
  </r>
  <r>
    <s v="06.01.2023"/>
    <s v="FIO0010045"/>
    <s v="BV"/>
    <m/>
    <x v="521"/>
    <n v="0"/>
    <n v="4600"/>
    <n v="4600"/>
    <n v="2041"/>
    <x v="2"/>
    <x v="15"/>
    <x v="13"/>
    <x v="13"/>
  </r>
  <r>
    <s v="10.01.2023"/>
    <s v="FIO0010080"/>
    <s v="BV"/>
    <m/>
    <x v="522"/>
    <n v="0"/>
    <n v="4600"/>
    <n v="4600"/>
    <n v="2041"/>
    <x v="2"/>
    <x v="15"/>
    <x v="13"/>
    <x v="13"/>
  </r>
  <r>
    <s v="14.01.2023"/>
    <s v="FIO0010136"/>
    <s v="BV"/>
    <m/>
    <x v="523"/>
    <n v="0"/>
    <n v="4600"/>
    <n v="4600"/>
    <n v="2041"/>
    <x v="2"/>
    <x v="15"/>
    <x v="13"/>
    <x v="13"/>
  </r>
  <r>
    <s v="14.01.2023"/>
    <s v="FIO0010137"/>
    <s v="BV"/>
    <m/>
    <x v="524"/>
    <n v="0"/>
    <n v="4600"/>
    <n v="4600"/>
    <n v="2041"/>
    <x v="2"/>
    <x v="15"/>
    <x v="13"/>
    <x v="13"/>
  </r>
  <r>
    <s v="18.01.2023"/>
    <s v="FIO0010179"/>
    <s v="BV"/>
    <m/>
    <x v="525"/>
    <n v="0"/>
    <n v="-2400"/>
    <n v="-2400"/>
    <n v="2041"/>
    <x v="2"/>
    <x v="15"/>
    <x v="13"/>
    <x v="13"/>
  </r>
  <r>
    <s v="19.01.2023"/>
    <s v="FIO0010182"/>
    <s v="BV"/>
    <m/>
    <x v="526"/>
    <n v="0"/>
    <n v="4600"/>
    <n v="4600"/>
    <n v="2041"/>
    <x v="2"/>
    <x v="15"/>
    <x v="13"/>
    <x v="13"/>
  </r>
  <r>
    <s v="23.01.2023"/>
    <s v="VF2302001"/>
    <s v="FV"/>
    <s v="Základní škola a Mateřská škola Olomouc, Svatoplukova 11, příspěvková organizace"/>
    <x v="527"/>
    <n v="0"/>
    <n v="4600"/>
    <n v="4600"/>
    <n v="2041"/>
    <x v="2"/>
    <x v="15"/>
    <x v="13"/>
    <x v="13"/>
  </r>
  <r>
    <s v="30.01.2023"/>
    <s v="FIO0010240"/>
    <s v="BV"/>
    <m/>
    <x v="528"/>
    <n v="0"/>
    <n v="4600"/>
    <n v="4600"/>
    <n v="2041"/>
    <x v="2"/>
    <x v="15"/>
    <x v="13"/>
    <x v="13"/>
  </r>
  <r>
    <s v="30.01.2023"/>
    <s v="FIO0010241"/>
    <s v="BV"/>
    <m/>
    <x v="529"/>
    <n v="0"/>
    <n v="2300"/>
    <n v="2300"/>
    <n v="2041"/>
    <x v="2"/>
    <x v="15"/>
    <x v="13"/>
    <x v="13"/>
  </r>
  <r>
    <s v="30.01.2023"/>
    <s v="FIO0010243"/>
    <s v="BV"/>
    <m/>
    <x v="530"/>
    <n v="0"/>
    <n v="4600"/>
    <n v="4600"/>
    <n v="2041"/>
    <x v="2"/>
    <x v="15"/>
    <x v="13"/>
    <x v="13"/>
  </r>
  <r>
    <s v="30.01.2023"/>
    <s v="FIO0010245"/>
    <s v="BV"/>
    <m/>
    <x v="531"/>
    <n v="0"/>
    <n v="4600"/>
    <n v="4600"/>
    <n v="2041"/>
    <x v="2"/>
    <x v="15"/>
    <x v="13"/>
    <x v="13"/>
  </r>
  <r>
    <s v="31.01.2023"/>
    <s v="FIO0010272"/>
    <s v="BV"/>
    <m/>
    <x v="68"/>
    <n v="0"/>
    <n v="4600"/>
    <n v="4600"/>
    <n v="2041"/>
    <x v="2"/>
    <x v="15"/>
    <x v="13"/>
    <x v="13"/>
  </r>
  <r>
    <s v="31.01.2023"/>
    <s v="FIO0010274"/>
    <s v="BV"/>
    <m/>
    <x v="68"/>
    <n v="0"/>
    <n v="4600"/>
    <n v="4600"/>
    <n v="2041"/>
    <x v="2"/>
    <x v="15"/>
    <x v="13"/>
    <x v="13"/>
  </r>
  <r>
    <s v="31.01.2023"/>
    <s v="FIO0010278"/>
    <s v="BV"/>
    <m/>
    <x v="68"/>
    <n v="0"/>
    <n v="4600"/>
    <n v="4600"/>
    <n v="2041"/>
    <x v="2"/>
    <x v="15"/>
    <x v="13"/>
    <x v="13"/>
  </r>
  <r>
    <s v="01.02.2023"/>
    <s v="FIO0020003"/>
    <s v="BV"/>
    <m/>
    <x v="532"/>
    <n v="0"/>
    <n v="4600"/>
    <n v="4600"/>
    <n v="2041"/>
    <x v="2"/>
    <x v="15"/>
    <x v="13"/>
    <x v="13"/>
  </r>
  <r>
    <s v="01.02.2023"/>
    <s v="FIO0020007"/>
    <s v="BV"/>
    <m/>
    <x v="512"/>
    <n v="0"/>
    <n v="4600"/>
    <n v="4600"/>
    <n v="2041"/>
    <x v="2"/>
    <x v="15"/>
    <x v="13"/>
    <x v="13"/>
  </r>
  <r>
    <s v="13.09.2023"/>
    <s v="FIO0090057"/>
    <s v="BV"/>
    <m/>
    <x v="68"/>
    <n v="0"/>
    <n v="5300"/>
    <n v="5300"/>
    <n v="2041"/>
    <x v="2"/>
    <x v="15"/>
    <x v="13"/>
    <x v="13"/>
  </r>
  <r>
    <s v="14.09.2023"/>
    <s v="FIO0090079"/>
    <s v="BV"/>
    <m/>
    <x v="533"/>
    <n v="0"/>
    <n v="5300"/>
    <n v="5300"/>
    <n v="2041"/>
    <x v="2"/>
    <x v="15"/>
    <x v="13"/>
    <x v="13"/>
  </r>
  <r>
    <s v="14.09.2023"/>
    <s v="FIO0090087"/>
    <s v="BV"/>
    <m/>
    <x v="534"/>
    <n v="0"/>
    <n v="5300"/>
    <n v="5300"/>
    <n v="2041"/>
    <x v="2"/>
    <x v="15"/>
    <x v="13"/>
    <x v="13"/>
  </r>
  <r>
    <s v="14.09.2023"/>
    <s v="FIO0090093"/>
    <s v="BV"/>
    <m/>
    <x v="535"/>
    <n v="0"/>
    <n v="5300"/>
    <n v="5300"/>
    <n v="2041"/>
    <x v="2"/>
    <x v="15"/>
    <x v="13"/>
    <x v="13"/>
  </r>
  <r>
    <s v="19.09.2023"/>
    <s v="FIO0090132"/>
    <s v="BV"/>
    <m/>
    <x v="526"/>
    <n v="0"/>
    <n v="5300"/>
    <n v="5300"/>
    <n v="2041"/>
    <x v="2"/>
    <x v="15"/>
    <x v="13"/>
    <x v="13"/>
  </r>
  <r>
    <s v="24.09.2023"/>
    <s v="FIO0090181"/>
    <s v="BV"/>
    <m/>
    <x v="536"/>
    <n v="0"/>
    <n v="5300"/>
    <n v="5300"/>
    <n v="2041"/>
    <x v="2"/>
    <x v="15"/>
    <x v="13"/>
    <x v="13"/>
  </r>
  <r>
    <s v="24.09.2023"/>
    <s v="FIO0090184"/>
    <s v="BV"/>
    <m/>
    <x v="537"/>
    <n v="0"/>
    <n v="5300"/>
    <n v="5300"/>
    <n v="2041"/>
    <x v="2"/>
    <x v="15"/>
    <x v="13"/>
    <x v="13"/>
  </r>
  <r>
    <s v="25.09.2023"/>
    <s v="FIO0090191"/>
    <s v="BV"/>
    <m/>
    <x v="538"/>
    <n v="0"/>
    <n v="5300"/>
    <n v="5300"/>
    <n v="2041"/>
    <x v="2"/>
    <x v="15"/>
    <x v="13"/>
    <x v="13"/>
  </r>
  <r>
    <s v="29.09.2023"/>
    <s v="FIO0090262"/>
    <s v="BV"/>
    <m/>
    <x v="539"/>
    <n v="0"/>
    <n v="5300"/>
    <n v="5300"/>
    <n v="2041"/>
    <x v="2"/>
    <x v="15"/>
    <x v="13"/>
    <x v="13"/>
  </r>
  <r>
    <s v="29.09.2023"/>
    <s v="FIO0090269"/>
    <s v="BV"/>
    <m/>
    <x v="68"/>
    <n v="0"/>
    <n v="5300"/>
    <n v="5300"/>
    <n v="2041"/>
    <x v="2"/>
    <x v="15"/>
    <x v="13"/>
    <x v="13"/>
  </r>
  <r>
    <s v="30.09.2023"/>
    <s v="D 2301003"/>
    <s v="IN"/>
    <m/>
    <x v="53"/>
    <n v="0"/>
    <n v="17603.14"/>
    <n v="17603.14"/>
    <n v="2041"/>
    <x v="2"/>
    <x v="15"/>
    <x v="13"/>
    <x v="13"/>
  </r>
  <r>
    <s v="30.09.2023"/>
    <s v="FIO0090273"/>
    <s v="BV"/>
    <m/>
    <x v="540"/>
    <n v="0"/>
    <n v="5300"/>
    <n v="5300"/>
    <n v="2041"/>
    <x v="2"/>
    <x v="15"/>
    <x v="13"/>
    <x v="13"/>
  </r>
  <r>
    <s v="30.09.2023"/>
    <s v="FIO0090274"/>
    <s v="BV"/>
    <m/>
    <x v="68"/>
    <n v="0"/>
    <n v="5300"/>
    <n v="5300"/>
    <n v="2041"/>
    <x v="2"/>
    <x v="15"/>
    <x v="13"/>
    <x v="13"/>
  </r>
  <r>
    <s v="01.10.2023"/>
    <s v="FIO0100001"/>
    <s v="BV"/>
    <m/>
    <x v="541"/>
    <n v="0"/>
    <n v="5300"/>
    <n v="5300"/>
    <n v="2041"/>
    <x v="2"/>
    <x v="15"/>
    <x v="13"/>
    <x v="13"/>
  </r>
  <r>
    <s v="03.10.2023"/>
    <s v="FIO0100016"/>
    <s v="BV"/>
    <m/>
    <x v="542"/>
    <n v="0"/>
    <n v="2650"/>
    <n v="2650"/>
    <n v="2041"/>
    <x v="2"/>
    <x v="15"/>
    <x v="13"/>
    <x v="13"/>
  </r>
  <r>
    <s v="03.10.2023"/>
    <s v="FIO0100017"/>
    <s v="BV"/>
    <m/>
    <x v="543"/>
    <n v="0"/>
    <n v="5300"/>
    <n v="5300"/>
    <n v="2041"/>
    <x v="2"/>
    <x v="15"/>
    <x v="13"/>
    <x v="13"/>
  </r>
  <r>
    <s v="31.12.2023"/>
    <s v="D čl.p"/>
    <s v="IN"/>
    <m/>
    <x v="81"/>
    <n v="0"/>
    <n v="-15570.92"/>
    <n v="-15570.92"/>
    <n v="2041"/>
    <x v="2"/>
    <x v="15"/>
    <x v="13"/>
    <x v="13"/>
  </r>
  <r>
    <s v="31.12.2023"/>
    <s v="D haly stř"/>
    <s v="IN"/>
    <m/>
    <x v="31"/>
    <n v="82023.100000000006"/>
    <n v="0"/>
    <n v="-82023.100000000006"/>
    <n v="2051"/>
    <x v="2"/>
    <x v="7"/>
    <x v="14"/>
    <x v="14"/>
  </r>
  <r>
    <s v="05.02.2023"/>
    <s v="D 2302002"/>
    <s v="IN"/>
    <m/>
    <x v="544"/>
    <n v="1707"/>
    <n v="0"/>
    <n v="-1707"/>
    <n v="2051"/>
    <x v="2"/>
    <x v="10"/>
    <x v="14"/>
    <x v="14"/>
  </r>
  <r>
    <s v="01.10.2023"/>
    <s v="D 2310001"/>
    <s v="IN"/>
    <m/>
    <x v="545"/>
    <n v="1485"/>
    <n v="0"/>
    <n v="-1485"/>
    <n v="2051"/>
    <x v="2"/>
    <x v="10"/>
    <x v="14"/>
    <x v="14"/>
  </r>
  <r>
    <s v="12.11.2023"/>
    <s v="D 2311006"/>
    <s v="IN"/>
    <m/>
    <x v="545"/>
    <n v="1788"/>
    <n v="0"/>
    <n v="-1788"/>
    <n v="2051"/>
    <x v="2"/>
    <x v="10"/>
    <x v="14"/>
    <x v="14"/>
  </r>
  <r>
    <s v="31.12.2023"/>
    <s v="VL stř"/>
    <s v="IN"/>
    <m/>
    <x v="12"/>
    <n v="37740"/>
    <n v="0"/>
    <n v="-37740"/>
    <n v="2051"/>
    <x v="2"/>
    <x v="0"/>
    <x v="14"/>
    <x v="14"/>
  </r>
  <r>
    <s v="13.09.2023"/>
    <s v="FIO0090055"/>
    <s v="BV"/>
    <m/>
    <x v="546"/>
    <n v="0"/>
    <n v="5300"/>
    <n v="5300"/>
    <n v="2051"/>
    <x v="2"/>
    <x v="15"/>
    <x v="14"/>
    <x v="14"/>
  </r>
  <r>
    <s v="13.09.2023"/>
    <s v="FIO0090073"/>
    <s v="BV"/>
    <m/>
    <x v="547"/>
    <n v="0"/>
    <n v="5300"/>
    <n v="5300"/>
    <n v="2051"/>
    <x v="2"/>
    <x v="15"/>
    <x v="14"/>
    <x v="14"/>
  </r>
  <r>
    <s v="13.09.2023"/>
    <s v="FIO0090076"/>
    <s v="BV"/>
    <m/>
    <x v="548"/>
    <n v="0"/>
    <n v="5300"/>
    <n v="5300"/>
    <n v="2051"/>
    <x v="2"/>
    <x v="15"/>
    <x v="14"/>
    <x v="14"/>
  </r>
  <r>
    <s v="14.09.2023"/>
    <s v="FIO0090090"/>
    <s v="BV"/>
    <m/>
    <x v="549"/>
    <n v="0"/>
    <n v="5300"/>
    <n v="5300"/>
    <n v="2051"/>
    <x v="2"/>
    <x v="15"/>
    <x v="14"/>
    <x v="14"/>
  </r>
  <r>
    <s v="15.09.2023"/>
    <s v="FIO0090101"/>
    <s v="BV"/>
    <m/>
    <x v="550"/>
    <n v="0"/>
    <n v="5300"/>
    <n v="5300"/>
    <n v="2051"/>
    <x v="2"/>
    <x v="15"/>
    <x v="14"/>
    <x v="14"/>
  </r>
  <r>
    <s v="18.09.2023"/>
    <s v="FIO0090117"/>
    <s v="BV"/>
    <m/>
    <x v="551"/>
    <n v="0"/>
    <n v="2650"/>
    <n v="2650"/>
    <n v="2051"/>
    <x v="2"/>
    <x v="15"/>
    <x v="14"/>
    <x v="14"/>
  </r>
  <r>
    <s v="19.09.2023"/>
    <s v="FIO0090127"/>
    <s v="BV"/>
    <m/>
    <x v="552"/>
    <n v="0"/>
    <n v="5300"/>
    <n v="5300"/>
    <n v="2051"/>
    <x v="2"/>
    <x v="15"/>
    <x v="14"/>
    <x v="14"/>
  </r>
  <r>
    <s v="19.09.2023"/>
    <s v="FIO0090128"/>
    <s v="BV"/>
    <m/>
    <x v="68"/>
    <n v="0"/>
    <n v="2650"/>
    <n v="2650"/>
    <n v="2051"/>
    <x v="2"/>
    <x v="15"/>
    <x v="14"/>
    <x v="14"/>
  </r>
  <r>
    <s v="19.09.2023"/>
    <s v="FIO0090138"/>
    <s v="BV"/>
    <m/>
    <x v="553"/>
    <n v="0"/>
    <n v="5300"/>
    <n v="5300"/>
    <n v="2051"/>
    <x v="2"/>
    <x v="15"/>
    <x v="14"/>
    <x v="14"/>
  </r>
  <r>
    <s v="25.09.2023"/>
    <s v="FIO0090185"/>
    <s v="BV"/>
    <m/>
    <x v="554"/>
    <n v="0"/>
    <n v="5300"/>
    <n v="5300"/>
    <n v="2051"/>
    <x v="2"/>
    <x v="15"/>
    <x v="14"/>
    <x v="14"/>
  </r>
  <r>
    <s v="29.09.2023"/>
    <s v="FIO0090260"/>
    <s v="BV"/>
    <m/>
    <x v="555"/>
    <n v="0"/>
    <n v="5300"/>
    <n v="5300"/>
    <n v="2051"/>
    <x v="2"/>
    <x v="15"/>
    <x v="14"/>
    <x v="14"/>
  </r>
  <r>
    <s v="29.09.2023"/>
    <s v="FIO0090263"/>
    <s v="BV"/>
    <m/>
    <x v="556"/>
    <n v="0"/>
    <n v="5300"/>
    <n v="5300"/>
    <n v="2051"/>
    <x v="2"/>
    <x v="15"/>
    <x v="14"/>
    <x v="14"/>
  </r>
  <r>
    <s v="29.09.2023"/>
    <s v="FIO0090264"/>
    <s v="BV"/>
    <m/>
    <x v="557"/>
    <n v="0"/>
    <n v="5300"/>
    <n v="5300"/>
    <n v="2051"/>
    <x v="2"/>
    <x v="15"/>
    <x v="14"/>
    <x v="14"/>
  </r>
  <r>
    <s v="30.09.2023"/>
    <s v="D 2301003"/>
    <s v="IN"/>
    <m/>
    <x v="53"/>
    <n v="0"/>
    <n v="9354.7000000000007"/>
    <n v="9354.7000000000007"/>
    <n v="2051"/>
    <x v="2"/>
    <x v="15"/>
    <x v="14"/>
    <x v="14"/>
  </r>
  <r>
    <s v="31.12.2023"/>
    <s v="D čl.p"/>
    <s v="IN"/>
    <m/>
    <x v="81"/>
    <n v="0"/>
    <n v="-12886.27"/>
    <n v="-12886.27"/>
    <n v="2051"/>
    <x v="2"/>
    <x v="15"/>
    <x v="14"/>
    <x v="14"/>
  </r>
  <r>
    <s v="28.04.2023"/>
    <s v="PF 2304010"/>
    <s v="FP"/>
    <s v="SC Hattrick Brno Florbalová škola, z.s."/>
    <x v="167"/>
    <n v="2300"/>
    <n v="0"/>
    <n v="-2300"/>
    <n v="2061"/>
    <x v="2"/>
    <x v="6"/>
    <x v="15"/>
    <x v="15"/>
  </r>
  <r>
    <s v="31.12.2023"/>
    <s v="D haly stř"/>
    <s v="IN"/>
    <m/>
    <x v="31"/>
    <n v="22826.67"/>
    <n v="0"/>
    <n v="-22826.67"/>
    <n v="2061"/>
    <x v="2"/>
    <x v="7"/>
    <x v="15"/>
    <x v="15"/>
  </r>
  <r>
    <s v="26.02.2023"/>
    <s v="D 2302011"/>
    <s v="IN"/>
    <m/>
    <x v="558"/>
    <n v="1646"/>
    <n v="0"/>
    <n v="-1646"/>
    <n v="2061"/>
    <x v="2"/>
    <x v="10"/>
    <x v="15"/>
    <x v="15"/>
  </r>
  <r>
    <s v="06.01.2023"/>
    <s v="FIO0010040"/>
    <s v="BV"/>
    <m/>
    <x v="68"/>
    <n v="0"/>
    <n v="4000"/>
    <n v="4000"/>
    <n v="2061"/>
    <x v="2"/>
    <x v="15"/>
    <x v="15"/>
    <x v="15"/>
  </r>
  <r>
    <s v="09.01.2023"/>
    <s v="FIO0010053"/>
    <s v="BV"/>
    <m/>
    <x v="559"/>
    <n v="0"/>
    <n v="2000"/>
    <n v="2000"/>
    <n v="2061"/>
    <x v="2"/>
    <x v="15"/>
    <x v="15"/>
    <x v="15"/>
  </r>
  <r>
    <s v="09.01.2023"/>
    <s v="FIO0010056"/>
    <s v="BV"/>
    <m/>
    <x v="560"/>
    <n v="0"/>
    <n v="4000"/>
    <n v="4000"/>
    <n v="2061"/>
    <x v="2"/>
    <x v="15"/>
    <x v="15"/>
    <x v="15"/>
  </r>
  <r>
    <s v="12.01.2023"/>
    <s v="FIO0010121"/>
    <s v="BV"/>
    <m/>
    <x v="561"/>
    <n v="0"/>
    <n v="4000"/>
    <n v="4000"/>
    <n v="2061"/>
    <x v="2"/>
    <x v="15"/>
    <x v="15"/>
    <x v="15"/>
  </r>
  <r>
    <s v="13.01.2023"/>
    <s v="FIO0010125"/>
    <s v="BV"/>
    <m/>
    <x v="562"/>
    <n v="0"/>
    <n v="100"/>
    <n v="100"/>
    <n v="2061"/>
    <x v="2"/>
    <x v="15"/>
    <x v="15"/>
    <x v="15"/>
  </r>
  <r>
    <s v="13.01.2023"/>
    <s v="FIO0010126"/>
    <s v="BV"/>
    <m/>
    <x v="563"/>
    <n v="0"/>
    <n v="4000"/>
    <n v="4000"/>
    <n v="2061"/>
    <x v="2"/>
    <x v="15"/>
    <x v="15"/>
    <x v="15"/>
  </r>
  <r>
    <s v="13.01.2023"/>
    <s v="FIO0010131"/>
    <s v="BV"/>
    <m/>
    <x v="564"/>
    <n v="0"/>
    <n v="2000"/>
    <n v="2000"/>
    <n v="2061"/>
    <x v="2"/>
    <x v="15"/>
    <x v="15"/>
    <x v="15"/>
  </r>
  <r>
    <s v="13.01.2023"/>
    <s v="FIO0010132"/>
    <s v="BV"/>
    <m/>
    <x v="68"/>
    <n v="0"/>
    <n v="4000"/>
    <n v="4000"/>
    <n v="2061"/>
    <x v="2"/>
    <x v="15"/>
    <x v="15"/>
    <x v="15"/>
  </r>
  <r>
    <s v="16.01.2023"/>
    <s v="FIO0010139"/>
    <s v="BV"/>
    <m/>
    <x v="565"/>
    <n v="0"/>
    <n v="4000"/>
    <n v="4000"/>
    <n v="2061"/>
    <x v="2"/>
    <x v="15"/>
    <x v="15"/>
    <x v="15"/>
  </r>
  <r>
    <s v="16.01.2023"/>
    <s v="FIO0010142"/>
    <s v="BV"/>
    <m/>
    <x v="566"/>
    <n v="0"/>
    <n v="4000"/>
    <n v="4000"/>
    <n v="2061"/>
    <x v="2"/>
    <x v="15"/>
    <x v="15"/>
    <x v="15"/>
  </r>
  <r>
    <s v="17.01.2023"/>
    <s v="FIO0010168"/>
    <s v="BV"/>
    <m/>
    <x v="567"/>
    <n v="0"/>
    <n v="4000"/>
    <n v="4000"/>
    <n v="2061"/>
    <x v="2"/>
    <x v="15"/>
    <x v="15"/>
    <x v="15"/>
  </r>
  <r>
    <s v="18.01.2023"/>
    <s v="FIO0010175"/>
    <s v="BV"/>
    <m/>
    <x v="568"/>
    <n v="0"/>
    <n v="2000"/>
    <n v="2000"/>
    <n v="2061"/>
    <x v="2"/>
    <x v="15"/>
    <x v="15"/>
    <x v="15"/>
  </r>
  <r>
    <s v="19.01.2023"/>
    <s v="FIO0010183"/>
    <s v="BV"/>
    <m/>
    <x v="569"/>
    <n v="0"/>
    <n v="4000"/>
    <n v="4000"/>
    <n v="2061"/>
    <x v="2"/>
    <x v="15"/>
    <x v="15"/>
    <x v="15"/>
  </r>
  <r>
    <s v="24.01.2023"/>
    <s v="FIO0010205"/>
    <s v="BV"/>
    <m/>
    <x v="570"/>
    <n v="0"/>
    <n v="4000"/>
    <n v="4000"/>
    <n v="2061"/>
    <x v="2"/>
    <x v="15"/>
    <x v="15"/>
    <x v="15"/>
  </r>
  <r>
    <s v="25.01.2023"/>
    <s v="FIO0010218"/>
    <s v="BV"/>
    <m/>
    <x v="571"/>
    <n v="0"/>
    <n v="4000"/>
    <n v="4000"/>
    <n v="2061"/>
    <x v="2"/>
    <x v="15"/>
    <x v="15"/>
    <x v="15"/>
  </r>
  <r>
    <s v="26.01.2023"/>
    <s v="FIO0010219"/>
    <s v="BV"/>
    <m/>
    <x v="68"/>
    <n v="0"/>
    <n v="4000"/>
    <n v="4000"/>
    <n v="2061"/>
    <x v="2"/>
    <x v="15"/>
    <x v="15"/>
    <x v="15"/>
  </r>
  <r>
    <s v="27.01.2023"/>
    <s v="FIO0010222"/>
    <s v="BV"/>
    <m/>
    <x v="572"/>
    <n v="0"/>
    <n v="4000"/>
    <n v="4000"/>
    <n v="2061"/>
    <x v="2"/>
    <x v="15"/>
    <x v="15"/>
    <x v="15"/>
  </r>
  <r>
    <s v="30.01.2023"/>
    <s v="FIO0010233"/>
    <s v="BV"/>
    <m/>
    <x v="573"/>
    <n v="0"/>
    <n v="2000"/>
    <n v="2000"/>
    <n v="2061"/>
    <x v="2"/>
    <x v="15"/>
    <x v="15"/>
    <x v="15"/>
  </r>
  <r>
    <s v="31.01.2023"/>
    <s v="FIO0010256"/>
    <s v="BV"/>
    <m/>
    <x v="574"/>
    <n v="0"/>
    <n v="4000"/>
    <n v="4000"/>
    <n v="2061"/>
    <x v="2"/>
    <x v="15"/>
    <x v="15"/>
    <x v="15"/>
  </r>
  <r>
    <s v="31.01.2023"/>
    <s v="FIO0010268"/>
    <s v="BV"/>
    <m/>
    <x v="575"/>
    <n v="0"/>
    <n v="100"/>
    <n v="100"/>
    <n v="2061"/>
    <x v="2"/>
    <x v="15"/>
    <x v="15"/>
    <x v="15"/>
  </r>
  <r>
    <s v="31.01.2023"/>
    <s v="FIO0010269"/>
    <s v="BV"/>
    <m/>
    <x v="576"/>
    <n v="0"/>
    <n v="4000"/>
    <n v="4000"/>
    <n v="2061"/>
    <x v="2"/>
    <x v="15"/>
    <x v="15"/>
    <x v="15"/>
  </r>
  <r>
    <s v="01.02.2023"/>
    <s v="FIO0020002"/>
    <s v="BV"/>
    <m/>
    <x v="577"/>
    <n v="0"/>
    <n v="2000"/>
    <n v="2000"/>
    <n v="2061"/>
    <x v="2"/>
    <x v="15"/>
    <x v="15"/>
    <x v="15"/>
  </r>
  <r>
    <s v="01.02.2023"/>
    <s v="FIO0020004"/>
    <s v="BV"/>
    <m/>
    <x v="578"/>
    <n v="0"/>
    <n v="4000"/>
    <n v="4000"/>
    <n v="2061"/>
    <x v="2"/>
    <x v="15"/>
    <x v="15"/>
    <x v="15"/>
  </r>
  <r>
    <s v="02.02.2023"/>
    <s v="FIO0020011"/>
    <s v="BV"/>
    <m/>
    <x v="579"/>
    <n v="0"/>
    <n v="4000"/>
    <n v="4000"/>
    <n v="2061"/>
    <x v="2"/>
    <x v="15"/>
    <x v="15"/>
    <x v="15"/>
  </r>
  <r>
    <s v="06.02.2023"/>
    <s v="FIO0020021"/>
    <s v="BV"/>
    <m/>
    <x v="580"/>
    <n v="0"/>
    <n v="4000"/>
    <n v="4000"/>
    <n v="2061"/>
    <x v="2"/>
    <x v="15"/>
    <x v="15"/>
    <x v="15"/>
  </r>
  <r>
    <s v="07.03.2023"/>
    <s v="FIO0030017"/>
    <s v="BV"/>
    <m/>
    <x v="581"/>
    <n v="0"/>
    <n v="3200"/>
    <n v="3200"/>
    <n v="2061"/>
    <x v="2"/>
    <x v="15"/>
    <x v="15"/>
    <x v="15"/>
  </r>
  <r>
    <s v="14.04.2023"/>
    <s v="FIO0040089"/>
    <s v="BV"/>
    <m/>
    <x v="68"/>
    <n v="0"/>
    <n v="2000"/>
    <n v="2000"/>
    <n v="2061"/>
    <x v="2"/>
    <x v="15"/>
    <x v="15"/>
    <x v="15"/>
  </r>
  <r>
    <s v="13.09.2023"/>
    <s v="FIO0090063"/>
    <s v="BV"/>
    <m/>
    <x v="582"/>
    <n v="0"/>
    <n v="4100"/>
    <n v="4100"/>
    <n v="2061"/>
    <x v="2"/>
    <x v="15"/>
    <x v="15"/>
    <x v="15"/>
  </r>
  <r>
    <s v="17.09.2023"/>
    <s v="FIO0090113"/>
    <s v="BV"/>
    <m/>
    <x v="68"/>
    <n v="0"/>
    <n v="4100"/>
    <n v="4100"/>
    <n v="2061"/>
    <x v="2"/>
    <x v="15"/>
    <x v="15"/>
    <x v="15"/>
  </r>
  <r>
    <s v="19.09.2023"/>
    <s v="FIO0090137"/>
    <s v="BV"/>
    <m/>
    <x v="583"/>
    <n v="0"/>
    <n v="2050"/>
    <n v="2050"/>
    <n v="2061"/>
    <x v="2"/>
    <x v="15"/>
    <x v="15"/>
    <x v="15"/>
  </r>
  <r>
    <s v="20.09.2023"/>
    <s v="FIO0090150"/>
    <s v="BV"/>
    <m/>
    <x v="584"/>
    <n v="0"/>
    <n v="4100"/>
    <n v="4100"/>
    <n v="2061"/>
    <x v="2"/>
    <x v="15"/>
    <x v="15"/>
    <x v="15"/>
  </r>
  <r>
    <s v="21.09.2023"/>
    <s v="FIO0090169"/>
    <s v="BV"/>
    <m/>
    <x v="585"/>
    <n v="0"/>
    <n v="4100"/>
    <n v="4100"/>
    <n v="2061"/>
    <x v="2"/>
    <x v="15"/>
    <x v="15"/>
    <x v="15"/>
  </r>
  <r>
    <s v="22.09.2023"/>
    <s v="FIO0090171"/>
    <s v="BV"/>
    <m/>
    <x v="586"/>
    <n v="0"/>
    <n v="2050"/>
    <n v="2050"/>
    <n v="2061"/>
    <x v="2"/>
    <x v="15"/>
    <x v="15"/>
    <x v="15"/>
  </r>
  <r>
    <s v="25.09.2023"/>
    <s v="FIO0090192"/>
    <s v="BV"/>
    <m/>
    <x v="68"/>
    <n v="0"/>
    <n v="4100"/>
    <n v="4100"/>
    <n v="2061"/>
    <x v="2"/>
    <x v="15"/>
    <x v="15"/>
    <x v="15"/>
  </r>
  <r>
    <s v="26.09.2023"/>
    <s v="FIO0090219"/>
    <s v="BV"/>
    <m/>
    <x v="587"/>
    <n v="0"/>
    <n v="4100"/>
    <n v="4100"/>
    <n v="2061"/>
    <x v="2"/>
    <x v="15"/>
    <x v="15"/>
    <x v="15"/>
  </r>
  <r>
    <s v="26.09.2023"/>
    <s v="FIO0090225"/>
    <s v="BV"/>
    <m/>
    <x v="588"/>
    <n v="0"/>
    <n v="2050"/>
    <n v="2050"/>
    <n v="2061"/>
    <x v="2"/>
    <x v="15"/>
    <x v="15"/>
    <x v="15"/>
  </r>
  <r>
    <s v="27.09.2023"/>
    <s v="FIO0090243"/>
    <s v="BV"/>
    <m/>
    <x v="589"/>
    <n v="0"/>
    <n v="4100"/>
    <n v="4100"/>
    <n v="2061"/>
    <x v="2"/>
    <x v="15"/>
    <x v="15"/>
    <x v="15"/>
  </r>
  <r>
    <s v="30.09.2023"/>
    <s v="D 2301003"/>
    <s v="IN"/>
    <m/>
    <x v="53"/>
    <n v="0"/>
    <n v="9354.7000000000007"/>
    <n v="9354.7000000000007"/>
    <n v="2061"/>
    <x v="2"/>
    <x v="15"/>
    <x v="15"/>
    <x v="15"/>
  </r>
  <r>
    <s v="02.10.2023"/>
    <s v="FIO0100006"/>
    <s v="BV"/>
    <m/>
    <x v="590"/>
    <n v="0"/>
    <n v="4100"/>
    <n v="4100"/>
    <n v="2061"/>
    <x v="2"/>
    <x v="15"/>
    <x v="15"/>
    <x v="15"/>
  </r>
  <r>
    <s v="02.10.2023"/>
    <s v="FIO0100009"/>
    <s v="BV"/>
    <m/>
    <x v="591"/>
    <n v="0"/>
    <n v="4100"/>
    <n v="4100"/>
    <n v="2061"/>
    <x v="2"/>
    <x v="15"/>
    <x v="15"/>
    <x v="15"/>
  </r>
  <r>
    <s v="02.10.2023"/>
    <s v="FIO0100010"/>
    <s v="BV"/>
    <m/>
    <x v="592"/>
    <n v="0"/>
    <n v="4100"/>
    <n v="4100"/>
    <n v="2061"/>
    <x v="2"/>
    <x v="15"/>
    <x v="15"/>
    <x v="15"/>
  </r>
  <r>
    <s v="08.10.2023"/>
    <s v="FIO0100061"/>
    <s v="BV"/>
    <m/>
    <x v="593"/>
    <n v="0"/>
    <n v="4100"/>
    <n v="4100"/>
    <n v="2061"/>
    <x v="2"/>
    <x v="15"/>
    <x v="15"/>
    <x v="15"/>
  </r>
  <r>
    <s v="10.10.2023"/>
    <s v="FIO0100088"/>
    <s v="BV"/>
    <m/>
    <x v="594"/>
    <n v="0"/>
    <n v="4100"/>
    <n v="4100"/>
    <n v="2061"/>
    <x v="2"/>
    <x v="15"/>
    <x v="15"/>
    <x v="15"/>
  </r>
  <r>
    <s v="11.10.2023"/>
    <s v="FIO0100104"/>
    <s v="BV"/>
    <m/>
    <x v="595"/>
    <n v="0"/>
    <n v="4100"/>
    <n v="4100"/>
    <n v="2061"/>
    <x v="2"/>
    <x v="15"/>
    <x v="15"/>
    <x v="15"/>
  </r>
  <r>
    <s v="19.10.2023"/>
    <s v="FIO0100188"/>
    <s v="BV"/>
    <m/>
    <x v="596"/>
    <n v="0"/>
    <n v="-1230"/>
    <n v="-1230"/>
    <n v="2061"/>
    <x v="2"/>
    <x v="15"/>
    <x v="15"/>
    <x v="15"/>
  </r>
  <r>
    <s v="20.10.2023"/>
    <s v="FIO0100191"/>
    <s v="BV"/>
    <m/>
    <x v="597"/>
    <n v="0"/>
    <n v="4100"/>
    <n v="4100"/>
    <n v="2061"/>
    <x v="2"/>
    <x v="15"/>
    <x v="15"/>
    <x v="15"/>
  </r>
  <r>
    <s v="31.12.2023"/>
    <s v="D čl.p"/>
    <s v="IN"/>
    <m/>
    <x v="81"/>
    <n v="0"/>
    <n v="-12626.93"/>
    <n v="-12626.93"/>
    <n v="2061"/>
    <x v="2"/>
    <x v="15"/>
    <x v="15"/>
    <x v="15"/>
  </r>
  <r>
    <s v="31.08.2023"/>
    <s v="D 2308007"/>
    <s v="IN"/>
    <m/>
    <x v="598"/>
    <n v="640"/>
    <n v="0"/>
    <n v="-640"/>
    <n v="3011"/>
    <x v="3"/>
    <x v="21"/>
    <x v="16"/>
    <x v="16"/>
  </r>
  <r>
    <s v="31.08.2023"/>
    <s v="D 2308007"/>
    <s v="IN"/>
    <m/>
    <x v="598"/>
    <n v="3514"/>
    <n v="0"/>
    <n v="-3514"/>
    <n v="3011"/>
    <x v="3"/>
    <x v="17"/>
    <x v="16"/>
    <x v="16"/>
  </r>
  <r>
    <s v="31.08.2023"/>
    <s v="D 2308005"/>
    <s v="IN"/>
    <m/>
    <x v="599"/>
    <n v="12554"/>
    <n v="0"/>
    <n v="-12554"/>
    <n v="3011"/>
    <x v="3"/>
    <x v="4"/>
    <x v="16"/>
    <x v="16"/>
  </r>
  <r>
    <s v="31.08.2023"/>
    <s v="D 2308006"/>
    <s v="IN"/>
    <m/>
    <x v="600"/>
    <n v="5220"/>
    <n v="0"/>
    <n v="-5220"/>
    <n v="3011"/>
    <x v="3"/>
    <x v="16"/>
    <x v="16"/>
    <x v="16"/>
  </r>
  <r>
    <s v="19.08.2023"/>
    <s v="PF 2308030"/>
    <s v="FP"/>
    <s v="Střední průmyslová škola Jeseník"/>
    <x v="601"/>
    <n v="481761"/>
    <n v="0"/>
    <n v="-481761"/>
    <n v="3011"/>
    <x v="3"/>
    <x v="22"/>
    <x v="16"/>
    <x v="16"/>
  </r>
  <r>
    <s v="31.08.2023"/>
    <s v="PF 2308019"/>
    <s v="FP"/>
    <s v="Technické služby Jeseník a. s."/>
    <x v="601"/>
    <n v="22000"/>
    <n v="0"/>
    <n v="-22000"/>
    <n v="3011"/>
    <x v="3"/>
    <x v="22"/>
    <x v="16"/>
    <x v="16"/>
  </r>
  <r>
    <s v="31.08.2023"/>
    <s v="D 2308004"/>
    <s v="IN"/>
    <m/>
    <x v="602"/>
    <n v="56000"/>
    <n v="0"/>
    <n v="-56000"/>
    <n v="3011"/>
    <x v="3"/>
    <x v="11"/>
    <x v="16"/>
    <x v="16"/>
  </r>
  <r>
    <s v="31.08.2023"/>
    <s v="D 2308003"/>
    <s v="IN"/>
    <m/>
    <x v="603"/>
    <n v="0"/>
    <n v="467120"/>
    <n v="467120"/>
    <n v="3011"/>
    <x v="3"/>
    <x v="23"/>
    <x v="16"/>
    <x v="16"/>
  </r>
  <r>
    <s v="27.08.2023"/>
    <s v="PV 2308011"/>
    <s v="PO"/>
    <m/>
    <x v="604"/>
    <n v="72"/>
    <n v="0"/>
    <n v="-72"/>
    <n v="3012"/>
    <x v="3"/>
    <x v="21"/>
    <x v="17"/>
    <x v="17"/>
  </r>
  <r>
    <s v="27.08.2023"/>
    <s v="PV 2308012"/>
    <s v="PO"/>
    <m/>
    <x v="605"/>
    <n v="534"/>
    <n v="0"/>
    <n v="-534"/>
    <n v="3012"/>
    <x v="3"/>
    <x v="21"/>
    <x v="17"/>
    <x v="17"/>
  </r>
  <r>
    <s v="27.08.2023"/>
    <s v="PV 2308010"/>
    <s v="PO"/>
    <m/>
    <x v="606"/>
    <n v="8457"/>
    <n v="0"/>
    <n v="-8457"/>
    <n v="3012"/>
    <x v="3"/>
    <x v="17"/>
    <x v="17"/>
    <x v="17"/>
  </r>
  <r>
    <s v="04.09.2023"/>
    <s v="PF 2309001"/>
    <s v="FP"/>
    <s v="FC Jiskra 2008, z.s."/>
    <x v="607"/>
    <n v="34530"/>
    <n v="0"/>
    <n v="-34530"/>
    <n v="3012"/>
    <x v="3"/>
    <x v="17"/>
    <x v="17"/>
    <x v="17"/>
  </r>
  <r>
    <s v="26.09.2023"/>
    <s v="PF 2309018"/>
    <s v="FP"/>
    <s v="Tělovýchovná jednota Jablonné nad Orlicí, z.s."/>
    <x v="608"/>
    <n v="2880"/>
    <n v="0"/>
    <n v="-2880"/>
    <n v="3012"/>
    <x v="3"/>
    <x v="16"/>
    <x v="17"/>
    <x v="17"/>
  </r>
  <r>
    <s v="10.08.2023"/>
    <s v="PF 2308001"/>
    <s v="FP"/>
    <s v="FC Jiskra 2008, z.s."/>
    <x v="609"/>
    <n v="13500"/>
    <n v="0"/>
    <n v="-13500"/>
    <n v="3012"/>
    <x v="3"/>
    <x v="22"/>
    <x v="17"/>
    <x v="17"/>
  </r>
  <r>
    <s v="31.08.2023"/>
    <s v="PF 2308020"/>
    <s v="FP"/>
    <s v="Heroltická, s.r.o."/>
    <x v="610"/>
    <n v="151075"/>
    <n v="0"/>
    <n v="-151075"/>
    <n v="3012"/>
    <x v="3"/>
    <x v="8"/>
    <x v="17"/>
    <x v="17"/>
  </r>
  <r>
    <s v="27.08.2023"/>
    <s v="PV 2308013"/>
    <s v="PO"/>
    <m/>
    <x v="41"/>
    <n v="20000"/>
    <n v="0"/>
    <n v="-20000"/>
    <n v="3012"/>
    <x v="3"/>
    <x v="11"/>
    <x v="17"/>
    <x v="17"/>
  </r>
  <r>
    <s v="30.09.2023"/>
    <s v="D 2309007"/>
    <s v="IN"/>
    <m/>
    <x v="611"/>
    <n v="0"/>
    <n v="271500"/>
    <n v="271500"/>
    <n v="3012"/>
    <x v="3"/>
    <x v="23"/>
    <x v="17"/>
    <x v="17"/>
  </r>
  <r>
    <s v="27.08.2023"/>
    <s v="PV 2308002"/>
    <s v="PO"/>
    <m/>
    <x v="612"/>
    <n v="297"/>
    <n v="0"/>
    <n v="-297"/>
    <n v="3013"/>
    <x v="3"/>
    <x v="21"/>
    <x v="18"/>
    <x v="18"/>
  </r>
  <r>
    <s v="27.08.2023"/>
    <s v="PV 2308003"/>
    <s v="PO"/>
    <m/>
    <x v="613"/>
    <n v="1172"/>
    <n v="0"/>
    <n v="-1172"/>
    <n v="3013"/>
    <x v="3"/>
    <x v="21"/>
    <x v="18"/>
    <x v="18"/>
  </r>
  <r>
    <s v="22.04.2023"/>
    <s v="PF 2304007"/>
    <s v="FP"/>
    <s v="Střední škola designu a módy, Prostějov"/>
    <x v="614"/>
    <n v="2375"/>
    <n v="0"/>
    <n v="-2375"/>
    <n v="3013"/>
    <x v="3"/>
    <x v="17"/>
    <x v="18"/>
    <x v="18"/>
  </r>
  <r>
    <s v="25.08.2023"/>
    <s v="PF 2308011"/>
    <s v="FP"/>
    <s v="Střední škola designu a módy, Prostějov"/>
    <x v="614"/>
    <n v="57930"/>
    <n v="0"/>
    <n v="-57930"/>
    <n v="3013"/>
    <x v="3"/>
    <x v="17"/>
    <x v="18"/>
    <x v="18"/>
  </r>
  <r>
    <s v="27.08.2023"/>
    <s v="PV 2308001"/>
    <s v="PO"/>
    <m/>
    <x v="615"/>
    <n v="10260"/>
    <n v="0"/>
    <n v="-10260"/>
    <n v="3013"/>
    <x v="3"/>
    <x v="17"/>
    <x v="18"/>
    <x v="18"/>
  </r>
  <r>
    <s v="27.08.2023"/>
    <s v="PV 2308004"/>
    <s v="PO"/>
    <m/>
    <x v="616"/>
    <n v="540"/>
    <n v="0"/>
    <n v="-540"/>
    <n v="3013"/>
    <x v="3"/>
    <x v="4"/>
    <x v="18"/>
    <x v="18"/>
  </r>
  <r>
    <s v="27.08.2023"/>
    <s v="PV 2308005"/>
    <s v="PO"/>
    <m/>
    <x v="617"/>
    <n v="3670"/>
    <n v="0"/>
    <n v="-3670"/>
    <n v="3013"/>
    <x v="3"/>
    <x v="16"/>
    <x v="18"/>
    <x v="18"/>
  </r>
  <r>
    <s v="31.08.2023"/>
    <s v="PF 2308013"/>
    <s v="FP"/>
    <s v="Daniel Tichý"/>
    <x v="24"/>
    <n v="7250"/>
    <n v="0"/>
    <n v="-7250"/>
    <n v="3013"/>
    <x v="3"/>
    <x v="5"/>
    <x v="18"/>
    <x v="18"/>
  </r>
  <r>
    <s v="22.05.2023"/>
    <s v="PF 2305015"/>
    <s v="FP"/>
    <s v="Sportcentrum - dům dětí a mládeže Prostějov, příspěvková organizace"/>
    <x v="618"/>
    <n v="1750"/>
    <n v="0"/>
    <n v="-1750"/>
    <n v="3013"/>
    <x v="3"/>
    <x v="22"/>
    <x v="18"/>
    <x v="18"/>
  </r>
  <r>
    <s v="22.09.2023"/>
    <s v="PF 2309015"/>
    <s v="FP"/>
    <s v="Sportcentrum - dům dětí a mládeže Prostějov, příspěvková organizace"/>
    <x v="619"/>
    <n v="10400"/>
    <n v="0"/>
    <n v="-10400"/>
    <n v="3013"/>
    <x v="3"/>
    <x v="22"/>
    <x v="18"/>
    <x v="18"/>
  </r>
  <r>
    <s v="31.08.2023"/>
    <s v="PF 2308015"/>
    <s v="FP"/>
    <s v="Střední škola designu a módy, Prostějov"/>
    <x v="620"/>
    <n v="61875"/>
    <n v="0"/>
    <n v="-61875"/>
    <n v="3013"/>
    <x v="3"/>
    <x v="8"/>
    <x v="18"/>
    <x v="18"/>
  </r>
  <r>
    <s v="27.08.2023"/>
    <s v="PV 2308006"/>
    <s v="PO"/>
    <m/>
    <x v="41"/>
    <n v="5500"/>
    <n v="0"/>
    <n v="-5500"/>
    <n v="3013"/>
    <x v="3"/>
    <x v="11"/>
    <x v="18"/>
    <x v="18"/>
  </r>
  <r>
    <s v="31.08.2023"/>
    <s v="D 2308002"/>
    <s v="IN"/>
    <m/>
    <x v="621"/>
    <n v="0"/>
    <n v="220100"/>
    <n v="220100"/>
    <n v="3013"/>
    <x v="3"/>
    <x v="23"/>
    <x v="18"/>
    <x v="18"/>
  </r>
  <r>
    <s v="27.07.2023"/>
    <s v="PV 2307005"/>
    <s v="PO"/>
    <m/>
    <x v="622"/>
    <n v="1294"/>
    <n v="0"/>
    <n v="-1294"/>
    <n v="3014"/>
    <x v="3"/>
    <x v="21"/>
    <x v="19"/>
    <x v="19"/>
  </r>
  <r>
    <s v="27.08.2023"/>
    <s v="PV 2308015"/>
    <s v="PO"/>
    <m/>
    <x v="623"/>
    <n v="237"/>
    <n v="0"/>
    <n v="-237"/>
    <n v="3014"/>
    <x v="3"/>
    <x v="21"/>
    <x v="19"/>
    <x v="19"/>
  </r>
  <r>
    <s v="03.03.2023"/>
    <s v="PF 2303002"/>
    <s v="FP"/>
    <s v="Jindřich Kolovrátník"/>
    <x v="624"/>
    <n v="12120"/>
    <n v="0"/>
    <n v="-12120"/>
    <n v="3014"/>
    <x v="3"/>
    <x v="17"/>
    <x v="19"/>
    <x v="19"/>
  </r>
  <r>
    <s v="14.03.2023"/>
    <s v="PV 2303007"/>
    <s v="PO"/>
    <m/>
    <x v="625"/>
    <n v="5782"/>
    <n v="0"/>
    <n v="-5782"/>
    <n v="3014"/>
    <x v="3"/>
    <x v="17"/>
    <x v="19"/>
    <x v="19"/>
  </r>
  <r>
    <s v="21.05.2023"/>
    <s v="PF 2305012"/>
    <s v="FP"/>
    <s v="Jindřich Kolovrátník"/>
    <x v="626"/>
    <n v="10200"/>
    <n v="0"/>
    <n v="-10200"/>
    <n v="3014"/>
    <x v="3"/>
    <x v="17"/>
    <x v="19"/>
    <x v="19"/>
  </r>
  <r>
    <s v="27.07.2023"/>
    <s v="PV 2307004"/>
    <s v="PO"/>
    <m/>
    <x v="627"/>
    <n v="8241"/>
    <n v="0"/>
    <n v="-8241"/>
    <n v="3014"/>
    <x v="3"/>
    <x v="17"/>
    <x v="19"/>
    <x v="19"/>
  </r>
  <r>
    <s v="28.07.2023"/>
    <s v="PF2307013"/>
    <s v="FP"/>
    <s v="Jindřich Kolovrátník"/>
    <x v="628"/>
    <n v="26058"/>
    <n v="0"/>
    <n v="-26058"/>
    <n v="3014"/>
    <x v="3"/>
    <x v="17"/>
    <x v="19"/>
    <x v="19"/>
  </r>
  <r>
    <s v="18.08.2023"/>
    <s v="PF 2308007"/>
    <s v="FP"/>
    <s v="Jindřich Kolovrátník"/>
    <x v="629"/>
    <n v="13932"/>
    <n v="0"/>
    <n v="-13932"/>
    <n v="3014"/>
    <x v="3"/>
    <x v="17"/>
    <x v="19"/>
    <x v="19"/>
  </r>
  <r>
    <s v="27.08.2023"/>
    <s v="PV 2308014"/>
    <s v="PO"/>
    <m/>
    <x v="630"/>
    <n v="4661"/>
    <n v="0"/>
    <n v="-4661"/>
    <n v="3014"/>
    <x v="3"/>
    <x v="17"/>
    <x v="19"/>
    <x v="19"/>
  </r>
  <r>
    <s v="21.05.2023"/>
    <s v="PV 2305006"/>
    <s v="PO"/>
    <m/>
    <x v="631"/>
    <n v="2400"/>
    <n v="0"/>
    <n v="-2400"/>
    <n v="3014"/>
    <x v="3"/>
    <x v="19"/>
    <x v="19"/>
    <x v="19"/>
  </r>
  <r>
    <s v="11.05.2023"/>
    <s v="PF 2305007"/>
    <s v="FP"/>
    <s v="Jezdecký areál Olomouc s.r.o."/>
    <x v="632"/>
    <n v="5448"/>
    <n v="0"/>
    <n v="-5448"/>
    <n v="3014"/>
    <x v="3"/>
    <x v="8"/>
    <x v="19"/>
    <x v="19"/>
  </r>
  <r>
    <s v="04.04.2023"/>
    <s v="PV 2304004"/>
    <s v="PO"/>
    <m/>
    <x v="41"/>
    <n v="6375"/>
    <n v="0"/>
    <n v="-6375"/>
    <n v="3014"/>
    <x v="3"/>
    <x v="11"/>
    <x v="19"/>
    <x v="19"/>
  </r>
  <r>
    <s v="21.05.2023"/>
    <s v="PV 2305004"/>
    <s v="PO"/>
    <m/>
    <x v="41"/>
    <n v="14900"/>
    <n v="0"/>
    <n v="-14900"/>
    <n v="3014"/>
    <x v="3"/>
    <x v="11"/>
    <x v="19"/>
    <x v="19"/>
  </r>
  <r>
    <s v="27.07.2023"/>
    <s v="PV 2307003"/>
    <s v="PO"/>
    <m/>
    <x v="633"/>
    <n v="16000"/>
    <n v="0"/>
    <n v="-16000"/>
    <n v="3014"/>
    <x v="3"/>
    <x v="11"/>
    <x v="19"/>
    <x v="19"/>
  </r>
  <r>
    <s v="27.08.2023"/>
    <s v="PV 2308016"/>
    <s v="PO"/>
    <m/>
    <x v="41"/>
    <n v="10000"/>
    <n v="0"/>
    <n v="-10000"/>
    <n v="3014"/>
    <x v="3"/>
    <x v="11"/>
    <x v="19"/>
    <x v="19"/>
  </r>
  <r>
    <s v="31.08.2023"/>
    <s v="D 2308009"/>
    <s v="IN"/>
    <m/>
    <x v="634"/>
    <n v="0"/>
    <n v="165000"/>
    <n v="165000"/>
    <n v="3014"/>
    <x v="3"/>
    <x v="24"/>
    <x v="19"/>
    <x v="19"/>
  </r>
  <r>
    <s v="31.05.2023"/>
    <s v="D 2305003"/>
    <s v="IN"/>
    <m/>
    <x v="635"/>
    <n v="7500"/>
    <n v="0"/>
    <n v="-7500"/>
    <n v="3020"/>
    <x v="3"/>
    <x v="17"/>
    <x v="20"/>
    <x v="20"/>
  </r>
  <r>
    <s v="27.04.2023"/>
    <s v="PF 2304008"/>
    <s v="FP"/>
    <s v="Weco-Travel (CZ) s.r.o."/>
    <x v="636"/>
    <n v="34225"/>
    <n v="0"/>
    <n v="-34225"/>
    <n v="3020"/>
    <x v="3"/>
    <x v="4"/>
    <x v="20"/>
    <x v="20"/>
  </r>
  <r>
    <s v="10.05.2023"/>
    <s v="PF 2305005"/>
    <s v="FP"/>
    <s v="Weco-Travel (CZ) s.r.o."/>
    <x v="636"/>
    <n v="230"/>
    <n v="0"/>
    <n v="-230"/>
    <n v="3020"/>
    <x v="3"/>
    <x v="4"/>
    <x v="20"/>
    <x v="20"/>
  </r>
  <r>
    <s v="22.05.2023"/>
    <s v="PF 2305014"/>
    <s v="FP"/>
    <s v="AUTOBUSY - KONEČNÝ s.r.o."/>
    <x v="637"/>
    <n v="85000"/>
    <n v="0"/>
    <n v="-85000"/>
    <n v="3020"/>
    <x v="3"/>
    <x v="4"/>
    <x v="20"/>
    <x v="20"/>
  </r>
  <r>
    <s v="13.06.2023"/>
    <s v="PF2306022"/>
    <s v="FP"/>
    <s v="Weco-Travel (CZ) s.r.o."/>
    <x v="636"/>
    <n v="1554"/>
    <n v="0"/>
    <n v="-1554"/>
    <n v="3020"/>
    <x v="3"/>
    <x v="4"/>
    <x v="20"/>
    <x v="20"/>
  </r>
  <r>
    <s v="17.05.2023"/>
    <s v="PF 2305008"/>
    <s v="FP"/>
    <s v="Kalmarsund Floorball Cup"/>
    <x v="638"/>
    <n v="8139.3"/>
    <n v="0"/>
    <n v="-8139.3"/>
    <n v="3020"/>
    <x v="3"/>
    <x v="6"/>
    <x v="20"/>
    <x v="20"/>
  </r>
  <r>
    <s v="06.06.2023"/>
    <s v="PF2306021"/>
    <s v="FP"/>
    <s v="Gariana s.r.o."/>
    <x v="639"/>
    <n v="212800"/>
    <n v="0"/>
    <n v="-212800"/>
    <n v="3020"/>
    <x v="3"/>
    <x v="8"/>
    <x v="20"/>
    <x v="20"/>
  </r>
  <r>
    <s v="18.05.2023"/>
    <s v="FIO0050195"/>
    <s v="BV"/>
    <s v="Kalmarsund Floorball Cup"/>
    <x v="640"/>
    <n v="252.7"/>
    <n v="0"/>
    <n v="-252.7"/>
    <n v="3020"/>
    <x v="3"/>
    <x v="25"/>
    <x v="20"/>
    <x v="20"/>
  </r>
  <r>
    <s v="31.05.2023"/>
    <s v="D 2305002"/>
    <s v="IN"/>
    <m/>
    <x v="641"/>
    <n v="17669"/>
    <n v="0"/>
    <n v="-17669"/>
    <n v="3020"/>
    <x v="3"/>
    <x v="26"/>
    <x v="20"/>
    <x v="20"/>
  </r>
  <r>
    <s v="31.07.2023"/>
    <s v="D 2307004"/>
    <s v="IN"/>
    <m/>
    <x v="642"/>
    <n v="0"/>
    <n v="322030"/>
    <n v="322030"/>
    <n v="3020"/>
    <x v="3"/>
    <x v="14"/>
    <x v="20"/>
    <x v="20"/>
  </r>
  <r>
    <s v="30.06.2023"/>
    <s v="D 2306003"/>
    <s v="IN"/>
    <m/>
    <x v="643"/>
    <n v="0"/>
    <n v="50500"/>
    <n v="50500"/>
    <n v="3024"/>
    <x v="3"/>
    <x v="14"/>
    <x v="21"/>
    <x v="21"/>
  </r>
  <r>
    <s v="04.07.2023"/>
    <s v="PV 2307001"/>
    <s v="PO"/>
    <m/>
    <x v="311"/>
    <n v="6295"/>
    <n v="0"/>
    <n v="-6295"/>
    <n v="3027"/>
    <x v="3"/>
    <x v="4"/>
    <x v="22"/>
    <x v="22"/>
  </r>
  <r>
    <s v="31.08.2023"/>
    <s v="PF 2308013"/>
    <s v="FP"/>
    <s v="Daniel Tichý"/>
    <x v="24"/>
    <n v="2000"/>
    <n v="0"/>
    <n v="-2000"/>
    <n v="3027"/>
    <x v="3"/>
    <x v="5"/>
    <x v="22"/>
    <x v="22"/>
  </r>
  <r>
    <s v="08.07.2023"/>
    <s v="PF2307012"/>
    <s v="FP"/>
    <s v="Prague Games Club z.s."/>
    <x v="644"/>
    <n v="46000"/>
    <n v="0"/>
    <n v="-46000"/>
    <n v="3027"/>
    <x v="3"/>
    <x v="6"/>
    <x v="22"/>
    <x v="22"/>
  </r>
  <r>
    <s v="09.05.2023"/>
    <s v="PF 2305032"/>
    <s v="FP"/>
    <s v="Gariana s.r.o."/>
    <x v="645"/>
    <n v="49300"/>
    <n v="0"/>
    <n v="-49300"/>
    <n v="3027"/>
    <x v="3"/>
    <x v="8"/>
    <x v="22"/>
    <x v="22"/>
  </r>
  <r>
    <s v="01.07.2023"/>
    <s v="PF2307001"/>
    <s v="FP"/>
    <s v="Vysoká škola chemicko-technologická v Praze"/>
    <x v="646"/>
    <n v="97670"/>
    <n v="0"/>
    <n v="-97670"/>
    <n v="3027"/>
    <x v="3"/>
    <x v="8"/>
    <x v="22"/>
    <x v="22"/>
  </r>
  <r>
    <s v="31.07.2023"/>
    <s v="D 2307003"/>
    <s v="IN"/>
    <m/>
    <x v="647"/>
    <n v="0"/>
    <n v="155250"/>
    <n v="155250"/>
    <n v="3027"/>
    <x v="3"/>
    <x v="14"/>
    <x v="22"/>
    <x v="22"/>
  </r>
  <r>
    <s v="09.08.2023"/>
    <s v="PP 2308001"/>
    <s v="PO"/>
    <m/>
    <x v="648"/>
    <n v="0"/>
    <n v="9034"/>
    <n v="9034"/>
    <n v="3027"/>
    <x v="3"/>
    <x v="14"/>
    <x v="22"/>
    <x v="22"/>
  </r>
  <r>
    <s v="31.12.2023"/>
    <s v="D 2312007"/>
    <s v="IN"/>
    <m/>
    <x v="649"/>
    <n v="0"/>
    <n v="236600"/>
    <n v="236600"/>
    <n v="3028"/>
    <x v="3"/>
    <x v="14"/>
    <x v="23"/>
    <x v="23"/>
  </r>
  <r>
    <s v="09.01.2023"/>
    <s v="PF 2301003"/>
    <s v="FP"/>
    <s v="Fakultní základní škola Olomouc, Tererovo nám. 1, příspěvková organizace"/>
    <x v="650"/>
    <n v="7480"/>
    <n v="0"/>
    <n v="-7480"/>
    <n v="4011"/>
    <x v="4"/>
    <x v="7"/>
    <x v="24"/>
    <x v="24"/>
  </r>
  <r>
    <s v="25.09.2023"/>
    <s v="PF 2309017"/>
    <s v="FP"/>
    <s v="Fakultní základní škola Olomouc, Tererovo nám. 1, příspěvková organizace"/>
    <x v="651"/>
    <n v="5720"/>
    <n v="0"/>
    <n v="-5720"/>
    <n v="4011"/>
    <x v="4"/>
    <x v="7"/>
    <x v="24"/>
    <x v="24"/>
  </r>
  <r>
    <s v="31.12.2023"/>
    <s v="D haly stř"/>
    <s v="IN"/>
    <m/>
    <x v="31"/>
    <n v="20650"/>
    <n v="0"/>
    <n v="-20650"/>
    <n v="4011"/>
    <x v="4"/>
    <x v="7"/>
    <x v="24"/>
    <x v="24"/>
  </r>
  <r>
    <s v="31.12.2023"/>
    <s v="VL stř"/>
    <s v="IN"/>
    <m/>
    <x v="12"/>
    <n v="19880"/>
    <n v="0"/>
    <n v="-19880"/>
    <n v="4011"/>
    <x v="4"/>
    <x v="0"/>
    <x v="24"/>
    <x v="24"/>
  </r>
  <r>
    <s v="31.12.2023"/>
    <s v="D 2312009"/>
    <s v="IN"/>
    <m/>
    <x v="652"/>
    <n v="0"/>
    <n v="64460.6"/>
    <n v="64460.6"/>
    <n v="4011"/>
    <x v="4"/>
    <x v="15"/>
    <x v="24"/>
    <x v="24"/>
  </r>
  <r>
    <s v="21.05.2023"/>
    <s v="PF 2305013"/>
    <s v="FP"/>
    <s v="F a V s.r.o."/>
    <x v="653"/>
    <n v="8000"/>
    <n v="0"/>
    <n v="-8000"/>
    <n v="4021"/>
    <x v="4"/>
    <x v="16"/>
    <x v="25"/>
    <x v="25"/>
  </r>
  <r>
    <s v="05.06.2023"/>
    <s v="PF2306020"/>
    <s v="FP"/>
    <s v="Jan Pazdera"/>
    <x v="654"/>
    <n v="10000"/>
    <n v="0"/>
    <n v="-10000"/>
    <n v="4021"/>
    <x v="4"/>
    <x v="5"/>
    <x v="25"/>
    <x v="25"/>
  </r>
  <r>
    <s v="31.08.2023"/>
    <s v="D 2308010"/>
    <s v="IN"/>
    <m/>
    <x v="634"/>
    <n v="0"/>
    <n v="111850"/>
    <n v="111850"/>
    <n v="4021"/>
    <x v="4"/>
    <x v="27"/>
    <x v="25"/>
    <x v="25"/>
  </r>
  <r>
    <s v="31.03.2023"/>
    <s v="D 2303018"/>
    <s v="IN"/>
    <m/>
    <x v="634"/>
    <n v="0"/>
    <n v="50400"/>
    <n v="50400"/>
    <n v="4021"/>
    <x v="4"/>
    <x v="24"/>
    <x v="25"/>
    <x v="25"/>
  </r>
  <r>
    <s v="30.04.2023"/>
    <s v="D 2304010"/>
    <s v="IN"/>
    <m/>
    <x v="634"/>
    <n v="0"/>
    <n v="11000"/>
    <n v="11000"/>
    <n v="4021"/>
    <x v="4"/>
    <x v="24"/>
    <x v="25"/>
    <x v="25"/>
  </r>
  <r>
    <s v="30.06.2023"/>
    <s v="PF2306011"/>
    <s v="FP"/>
    <s v="Tomáš Skoupil"/>
    <x v="655"/>
    <n v="20000"/>
    <n v="0"/>
    <n v="-20000"/>
    <n v="4031"/>
    <x v="4"/>
    <x v="28"/>
    <x v="26"/>
    <x v="26"/>
  </r>
  <r>
    <s v="31.07.2023"/>
    <s v="PF2307007"/>
    <s v="FP"/>
    <s v="Tomáš Skoupil"/>
    <x v="656"/>
    <n v="20000"/>
    <n v="0"/>
    <n v="-20000"/>
    <n v="4031"/>
    <x v="4"/>
    <x v="28"/>
    <x v="26"/>
    <x v="26"/>
  </r>
  <r>
    <s v="31.08.2023"/>
    <s v="PF 2308026"/>
    <s v="FP"/>
    <s v="Tomáš Skoupil"/>
    <x v="657"/>
    <n v="20000"/>
    <n v="0"/>
    <n v="-20000"/>
    <n v="4031"/>
    <x v="4"/>
    <x v="28"/>
    <x v="26"/>
    <x v="26"/>
  </r>
  <r>
    <s v="30.09.2023"/>
    <s v="PF 2309024"/>
    <s v="FP"/>
    <s v="Tomáš Skoupil"/>
    <x v="658"/>
    <n v="20000"/>
    <n v="0"/>
    <n v="-20000"/>
    <n v="4031"/>
    <x v="4"/>
    <x v="28"/>
    <x v="26"/>
    <x v="26"/>
  </r>
  <r>
    <s v="31.10.2023"/>
    <s v="PF 2310016"/>
    <s v="FP"/>
    <s v="Tomáš Skoupil"/>
    <x v="659"/>
    <n v="20000"/>
    <n v="0"/>
    <n v="-20000"/>
    <n v="4031"/>
    <x v="4"/>
    <x v="28"/>
    <x v="26"/>
    <x v="26"/>
  </r>
  <r>
    <s v="30.11.2023"/>
    <s v="PF 2311021"/>
    <s v="FP"/>
    <s v="Tomáš Skoupil"/>
    <x v="660"/>
    <n v="20000"/>
    <n v="0"/>
    <n v="-20000"/>
    <n v="4031"/>
    <x v="4"/>
    <x v="28"/>
    <x v="26"/>
    <x v="26"/>
  </r>
  <r>
    <s v="31.12.2023"/>
    <s v="PF 2312021"/>
    <s v="FP"/>
    <s v="Tomáš Skoupil"/>
    <x v="661"/>
    <n v="20000"/>
    <n v="0"/>
    <n v="-20000"/>
    <n v="4031"/>
    <x v="4"/>
    <x v="28"/>
    <x v="26"/>
    <x v="26"/>
  </r>
  <r>
    <s v="31.01.2023"/>
    <s v="PF 2301017"/>
    <s v="FP"/>
    <s v="Daniel Tichý"/>
    <x v="662"/>
    <n v="2000"/>
    <n v="0"/>
    <n v="-2000"/>
    <n v="4031"/>
    <x v="4"/>
    <x v="29"/>
    <x v="26"/>
    <x v="26"/>
  </r>
  <r>
    <s v="28.02.2023"/>
    <s v="PF 2302019"/>
    <s v="FP"/>
    <s v="Daniel Tichý"/>
    <x v="663"/>
    <n v="2000"/>
    <n v="0"/>
    <n v="-2000"/>
    <n v="4031"/>
    <x v="4"/>
    <x v="29"/>
    <x v="26"/>
    <x v="26"/>
  </r>
  <r>
    <s v="31.03.2023"/>
    <s v="PF 2303029"/>
    <s v="FP"/>
    <s v="Daniel Tichý"/>
    <x v="664"/>
    <n v="2000"/>
    <n v="0"/>
    <n v="-2000"/>
    <n v="4031"/>
    <x v="4"/>
    <x v="29"/>
    <x v="26"/>
    <x v="26"/>
  </r>
  <r>
    <s v="31.05.2023"/>
    <s v="PF 2304020"/>
    <s v="FP"/>
    <s v="Daniel Tichý"/>
    <x v="665"/>
    <n v="2000"/>
    <n v="0"/>
    <n v="-2000"/>
    <n v="4031"/>
    <x v="4"/>
    <x v="29"/>
    <x v="26"/>
    <x v="26"/>
  </r>
  <r>
    <s v="31.05.2023"/>
    <s v="PF 2305020"/>
    <s v="FP"/>
    <s v="Daniel Tichý"/>
    <x v="666"/>
    <n v="2000"/>
    <n v="0"/>
    <n v="-2000"/>
    <n v="4031"/>
    <x v="4"/>
    <x v="29"/>
    <x v="26"/>
    <x v="26"/>
  </r>
  <r>
    <s v="30.06.2023"/>
    <s v="PF2306008"/>
    <s v="FP"/>
    <s v="Daniel Tichý"/>
    <x v="667"/>
    <n v="2000"/>
    <n v="0"/>
    <n v="-2000"/>
    <n v="4031"/>
    <x v="4"/>
    <x v="29"/>
    <x v="26"/>
    <x v="26"/>
  </r>
  <r>
    <s v="21.06.2023"/>
    <s v="VF2302010"/>
    <s v="FV"/>
    <s v="Český florbal"/>
    <x v="668"/>
    <n v="0"/>
    <n v="20000"/>
    <n v="20000"/>
    <n v="4031"/>
    <x v="4"/>
    <x v="30"/>
    <x v="26"/>
    <x v="26"/>
  </r>
  <r>
    <s v="31.07.2023"/>
    <s v="PF2307010"/>
    <s v="FP"/>
    <s v="Tomáš Hruška"/>
    <x v="669"/>
    <n v="7000"/>
    <n v="0"/>
    <n v="-7000"/>
    <n v="4041"/>
    <x v="4"/>
    <x v="5"/>
    <x v="27"/>
    <x v="27"/>
  </r>
  <r>
    <s v="31.08.2023"/>
    <s v="PF 2308022"/>
    <s v="FP"/>
    <s v="Tomáš Hruška"/>
    <x v="670"/>
    <n v="6500"/>
    <n v="0"/>
    <n v="-6500"/>
    <n v="4041"/>
    <x v="4"/>
    <x v="5"/>
    <x v="27"/>
    <x v="27"/>
  </r>
  <r>
    <s v="31.01.2023"/>
    <s v="PF 2301015"/>
    <s v="FP"/>
    <s v="Tomáš Hruška"/>
    <x v="671"/>
    <n v="23000"/>
    <n v="0"/>
    <n v="-23000"/>
    <n v="4041"/>
    <x v="4"/>
    <x v="31"/>
    <x v="27"/>
    <x v="27"/>
  </r>
  <r>
    <s v="28.02.2023"/>
    <s v="PF 2302017"/>
    <s v="FP"/>
    <s v="Tomáš Hruška"/>
    <x v="672"/>
    <n v="23000"/>
    <n v="0"/>
    <n v="-23000"/>
    <n v="4041"/>
    <x v="4"/>
    <x v="31"/>
    <x v="27"/>
    <x v="27"/>
  </r>
  <r>
    <s v="31.03.2023"/>
    <s v="PF 2303027"/>
    <s v="FP"/>
    <s v="Tomáš Hruška"/>
    <x v="673"/>
    <n v="23000"/>
    <n v="0"/>
    <n v="-23000"/>
    <n v="4041"/>
    <x v="4"/>
    <x v="31"/>
    <x v="27"/>
    <x v="27"/>
  </r>
  <r>
    <s v="30.04.2023"/>
    <s v="PF 2304018"/>
    <s v="FP"/>
    <s v="Tomáš Hruška"/>
    <x v="674"/>
    <n v="23000"/>
    <n v="0"/>
    <n v="-23000"/>
    <n v="4041"/>
    <x v="4"/>
    <x v="31"/>
    <x v="27"/>
    <x v="27"/>
  </r>
  <r>
    <s v="31.05.2023"/>
    <s v="PF 2305025"/>
    <s v="FP"/>
    <s v="Tomáš Hruška"/>
    <x v="675"/>
    <n v="23000"/>
    <n v="0"/>
    <n v="-23000"/>
    <n v="4041"/>
    <x v="4"/>
    <x v="31"/>
    <x v="27"/>
    <x v="27"/>
  </r>
  <r>
    <s v="30.06.2023"/>
    <s v="PF2306014"/>
    <s v="FP"/>
    <s v="Tomáš Hruška"/>
    <x v="676"/>
    <n v="23000"/>
    <n v="0"/>
    <n v="-23000"/>
    <n v="4041"/>
    <x v="4"/>
    <x v="31"/>
    <x v="27"/>
    <x v="27"/>
  </r>
  <r>
    <s v="30.06.2023"/>
    <s v="PF2306015"/>
    <s v="FP"/>
    <s v="Tomáš Hruška"/>
    <x v="677"/>
    <n v="12000"/>
    <n v="0"/>
    <n v="-12000"/>
    <n v="4041"/>
    <x v="4"/>
    <x v="31"/>
    <x v="27"/>
    <x v="27"/>
  </r>
  <r>
    <s v="31.07.2023"/>
    <s v="PF2307009"/>
    <s v="FP"/>
    <s v="Tomáš Hruška"/>
    <x v="678"/>
    <n v="24000"/>
    <n v="0"/>
    <n v="-24000"/>
    <n v="4041"/>
    <x v="4"/>
    <x v="31"/>
    <x v="27"/>
    <x v="27"/>
  </r>
  <r>
    <s v="31.08.2023"/>
    <s v="PF 2308027"/>
    <s v="FP"/>
    <s v="Tomáš Hruška"/>
    <x v="679"/>
    <n v="30000"/>
    <n v="0"/>
    <n v="-30000"/>
    <n v="4041"/>
    <x v="4"/>
    <x v="31"/>
    <x v="27"/>
    <x v="27"/>
  </r>
  <r>
    <s v="30.09.2023"/>
    <s v="PF 2309026"/>
    <s v="FP"/>
    <s v="Tomáš Hruška"/>
    <x v="680"/>
    <n v="30000"/>
    <n v="0"/>
    <n v="-30000"/>
    <n v="4041"/>
    <x v="4"/>
    <x v="31"/>
    <x v="27"/>
    <x v="27"/>
  </r>
  <r>
    <s v="31.10.2023"/>
    <s v="PF 2310015"/>
    <s v="FP"/>
    <s v="Tomáš Hruška"/>
    <x v="681"/>
    <n v="30000"/>
    <n v="0"/>
    <n v="-30000"/>
    <n v="4041"/>
    <x v="4"/>
    <x v="31"/>
    <x v="27"/>
    <x v="27"/>
  </r>
  <r>
    <s v="30.11.2023"/>
    <s v="PF 2311025"/>
    <s v="FP"/>
    <s v="Tomáš Hruška"/>
    <x v="682"/>
    <n v="30000"/>
    <n v="0"/>
    <n v="-30000"/>
    <n v="4041"/>
    <x v="4"/>
    <x v="31"/>
    <x v="27"/>
    <x v="27"/>
  </r>
  <r>
    <s v="31.12.2023"/>
    <s v="PF 2312014"/>
    <s v="FP"/>
    <s v="Tomáš Hruška"/>
    <x v="683"/>
    <n v="30000"/>
    <n v="0"/>
    <n v="-30000"/>
    <n v="4041"/>
    <x v="4"/>
    <x v="31"/>
    <x v="27"/>
    <x v="27"/>
  </r>
  <r>
    <s v="31.12.2023"/>
    <s v="PF 2312026"/>
    <s v="FP"/>
    <s v="Tomáš Hruška"/>
    <x v="684"/>
    <n v="10500"/>
    <n v="0"/>
    <n v="-10500"/>
    <n v="4041"/>
    <x v="4"/>
    <x v="31"/>
    <x v="27"/>
    <x v="27"/>
  </r>
  <r>
    <s v="21.06.2023"/>
    <s v="VF2302011"/>
    <s v="FV"/>
    <s v="Český florbal"/>
    <x v="685"/>
    <n v="0"/>
    <n v="50000"/>
    <n v="50000"/>
    <n v="4041"/>
    <x v="4"/>
    <x v="30"/>
    <x v="27"/>
    <x v="27"/>
  </r>
  <r>
    <s v="02.02.2023"/>
    <s v="PV 2302002"/>
    <s v="PO"/>
    <m/>
    <x v="686"/>
    <n v="480"/>
    <n v="0"/>
    <n v="-480"/>
    <n v="5011"/>
    <x v="5"/>
    <x v="4"/>
    <x v="28"/>
    <x v="28"/>
  </r>
  <r>
    <s v="02.02.2023"/>
    <s v="PV 2302003"/>
    <s v="PO"/>
    <m/>
    <x v="687"/>
    <n v="300"/>
    <n v="0"/>
    <n v="-300"/>
    <n v="5011"/>
    <x v="5"/>
    <x v="4"/>
    <x v="28"/>
    <x v="28"/>
  </r>
  <r>
    <s v="27.08.2023"/>
    <s v="PV 2308007"/>
    <s v="PO"/>
    <m/>
    <x v="311"/>
    <n v="600"/>
    <n v="0"/>
    <n v="-600"/>
    <n v="5011"/>
    <x v="5"/>
    <x v="4"/>
    <x v="28"/>
    <x v="28"/>
  </r>
  <r>
    <s v="27.08.2023"/>
    <s v="PV 2308008"/>
    <s v="PO"/>
    <m/>
    <x v="311"/>
    <n v="1620"/>
    <n v="0"/>
    <n v="-1620"/>
    <n v="5011"/>
    <x v="5"/>
    <x v="4"/>
    <x v="28"/>
    <x v="28"/>
  </r>
  <r>
    <s v="23.10.2023"/>
    <s v="PV 2310012"/>
    <s v="PO"/>
    <m/>
    <x v="688"/>
    <n v="458"/>
    <n v="0"/>
    <n v="-458"/>
    <n v="5011"/>
    <x v="5"/>
    <x v="4"/>
    <x v="28"/>
    <x v="28"/>
  </r>
  <r>
    <s v="14.11.2023"/>
    <s v="PV 2311010"/>
    <s v="PO"/>
    <m/>
    <x v="688"/>
    <n v="608"/>
    <n v="0"/>
    <n v="-608"/>
    <n v="5011"/>
    <x v="5"/>
    <x v="4"/>
    <x v="28"/>
    <x v="28"/>
  </r>
  <r>
    <s v="29.11.2023"/>
    <s v="PV 2311019"/>
    <s v="PO"/>
    <m/>
    <x v="689"/>
    <n v="768"/>
    <n v="0"/>
    <n v="-768"/>
    <n v="5011"/>
    <x v="5"/>
    <x v="4"/>
    <x v="28"/>
    <x v="28"/>
  </r>
  <r>
    <s v="21.10.2023"/>
    <s v="PF 2310030"/>
    <s v="FP"/>
    <s v="SNOWBALL s.r.o."/>
    <x v="690"/>
    <n v="1863"/>
    <n v="0"/>
    <n v="-1863"/>
    <n v="5011"/>
    <x v="5"/>
    <x v="19"/>
    <x v="28"/>
    <x v="28"/>
  </r>
  <r>
    <s v="03.11.2023"/>
    <s v="PF 2311026"/>
    <s v="FP"/>
    <s v="SNOWBALL s.r.o."/>
    <x v="690"/>
    <n v="3229.2"/>
    <n v="0"/>
    <n v="-3229.2"/>
    <n v="5011"/>
    <x v="5"/>
    <x v="19"/>
    <x v="28"/>
    <x v="28"/>
  </r>
  <r>
    <s v="13.12.2023"/>
    <s v="PF 2312006"/>
    <s v="FP"/>
    <s v="SNOWBALL s.r.o."/>
    <x v="690"/>
    <n v="2070"/>
    <n v="0"/>
    <n v="-2070"/>
    <n v="5011"/>
    <x v="5"/>
    <x v="19"/>
    <x v="28"/>
    <x v="28"/>
  </r>
  <r>
    <s v="31.01.2023"/>
    <s v="PF 2301023"/>
    <s v="FP"/>
    <s v="Český florbal"/>
    <x v="691"/>
    <n v="750"/>
    <n v="0"/>
    <n v="-750"/>
    <n v="5011"/>
    <x v="5"/>
    <x v="16"/>
    <x v="28"/>
    <x v="28"/>
  </r>
  <r>
    <s v="31.03.2023"/>
    <s v="D 2303017"/>
    <s v="IN"/>
    <m/>
    <x v="692"/>
    <n v="1460.2"/>
    <n v="0"/>
    <n v="-1460.2"/>
    <n v="5011"/>
    <x v="5"/>
    <x v="16"/>
    <x v="28"/>
    <x v="28"/>
  </r>
  <r>
    <s v="30.04.2023"/>
    <s v="D 2304012"/>
    <s v="IN"/>
    <m/>
    <x v="693"/>
    <n v="1180"/>
    <n v="0"/>
    <n v="-1180"/>
    <n v="5011"/>
    <x v="5"/>
    <x v="16"/>
    <x v="28"/>
    <x v="28"/>
  </r>
  <r>
    <s v="25.07.2023"/>
    <s v="PF2307005"/>
    <s v="FP"/>
    <s v="Michal Struž"/>
    <x v="694"/>
    <n v="12000"/>
    <n v="0"/>
    <n v="-12000"/>
    <n v="5011"/>
    <x v="5"/>
    <x v="16"/>
    <x v="28"/>
    <x v="28"/>
  </r>
  <r>
    <s v="31.08.2023"/>
    <s v="PF 2308036"/>
    <s v="FP"/>
    <s v="Pavel Kratochvíl"/>
    <x v="695"/>
    <n v="484"/>
    <n v="0"/>
    <n v="-484"/>
    <n v="5011"/>
    <x v="5"/>
    <x v="16"/>
    <x v="28"/>
    <x v="28"/>
  </r>
  <r>
    <s v="18.09.2023"/>
    <s v="PV 2309010"/>
    <s v="PO"/>
    <m/>
    <x v="696"/>
    <n v="109"/>
    <n v="0"/>
    <n v="-109"/>
    <n v="5011"/>
    <x v="5"/>
    <x v="16"/>
    <x v="28"/>
    <x v="28"/>
  </r>
  <r>
    <s v="04.10.2023"/>
    <s v="PF 2310019"/>
    <s v="FP"/>
    <s v="NEJLEPŠÍ ADRESA a.s."/>
    <x v="697"/>
    <n v="682.43999999999994"/>
    <n v="0"/>
    <n v="-682.43999999999994"/>
    <n v="5011"/>
    <x v="5"/>
    <x v="16"/>
    <x v="28"/>
    <x v="28"/>
  </r>
  <r>
    <s v="29.10.2023"/>
    <s v="PF 2310010"/>
    <s v="FP"/>
    <s v="Michal Struž"/>
    <x v="694"/>
    <n v="8000"/>
    <n v="0"/>
    <n v="-8000"/>
    <n v="5011"/>
    <x v="5"/>
    <x v="16"/>
    <x v="28"/>
    <x v="28"/>
  </r>
  <r>
    <s v="31.12.2023"/>
    <s v="PF 2312017"/>
    <s v="FP"/>
    <s v="Michal Struž"/>
    <x v="694"/>
    <n v="4000"/>
    <n v="0"/>
    <n v="-4000"/>
    <n v="5011"/>
    <x v="5"/>
    <x v="16"/>
    <x v="28"/>
    <x v="28"/>
  </r>
  <r>
    <s v="13.12.2023"/>
    <s v="PF 2312005"/>
    <s v="FP"/>
    <s v="Střední škola polytechnická, Olomouc, Rooseveltova 79"/>
    <x v="698"/>
    <n v="435"/>
    <n v="0"/>
    <n v="-435"/>
    <n v="5011"/>
    <x v="5"/>
    <x v="32"/>
    <x v="28"/>
    <x v="28"/>
  </r>
  <r>
    <s v="27.08.2023"/>
    <s v="PV 2308017"/>
    <s v="PO"/>
    <m/>
    <x v="447"/>
    <n v="1611"/>
    <n v="0"/>
    <n v="-1611"/>
    <n v="5011"/>
    <x v="5"/>
    <x v="8"/>
    <x v="28"/>
    <x v="28"/>
  </r>
  <r>
    <s v="21.05.2023"/>
    <s v="PV 2305005"/>
    <s v="PO"/>
    <m/>
    <x v="699"/>
    <n v="2000"/>
    <n v="0"/>
    <n v="-2000"/>
    <n v="5011"/>
    <x v="5"/>
    <x v="11"/>
    <x v="28"/>
    <x v="28"/>
  </r>
  <r>
    <s v="04.07.2023"/>
    <s v="PV 2307002"/>
    <s v="PO"/>
    <m/>
    <x v="700"/>
    <n v="3800"/>
    <n v="0"/>
    <n v="-3800"/>
    <n v="5011"/>
    <x v="5"/>
    <x v="11"/>
    <x v="28"/>
    <x v="28"/>
  </r>
  <r>
    <s v="18.09.2023"/>
    <s v="PV 2309009"/>
    <s v="PO"/>
    <m/>
    <x v="41"/>
    <n v="3000"/>
    <n v="0"/>
    <n v="-3000"/>
    <n v="5011"/>
    <x v="5"/>
    <x v="11"/>
    <x v="28"/>
    <x v="28"/>
  </r>
  <r>
    <s v="01.12.2023"/>
    <s v="PV 2312001"/>
    <s v="PO"/>
    <m/>
    <x v="701"/>
    <n v="4030"/>
    <n v="0"/>
    <n v="-4030"/>
    <n v="5011"/>
    <x v="5"/>
    <x v="11"/>
    <x v="28"/>
    <x v="28"/>
  </r>
  <r>
    <s v="31.12.2023"/>
    <s v="VL stř"/>
    <s v="IN"/>
    <m/>
    <x v="12"/>
    <n v="156515"/>
    <n v="0"/>
    <n v="-156515"/>
    <n v="5011"/>
    <x v="5"/>
    <x v="0"/>
    <x v="28"/>
    <x v="28"/>
  </r>
  <r>
    <s v="30.04.2023"/>
    <s v="D 2304009"/>
    <s v="IN"/>
    <m/>
    <x v="702"/>
    <n v="24300"/>
    <n v="0"/>
    <n v="-24300"/>
    <n v="5011"/>
    <x v="5"/>
    <x v="33"/>
    <x v="28"/>
    <x v="28"/>
  </r>
  <r>
    <s v="20.06.2023"/>
    <s v="D 2306001"/>
    <s v="IN"/>
    <m/>
    <x v="702"/>
    <n v="17415"/>
    <n v="0"/>
    <n v="-17415"/>
    <n v="5011"/>
    <x v="5"/>
    <x v="33"/>
    <x v="28"/>
    <x v="28"/>
  </r>
  <r>
    <s v="02.01.2023"/>
    <s v="D 2301001"/>
    <s v="IN"/>
    <m/>
    <x v="703"/>
    <n v="601.63"/>
    <n v="0"/>
    <n v="-601.63"/>
    <n v="5011"/>
    <x v="5"/>
    <x v="26"/>
    <x v="28"/>
    <x v="28"/>
  </r>
  <r>
    <s v="14.04.2023"/>
    <s v="D 2304004"/>
    <s v="IN"/>
    <m/>
    <x v="704"/>
    <n v="1530.37"/>
    <n v="0"/>
    <n v="-1530.37"/>
    <n v="5011"/>
    <x v="5"/>
    <x v="26"/>
    <x v="28"/>
    <x v="28"/>
  </r>
  <r>
    <s v="31.12.2023"/>
    <s v="D 2312004"/>
    <s v="IN"/>
    <m/>
    <x v="705"/>
    <n v="31559"/>
    <n v="0"/>
    <n v="-31559"/>
    <n v="5011"/>
    <x v="5"/>
    <x v="34"/>
    <x v="28"/>
    <x v="28"/>
  </r>
  <r>
    <s v="31.01.2023"/>
    <s v="VF2301001"/>
    <s v="FV"/>
    <s v="Saros Olomouc, z.s."/>
    <x v="706"/>
    <n v="0"/>
    <n v="1600"/>
    <n v="1600"/>
    <n v="5011"/>
    <x v="5"/>
    <x v="35"/>
    <x v="28"/>
    <x v="28"/>
  </r>
  <r>
    <s v="16.04.2023"/>
    <s v="VF2301003"/>
    <s v="FV"/>
    <s v="David Polánek"/>
    <x v="706"/>
    <n v="0"/>
    <n v="500"/>
    <n v="500"/>
    <n v="5011"/>
    <x v="5"/>
    <x v="35"/>
    <x v="28"/>
    <x v="28"/>
  </r>
  <r>
    <s v="14.05.2023"/>
    <s v="VF2301004"/>
    <s v="FV"/>
    <s v="FBC Droždín, z.s."/>
    <x v="707"/>
    <n v="0"/>
    <n v="2400"/>
    <n v="2400"/>
    <n v="5011"/>
    <x v="5"/>
    <x v="35"/>
    <x v="28"/>
    <x v="28"/>
  </r>
  <r>
    <s v="25.07.2023"/>
    <s v="VF2301005"/>
    <s v="FV"/>
    <s v="Peaches IBK, z.s."/>
    <x v="708"/>
    <n v="0"/>
    <n v="2700"/>
    <n v="2700"/>
    <n v="5011"/>
    <x v="5"/>
    <x v="35"/>
    <x v="28"/>
    <x v="28"/>
  </r>
  <r>
    <s v="31.12.2023"/>
    <s v="VF2301017"/>
    <s v="FV"/>
    <s v="FBC Droždín, z.s."/>
    <x v="709"/>
    <n v="0"/>
    <n v="4200"/>
    <n v="4200"/>
    <n v="5011"/>
    <x v="5"/>
    <x v="35"/>
    <x v="28"/>
    <x v="28"/>
  </r>
  <r>
    <s v="31.12.2023"/>
    <s v="VF2301019"/>
    <s v="FV"/>
    <s v="Saros Olomouc, z.s."/>
    <x v="710"/>
    <n v="0"/>
    <n v="12600"/>
    <n v="12600"/>
    <n v="5011"/>
    <x v="5"/>
    <x v="35"/>
    <x v="28"/>
    <x v="28"/>
  </r>
  <r>
    <s v="02.01.2023"/>
    <s v="D 2301004"/>
    <s v="IN"/>
    <m/>
    <x v="711"/>
    <n v="0"/>
    <n v="396264.06"/>
    <n v="396264.06"/>
    <n v="5011"/>
    <x v="5"/>
    <x v="18"/>
    <x v="28"/>
    <x v="28"/>
  </r>
  <r>
    <s v="31.01.2023"/>
    <s v="D 2301018"/>
    <s v="IN"/>
    <m/>
    <x v="712"/>
    <n v="0"/>
    <n v="15000"/>
    <n v="15000"/>
    <n v="5011"/>
    <x v="5"/>
    <x v="18"/>
    <x v="28"/>
    <x v="28"/>
  </r>
  <r>
    <s v="05.04.2023"/>
    <s v="VF2301002"/>
    <s v="FV"/>
    <s v="Pivovary CZ Group a. s."/>
    <x v="713"/>
    <n v="0"/>
    <n v="49316"/>
    <n v="49316"/>
    <n v="5011"/>
    <x v="5"/>
    <x v="18"/>
    <x v="28"/>
    <x v="28"/>
  </r>
  <r>
    <s v="15.08.2023"/>
    <s v="PP 2308003"/>
    <s v="PO"/>
    <m/>
    <x v="714"/>
    <n v="0"/>
    <n v="21739.129999999997"/>
    <n v="21739.129999999997"/>
    <n v="5011"/>
    <x v="5"/>
    <x v="18"/>
    <x v="28"/>
    <x v="28"/>
  </r>
  <r>
    <s v="31.08.2023"/>
    <s v="VF2301007"/>
    <s v="FV"/>
    <s v="Galerie Šantovka a.s."/>
    <x v="715"/>
    <n v="0"/>
    <n v="33195.269999999997"/>
    <n v="33195.269999999997"/>
    <n v="5011"/>
    <x v="5"/>
    <x v="18"/>
    <x v="28"/>
    <x v="28"/>
  </r>
  <r>
    <s v="31.08.2023"/>
    <s v="VF2301009"/>
    <s v="FV"/>
    <s v="SNOWBALL s.r.o."/>
    <x v="716"/>
    <n v="0"/>
    <n v="20000"/>
    <n v="20000"/>
    <n v="5011"/>
    <x v="5"/>
    <x v="18"/>
    <x v="28"/>
    <x v="28"/>
  </r>
  <r>
    <s v="01.09.2023"/>
    <s v="VF2301010"/>
    <s v="FV"/>
    <s v="MONTERBET s.r.o."/>
    <x v="717"/>
    <n v="0"/>
    <n v="5000"/>
    <n v="5000"/>
    <n v="5011"/>
    <x v="5"/>
    <x v="18"/>
    <x v="28"/>
    <x v="28"/>
  </r>
  <r>
    <s v="01.09.2023"/>
    <s v="VF2301011"/>
    <s v="FV"/>
    <s v="MONTERBET s.r.o."/>
    <x v="718"/>
    <n v="0"/>
    <n v="10000"/>
    <n v="10000"/>
    <n v="5011"/>
    <x v="5"/>
    <x v="18"/>
    <x v="28"/>
    <x v="28"/>
  </r>
  <r>
    <s v="28.09.2023"/>
    <s v="VF2301012"/>
    <s v="FV"/>
    <s v="BB Haná s.r.o."/>
    <x v="719"/>
    <n v="0"/>
    <n v="6672.76"/>
    <n v="6672.76"/>
    <n v="5011"/>
    <x v="5"/>
    <x v="18"/>
    <x v="28"/>
    <x v="28"/>
  </r>
  <r>
    <s v="28.09.2023"/>
    <s v="VF2301013"/>
    <s v="FV"/>
    <s v="BB Haná s.r.o."/>
    <x v="720"/>
    <n v="0"/>
    <n v="8026.3200000000006"/>
    <n v="8026.3200000000006"/>
    <n v="5011"/>
    <x v="5"/>
    <x v="18"/>
    <x v="28"/>
    <x v="28"/>
  </r>
  <r>
    <s v="30.09.2023"/>
    <s v="D 2309010"/>
    <s v="IN"/>
    <m/>
    <x v="721"/>
    <n v="0"/>
    <n v="6335.1500000000005"/>
    <n v="6335.1500000000005"/>
    <n v="5011"/>
    <x v="5"/>
    <x v="18"/>
    <x v="28"/>
    <x v="28"/>
  </r>
  <r>
    <s v="13.11.2023"/>
    <s v="VF2301015"/>
    <s v="FV"/>
    <s v="Cash trade s.r.o."/>
    <x v="722"/>
    <n v="0"/>
    <n v="19242.97"/>
    <n v="19242.97"/>
    <n v="5011"/>
    <x v="5"/>
    <x v="18"/>
    <x v="28"/>
    <x v="28"/>
  </r>
  <r>
    <s v="31.12.2023"/>
    <s v="VF2301016"/>
    <s v="FV"/>
    <s v="SPORTAGON CZ s.r.o."/>
    <x v="723"/>
    <n v="0"/>
    <n v="7368"/>
    <n v="7368"/>
    <n v="5011"/>
    <x v="5"/>
    <x v="18"/>
    <x v="28"/>
    <x v="28"/>
  </r>
  <r>
    <s v="31.12.2023"/>
    <s v="VF2301018"/>
    <s v="FV"/>
    <s v="Pohostinství u Popelků"/>
    <x v="724"/>
    <n v="0"/>
    <n v="3666.67"/>
    <n v="3666.67"/>
    <n v="5011"/>
    <x v="5"/>
    <x v="18"/>
    <x v="28"/>
    <x v="28"/>
  </r>
  <r>
    <s v="16.03.2023"/>
    <s v="FIO0030080"/>
    <s v="BV"/>
    <m/>
    <x v="68"/>
    <n v="0"/>
    <n v="170000"/>
    <n v="170000"/>
    <n v="5011"/>
    <x v="5"/>
    <x v="36"/>
    <x v="28"/>
    <x v="28"/>
  </r>
  <r>
    <s v="08.08.2023"/>
    <s v="FIO0080015"/>
    <s v="BV"/>
    <m/>
    <x v="68"/>
    <n v="0"/>
    <n v="85000"/>
    <n v="85000"/>
    <n v="5011"/>
    <x v="5"/>
    <x v="36"/>
    <x v="28"/>
    <x v="28"/>
  </r>
  <r>
    <s v="21.04.2023"/>
    <s v="FIO0040115"/>
    <s v="BV"/>
    <m/>
    <x v="68"/>
    <n v="0"/>
    <n v="62000"/>
    <n v="62000"/>
    <n v="5011"/>
    <x v="5"/>
    <x v="37"/>
    <x v="28"/>
    <x v="28"/>
  </r>
  <r>
    <s v="21.04.2023"/>
    <s v="FIO0040116"/>
    <s v="BV"/>
    <m/>
    <x v="68"/>
    <n v="0"/>
    <n v="60000"/>
    <n v="60000"/>
    <n v="5011"/>
    <x v="5"/>
    <x v="37"/>
    <x v="28"/>
    <x v="28"/>
  </r>
  <r>
    <s v="19.05.2023"/>
    <s v="FIO0050202"/>
    <s v="BV"/>
    <m/>
    <x v="725"/>
    <n v="0"/>
    <n v="47700"/>
    <n v="47700"/>
    <n v="5011"/>
    <x v="5"/>
    <x v="38"/>
    <x v="28"/>
    <x v="28"/>
  </r>
  <r>
    <s v="20.07.2023"/>
    <s v="FIO0070115"/>
    <s v="BV"/>
    <m/>
    <x v="726"/>
    <n v="0"/>
    <n v="565248"/>
    <n v="565248"/>
    <n v="5011"/>
    <x v="5"/>
    <x v="38"/>
    <x v="28"/>
    <x v="28"/>
  </r>
  <r>
    <s v="28.09.2023"/>
    <s v="PV 2309014"/>
    <s v="PO"/>
    <m/>
    <x v="727"/>
    <n v="400"/>
    <n v="0"/>
    <n v="-400"/>
    <n v="5012"/>
    <x v="5"/>
    <x v="21"/>
    <x v="29"/>
    <x v="29"/>
  </r>
  <r>
    <s v="08.10.2023"/>
    <s v="PV 2310003"/>
    <s v="PO"/>
    <m/>
    <x v="728"/>
    <n v="689"/>
    <n v="0"/>
    <n v="-689"/>
    <n v="5012"/>
    <x v="5"/>
    <x v="21"/>
    <x v="29"/>
    <x v="29"/>
  </r>
  <r>
    <s v="08.10.2023"/>
    <s v="PV 2310004"/>
    <s v="PO"/>
    <m/>
    <x v="729"/>
    <n v="320"/>
    <n v="0"/>
    <n v="-320"/>
    <n v="5012"/>
    <x v="5"/>
    <x v="21"/>
    <x v="29"/>
    <x v="29"/>
  </r>
  <r>
    <s v="23.10.2023"/>
    <s v="PV 2310009"/>
    <s v="PO"/>
    <m/>
    <x v="730"/>
    <n v="750"/>
    <n v="0"/>
    <n v="-750"/>
    <n v="5012"/>
    <x v="5"/>
    <x v="21"/>
    <x v="29"/>
    <x v="29"/>
  </r>
  <r>
    <s v="29.10.2023"/>
    <s v="PV 2310014"/>
    <s v="PO"/>
    <m/>
    <x v="729"/>
    <n v="330"/>
    <n v="0"/>
    <n v="-330"/>
    <n v="5012"/>
    <x v="5"/>
    <x v="21"/>
    <x v="29"/>
    <x v="29"/>
  </r>
  <r>
    <s v="31.01.2023"/>
    <s v="PF 2301009"/>
    <s v="FP"/>
    <s v="Střední škola polytechnická"/>
    <x v="731"/>
    <n v="3025"/>
    <n v="0"/>
    <n v="-3025"/>
    <n v="5012"/>
    <x v="5"/>
    <x v="32"/>
    <x v="29"/>
    <x v="29"/>
  </r>
  <r>
    <s v="28.02.2023"/>
    <s v="PF 2302012"/>
    <s v="FP"/>
    <s v="Střední škola polytechnická"/>
    <x v="732"/>
    <n v="3025"/>
    <n v="0"/>
    <n v="-3025"/>
    <n v="5012"/>
    <x v="5"/>
    <x v="32"/>
    <x v="29"/>
    <x v="29"/>
  </r>
  <r>
    <s v="31.03.2023"/>
    <s v="PF 2303025"/>
    <s v="FP"/>
    <s v="Střední škola polytechnická"/>
    <x v="733"/>
    <n v="3025"/>
    <n v="0"/>
    <n v="-3025"/>
    <n v="5012"/>
    <x v="5"/>
    <x v="32"/>
    <x v="29"/>
    <x v="29"/>
  </r>
  <r>
    <s v="30.04.2023"/>
    <s v="PF 2304022"/>
    <s v="FP"/>
    <s v="Střední škola polytechnická"/>
    <x v="734"/>
    <n v="3025"/>
    <n v="0"/>
    <n v="-3025"/>
    <n v="5012"/>
    <x v="5"/>
    <x v="32"/>
    <x v="29"/>
    <x v="29"/>
  </r>
  <r>
    <s v="31.05.2023"/>
    <s v="PF 2305029"/>
    <s v="FP"/>
    <s v="Střední škola polytechnická"/>
    <x v="735"/>
    <n v="3025"/>
    <n v="0"/>
    <n v="-3025"/>
    <n v="5012"/>
    <x v="5"/>
    <x v="32"/>
    <x v="29"/>
    <x v="29"/>
  </r>
  <r>
    <s v="30.06.2023"/>
    <s v="PF2306013"/>
    <s v="FP"/>
    <s v="Střední škola polytechnická"/>
    <x v="736"/>
    <n v="3025"/>
    <n v="0"/>
    <n v="-3025"/>
    <n v="5012"/>
    <x v="5"/>
    <x v="32"/>
    <x v="29"/>
    <x v="29"/>
  </r>
  <r>
    <s v="31.07.2023"/>
    <s v="PF2307011"/>
    <s v="FP"/>
    <s v="Střední škola polytechnická, Olomouc, Rooseveltova 79"/>
    <x v="737"/>
    <n v="3482.38"/>
    <n v="0"/>
    <n v="-3482.38"/>
    <n v="5012"/>
    <x v="5"/>
    <x v="32"/>
    <x v="29"/>
    <x v="29"/>
  </r>
  <r>
    <s v="31.08.2023"/>
    <s v="PF 2308016"/>
    <s v="FP"/>
    <s v="Střední škola polytechnická, Olomouc, Rooseveltova 79"/>
    <x v="738"/>
    <n v="3482.38"/>
    <n v="0"/>
    <n v="-3482.38"/>
    <n v="5012"/>
    <x v="5"/>
    <x v="32"/>
    <x v="29"/>
    <x v="29"/>
  </r>
  <r>
    <s v="29.09.2023"/>
    <s v="PF 2309035"/>
    <s v="FP"/>
    <s v="Střední škola polytechnická, Olomouc, Rooseveltova 79"/>
    <x v="739"/>
    <n v="3482.38"/>
    <n v="0"/>
    <n v="-3482.38"/>
    <n v="5012"/>
    <x v="5"/>
    <x v="32"/>
    <x v="29"/>
    <x v="29"/>
  </r>
  <r>
    <s v="31.10.2023"/>
    <s v="PF 2310024"/>
    <s v="FP"/>
    <s v="Střední škola polytechnická, Olomouc, Rooseveltova 79"/>
    <x v="740"/>
    <n v="3482.38"/>
    <n v="0"/>
    <n v="-3482.38"/>
    <n v="5012"/>
    <x v="5"/>
    <x v="32"/>
    <x v="29"/>
    <x v="29"/>
  </r>
  <r>
    <s v="30.11.2023"/>
    <s v="PF 2311018"/>
    <s v="FP"/>
    <s v="Střední škola polytechnická, Olomouc, Rooseveltova 79"/>
    <x v="741"/>
    <n v="3482.38"/>
    <n v="0"/>
    <n v="-3482.38"/>
    <n v="5012"/>
    <x v="5"/>
    <x v="32"/>
    <x v="29"/>
    <x v="29"/>
  </r>
  <r>
    <s v="31.12.2023"/>
    <s v="PF 2312023"/>
    <s v="FP"/>
    <s v="Střední škola polytechnická, Olomouc, Rooseveltova 79"/>
    <x v="742"/>
    <n v="3482.38"/>
    <n v="0"/>
    <n v="-3482.38"/>
    <n v="5012"/>
    <x v="5"/>
    <x v="32"/>
    <x v="29"/>
    <x v="29"/>
  </r>
  <r>
    <s v="15.01.2023"/>
    <s v="PF 2301004"/>
    <s v="FP"/>
    <s v="1. SC Vítkovice z. s."/>
    <x v="237"/>
    <n v="1500"/>
    <n v="0"/>
    <n v="-1500"/>
    <n v="5031"/>
    <x v="5"/>
    <x v="6"/>
    <x v="30"/>
    <x v="30"/>
  </r>
  <r>
    <s v="30.11.2023"/>
    <s v="PF 2311015"/>
    <s v="FP"/>
    <s v="Český florbal s.r.o."/>
    <x v="743"/>
    <n v="990"/>
    <n v="0"/>
    <n v="-990"/>
    <n v="5032"/>
    <x v="5"/>
    <x v="21"/>
    <x v="31"/>
    <x v="31"/>
  </r>
  <r>
    <s v="29.06.2023"/>
    <s v="PF2306025"/>
    <s v="FP"/>
    <s v="Český florbal"/>
    <x v="744"/>
    <n v="135800"/>
    <n v="0"/>
    <n v="-135800"/>
    <n v="5032"/>
    <x v="5"/>
    <x v="6"/>
    <x v="31"/>
    <x v="31"/>
  </r>
  <r>
    <s v="27.07.2023"/>
    <s v="PF2307014"/>
    <s v="FP"/>
    <s v="Český florbal"/>
    <x v="744"/>
    <n v="55000"/>
    <n v="0"/>
    <n v="-55000"/>
    <n v="5032"/>
    <x v="5"/>
    <x v="6"/>
    <x v="31"/>
    <x v="31"/>
  </r>
  <r>
    <s v="07.09.2023"/>
    <s v="PF 2309041"/>
    <s v="FP"/>
    <s v="Český florbal"/>
    <x v="744"/>
    <n v="1000"/>
    <n v="0"/>
    <n v="-1000"/>
    <n v="5032"/>
    <x v="5"/>
    <x v="6"/>
    <x v="31"/>
    <x v="31"/>
  </r>
  <r>
    <s v="03.01.2023"/>
    <s v="FIO0010005"/>
    <s v="BV"/>
    <m/>
    <x v="745"/>
    <n v="300"/>
    <n v="0"/>
    <n v="-300"/>
    <n v="5032"/>
    <x v="5"/>
    <x v="39"/>
    <x v="31"/>
    <x v="31"/>
  </r>
  <r>
    <s v="06.01.2023"/>
    <s v="FIO0010036"/>
    <s v="BV"/>
    <m/>
    <x v="745"/>
    <n v="300"/>
    <n v="0"/>
    <n v="-300"/>
    <n v="5032"/>
    <x v="5"/>
    <x v="39"/>
    <x v="31"/>
    <x v="31"/>
  </r>
  <r>
    <s v="07.01.2023"/>
    <s v="FIO0010048"/>
    <s v="BV"/>
    <m/>
    <x v="746"/>
    <n v="250"/>
    <n v="0"/>
    <n v="-250"/>
    <n v="5032"/>
    <x v="5"/>
    <x v="39"/>
    <x v="31"/>
    <x v="31"/>
  </r>
  <r>
    <s v="07.01.2023"/>
    <s v="FIO0010049"/>
    <s v="BV"/>
    <m/>
    <x v="747"/>
    <n v="750"/>
    <n v="0"/>
    <n v="-750"/>
    <n v="5032"/>
    <x v="5"/>
    <x v="39"/>
    <x v="31"/>
    <x v="31"/>
  </r>
  <r>
    <s v="11.01.2023"/>
    <s v="FIO0010089"/>
    <s v="BV"/>
    <m/>
    <x v="748"/>
    <n v="250"/>
    <n v="0"/>
    <n v="-250"/>
    <n v="5032"/>
    <x v="5"/>
    <x v="39"/>
    <x v="31"/>
    <x v="31"/>
  </r>
  <r>
    <s v="10.02.2023"/>
    <s v="FIO0020063"/>
    <s v="BV"/>
    <m/>
    <x v="749"/>
    <n v="200"/>
    <n v="0"/>
    <n v="-200"/>
    <n v="5032"/>
    <x v="5"/>
    <x v="39"/>
    <x v="31"/>
    <x v="31"/>
  </r>
  <r>
    <s v="13.02.2023"/>
    <s v="FIO0020075"/>
    <s v="BV"/>
    <m/>
    <x v="750"/>
    <n v="300"/>
    <n v="0"/>
    <n v="-300"/>
    <n v="5032"/>
    <x v="5"/>
    <x v="39"/>
    <x v="31"/>
    <x v="31"/>
  </r>
  <r>
    <s v="16.02.2023"/>
    <s v="FIO0020118"/>
    <s v="BV"/>
    <m/>
    <x v="751"/>
    <n v="200"/>
    <n v="0"/>
    <n v="-200"/>
    <n v="5032"/>
    <x v="5"/>
    <x v="39"/>
    <x v="31"/>
    <x v="31"/>
  </r>
  <r>
    <s v="22.03.2023"/>
    <s v="FIO0030094"/>
    <s v="BV"/>
    <m/>
    <x v="745"/>
    <n v="150"/>
    <n v="0"/>
    <n v="-150"/>
    <n v="5032"/>
    <x v="5"/>
    <x v="39"/>
    <x v="31"/>
    <x v="31"/>
  </r>
  <r>
    <s v="14.07.2023"/>
    <s v="FIO0070084"/>
    <s v="BV"/>
    <m/>
    <x v="752"/>
    <n v="400"/>
    <n v="0"/>
    <n v="-400"/>
    <n v="5032"/>
    <x v="5"/>
    <x v="39"/>
    <x v="31"/>
    <x v="31"/>
  </r>
  <r>
    <s v="21.07.2023"/>
    <s v="FIO0070123"/>
    <s v="BV"/>
    <m/>
    <x v="753"/>
    <n v="500"/>
    <n v="0"/>
    <n v="-500"/>
    <n v="5032"/>
    <x v="5"/>
    <x v="39"/>
    <x v="31"/>
    <x v="31"/>
  </r>
  <r>
    <s v="23.07.2023"/>
    <s v="FIO0070126"/>
    <s v="BV"/>
    <m/>
    <x v="752"/>
    <n v="400"/>
    <n v="0"/>
    <n v="-400"/>
    <n v="5032"/>
    <x v="5"/>
    <x v="39"/>
    <x v="31"/>
    <x v="31"/>
  </r>
  <r>
    <s v="27.07.2023"/>
    <s v="FIO0070150"/>
    <s v="BV"/>
    <m/>
    <x v="754"/>
    <n v="650"/>
    <n v="0"/>
    <n v="-650"/>
    <n v="5032"/>
    <x v="5"/>
    <x v="39"/>
    <x v="31"/>
    <x v="31"/>
  </r>
  <r>
    <s v="28.07.2023"/>
    <s v="FIO0070160"/>
    <s v="BV"/>
    <m/>
    <x v="745"/>
    <n v="150"/>
    <n v="0"/>
    <n v="-150"/>
    <n v="5032"/>
    <x v="5"/>
    <x v="39"/>
    <x v="31"/>
    <x v="31"/>
  </r>
  <r>
    <s v="04.08.2023"/>
    <s v="FIO0080008"/>
    <s v="BV"/>
    <m/>
    <x v="755"/>
    <n v="1800"/>
    <n v="0"/>
    <n v="-1800"/>
    <n v="5032"/>
    <x v="5"/>
    <x v="39"/>
    <x v="31"/>
    <x v="31"/>
  </r>
  <r>
    <s v="05.08.2023"/>
    <s v="FIO0080009"/>
    <s v="BV"/>
    <m/>
    <x v="756"/>
    <n v="7500"/>
    <n v="0"/>
    <n v="-7500"/>
    <n v="5032"/>
    <x v="5"/>
    <x v="39"/>
    <x v="31"/>
    <x v="31"/>
  </r>
  <r>
    <s v="07.08.2023"/>
    <s v="FIO0080013"/>
    <s v="BV"/>
    <m/>
    <x v="746"/>
    <n v="500"/>
    <n v="0"/>
    <n v="-500"/>
    <n v="5032"/>
    <x v="5"/>
    <x v="39"/>
    <x v="31"/>
    <x v="31"/>
  </r>
  <r>
    <s v="08.08.2023"/>
    <s v="FIO0080017"/>
    <s v="BV"/>
    <m/>
    <x v="757"/>
    <n v="9750"/>
    <n v="0"/>
    <n v="-9750"/>
    <n v="5032"/>
    <x v="5"/>
    <x v="39"/>
    <x v="31"/>
    <x v="31"/>
  </r>
  <r>
    <s v="11.08.2023"/>
    <s v="FIO0080047"/>
    <s v="BV"/>
    <m/>
    <x v="758"/>
    <n v="250"/>
    <n v="0"/>
    <n v="-250"/>
    <n v="5032"/>
    <x v="5"/>
    <x v="39"/>
    <x v="31"/>
    <x v="31"/>
  </r>
  <r>
    <s v="16.08.2023"/>
    <s v="FIO0080077"/>
    <s v="BV"/>
    <m/>
    <x v="759"/>
    <n v="2000"/>
    <n v="0"/>
    <n v="-2000"/>
    <n v="5032"/>
    <x v="5"/>
    <x v="39"/>
    <x v="31"/>
    <x v="31"/>
  </r>
  <r>
    <s v="18.08.2023"/>
    <s v="FIO0080091"/>
    <s v="BV"/>
    <m/>
    <x v="760"/>
    <n v="2850"/>
    <n v="0"/>
    <n v="-2850"/>
    <n v="5032"/>
    <x v="5"/>
    <x v="39"/>
    <x v="31"/>
    <x v="31"/>
  </r>
  <r>
    <s v="19.08.2023"/>
    <s v="FIO0080093"/>
    <s v="BV"/>
    <m/>
    <x v="749"/>
    <n v="750"/>
    <n v="0"/>
    <n v="-750"/>
    <n v="5032"/>
    <x v="5"/>
    <x v="39"/>
    <x v="31"/>
    <x v="31"/>
  </r>
  <r>
    <s v="24.08.2023"/>
    <s v="FIO0080110"/>
    <s v="BV"/>
    <m/>
    <x v="761"/>
    <n v="15000"/>
    <n v="0"/>
    <n v="-15000"/>
    <n v="5032"/>
    <x v="5"/>
    <x v="39"/>
    <x v="31"/>
    <x v="31"/>
  </r>
  <r>
    <s v="24.08.2023"/>
    <s v="FIO0080112"/>
    <s v="BV"/>
    <m/>
    <x v="749"/>
    <n v="13500"/>
    <n v="0"/>
    <n v="-13500"/>
    <n v="5032"/>
    <x v="5"/>
    <x v="39"/>
    <x v="31"/>
    <x v="31"/>
  </r>
  <r>
    <s v="25.08.2023"/>
    <s v="FIO0080113"/>
    <s v="BV"/>
    <m/>
    <x v="746"/>
    <n v="500"/>
    <n v="0"/>
    <n v="-500"/>
    <n v="5032"/>
    <x v="5"/>
    <x v="39"/>
    <x v="31"/>
    <x v="31"/>
  </r>
  <r>
    <s v="05.09.2023"/>
    <s v="FIO0090008"/>
    <s v="BV"/>
    <m/>
    <x v="758"/>
    <n v="300"/>
    <n v="0"/>
    <n v="-300"/>
    <n v="5032"/>
    <x v="5"/>
    <x v="39"/>
    <x v="31"/>
    <x v="31"/>
  </r>
  <r>
    <s v="05.09.2023"/>
    <s v="FIO0090009"/>
    <s v="BV"/>
    <m/>
    <x v="761"/>
    <n v="3000"/>
    <n v="0"/>
    <n v="-3000"/>
    <n v="5032"/>
    <x v="5"/>
    <x v="39"/>
    <x v="31"/>
    <x v="31"/>
  </r>
  <r>
    <s v="06.09.2023"/>
    <s v="FIO0090010"/>
    <s v="BV"/>
    <m/>
    <x v="762"/>
    <n v="2250"/>
    <n v="0"/>
    <n v="-2250"/>
    <n v="5032"/>
    <x v="5"/>
    <x v="39"/>
    <x v="31"/>
    <x v="31"/>
  </r>
  <r>
    <s v="06.09.2023"/>
    <s v="FIO0090012"/>
    <s v="BV"/>
    <m/>
    <x v="763"/>
    <n v="1300"/>
    <n v="0"/>
    <n v="-1300"/>
    <n v="5032"/>
    <x v="5"/>
    <x v="39"/>
    <x v="31"/>
    <x v="31"/>
  </r>
  <r>
    <s v="07.09.2023"/>
    <s v="FIO0090013"/>
    <s v="BV"/>
    <m/>
    <x v="749"/>
    <n v="9300"/>
    <n v="0"/>
    <n v="-9300"/>
    <n v="5032"/>
    <x v="5"/>
    <x v="39"/>
    <x v="31"/>
    <x v="31"/>
  </r>
  <r>
    <s v="07.09.2023"/>
    <s v="FIO0090015"/>
    <s v="BV"/>
    <m/>
    <x v="761"/>
    <n v="1000"/>
    <n v="0"/>
    <n v="-1000"/>
    <n v="5032"/>
    <x v="5"/>
    <x v="39"/>
    <x v="31"/>
    <x v="31"/>
  </r>
  <r>
    <s v="07.09.2023"/>
    <s v="FIO0090016"/>
    <s v="BV"/>
    <m/>
    <x v="758"/>
    <n v="250"/>
    <n v="0"/>
    <n v="-250"/>
    <n v="5032"/>
    <x v="5"/>
    <x v="39"/>
    <x v="31"/>
    <x v="31"/>
  </r>
  <r>
    <s v="08.09.2023"/>
    <s v="FIO0090017"/>
    <s v="BV"/>
    <m/>
    <x v="748"/>
    <n v="250"/>
    <n v="0"/>
    <n v="-250"/>
    <n v="5032"/>
    <x v="5"/>
    <x v="39"/>
    <x v="31"/>
    <x v="31"/>
  </r>
  <r>
    <s v="09.09.2023"/>
    <s v="FIO0090018"/>
    <s v="BV"/>
    <m/>
    <x v="749"/>
    <n v="1500"/>
    <n v="0"/>
    <n v="-1500"/>
    <n v="5032"/>
    <x v="5"/>
    <x v="39"/>
    <x v="31"/>
    <x v="31"/>
  </r>
  <r>
    <s v="12.09.2023"/>
    <s v="PF 2309008"/>
    <s v="FP"/>
    <s v="Český florbal s.r.o."/>
    <x v="764"/>
    <n v="5000"/>
    <n v="0"/>
    <n v="-5000"/>
    <n v="5032"/>
    <x v="5"/>
    <x v="39"/>
    <x v="31"/>
    <x v="31"/>
  </r>
  <r>
    <s v="14.09.2023"/>
    <s v="FIO0090091"/>
    <s v="BV"/>
    <m/>
    <x v="751"/>
    <n v="900"/>
    <n v="0"/>
    <n v="-900"/>
    <n v="5032"/>
    <x v="5"/>
    <x v="39"/>
    <x v="31"/>
    <x v="31"/>
  </r>
  <r>
    <s v="19.09.2023"/>
    <s v="FIO0090131"/>
    <s v="BV"/>
    <m/>
    <x v="765"/>
    <n v="900"/>
    <n v="0"/>
    <n v="-900"/>
    <n v="5032"/>
    <x v="5"/>
    <x v="39"/>
    <x v="31"/>
    <x v="31"/>
  </r>
  <r>
    <s v="20.09.2023"/>
    <s v="FIO0090158"/>
    <s v="BV"/>
    <m/>
    <x v="765"/>
    <n v="2500"/>
    <n v="0"/>
    <n v="-2500"/>
    <n v="5032"/>
    <x v="5"/>
    <x v="39"/>
    <x v="31"/>
    <x v="31"/>
  </r>
  <r>
    <s v="27.09.2023"/>
    <s v="FIO0090246"/>
    <s v="BV"/>
    <m/>
    <x v="748"/>
    <n v="250"/>
    <n v="0"/>
    <n v="-250"/>
    <n v="5032"/>
    <x v="5"/>
    <x v="39"/>
    <x v="31"/>
    <x v="31"/>
  </r>
  <r>
    <s v="30.09.2023"/>
    <s v="FIO0090275"/>
    <s v="BV"/>
    <m/>
    <x v="760"/>
    <n v="800"/>
    <n v="0"/>
    <n v="-800"/>
    <n v="5032"/>
    <x v="5"/>
    <x v="39"/>
    <x v="31"/>
    <x v="31"/>
  </r>
  <r>
    <s v="03.10.2023"/>
    <s v="FIO0100019"/>
    <s v="BV"/>
    <m/>
    <x v="749"/>
    <n v="1250"/>
    <n v="0"/>
    <n v="-1250"/>
    <n v="5032"/>
    <x v="5"/>
    <x v="39"/>
    <x v="31"/>
    <x v="31"/>
  </r>
  <r>
    <s v="06.10.2023"/>
    <s v="FIO0100054"/>
    <s v="BV"/>
    <m/>
    <x v="766"/>
    <n v="150"/>
    <n v="0"/>
    <n v="-150"/>
    <n v="5032"/>
    <x v="5"/>
    <x v="39"/>
    <x v="31"/>
    <x v="31"/>
  </r>
  <r>
    <s v="07.10.2023"/>
    <s v="FIO0100057"/>
    <s v="BV"/>
    <m/>
    <x v="749"/>
    <n v="1250"/>
    <n v="0"/>
    <n v="-1250"/>
    <n v="5032"/>
    <x v="5"/>
    <x v="39"/>
    <x v="31"/>
    <x v="31"/>
  </r>
  <r>
    <s v="10.10.2023"/>
    <s v="FIO0100092"/>
    <s v="BV"/>
    <m/>
    <x v="746"/>
    <n v="250"/>
    <n v="0"/>
    <n v="-250"/>
    <n v="5032"/>
    <x v="5"/>
    <x v="39"/>
    <x v="31"/>
    <x v="31"/>
  </r>
  <r>
    <s v="18.10.2023"/>
    <s v="FIO0100181"/>
    <s v="BV"/>
    <m/>
    <x v="767"/>
    <n v="300"/>
    <n v="0"/>
    <n v="-300"/>
    <n v="5032"/>
    <x v="5"/>
    <x v="39"/>
    <x v="31"/>
    <x v="31"/>
  </r>
  <r>
    <s v="29.10.2023"/>
    <s v="FIO0100213"/>
    <s v="BV"/>
    <m/>
    <x v="756"/>
    <n v="500"/>
    <n v="0"/>
    <n v="-500"/>
    <n v="5032"/>
    <x v="5"/>
    <x v="39"/>
    <x v="31"/>
    <x v="31"/>
  </r>
  <r>
    <s v="02.11.2023"/>
    <s v="FIO0110005"/>
    <s v="BV"/>
    <m/>
    <x v="745"/>
    <n v="300"/>
    <n v="0"/>
    <n v="-300"/>
    <n v="5032"/>
    <x v="5"/>
    <x v="39"/>
    <x v="31"/>
    <x v="31"/>
  </r>
  <r>
    <s v="03.11.2023"/>
    <s v="FIO0110007"/>
    <s v="BV"/>
    <m/>
    <x v="747"/>
    <n v="750"/>
    <n v="0"/>
    <n v="-750"/>
    <n v="5032"/>
    <x v="5"/>
    <x v="39"/>
    <x v="31"/>
    <x v="31"/>
  </r>
  <r>
    <s v="12.11.2023"/>
    <s v="FIO0110107"/>
    <s v="BV"/>
    <m/>
    <x v="745"/>
    <n v="150"/>
    <n v="0"/>
    <n v="-150"/>
    <n v="5032"/>
    <x v="5"/>
    <x v="39"/>
    <x v="31"/>
    <x v="31"/>
  </r>
  <r>
    <s v="17.11.2023"/>
    <s v="FIO0110141"/>
    <s v="BV"/>
    <m/>
    <x v="747"/>
    <n v="750"/>
    <n v="0"/>
    <n v="-750"/>
    <n v="5032"/>
    <x v="5"/>
    <x v="39"/>
    <x v="31"/>
    <x v="31"/>
  </r>
  <r>
    <s v="28.11.2023"/>
    <s v="FIO0110176"/>
    <s v="BV"/>
    <m/>
    <x v="750"/>
    <n v="250"/>
    <n v="0"/>
    <n v="-250"/>
    <n v="5032"/>
    <x v="5"/>
    <x v="39"/>
    <x v="31"/>
    <x v="31"/>
  </r>
  <r>
    <s v="02.12.2023"/>
    <s v="FIO0120002"/>
    <s v="BV"/>
    <m/>
    <x v="749"/>
    <n v="750"/>
    <n v="0"/>
    <n v="-750"/>
    <n v="5032"/>
    <x v="5"/>
    <x v="39"/>
    <x v="31"/>
    <x v="31"/>
  </r>
  <r>
    <s v="05.12.2023"/>
    <s v="FIO0120012"/>
    <s v="BV"/>
    <m/>
    <x v="68"/>
    <n v="250"/>
    <n v="0"/>
    <n v="-250"/>
    <n v="5032"/>
    <x v="5"/>
    <x v="39"/>
    <x v="31"/>
    <x v="31"/>
  </r>
  <r>
    <s v="08.12.2023"/>
    <s v="FIO0120041"/>
    <s v="BV"/>
    <m/>
    <x v="68"/>
    <n v="750"/>
    <n v="0"/>
    <n v="-750"/>
    <n v="5032"/>
    <x v="5"/>
    <x v="39"/>
    <x v="31"/>
    <x v="31"/>
  </r>
  <r>
    <s v="02.01.2023"/>
    <s v="D 2301002"/>
    <s v="IN"/>
    <m/>
    <x v="768"/>
    <n v="37956.880000000005"/>
    <n v="0"/>
    <n v="-37956.880000000005"/>
    <n v="5051"/>
    <x v="5"/>
    <x v="29"/>
    <x v="32"/>
    <x v="32"/>
  </r>
  <r>
    <s v="02.01.2023"/>
    <s v="PF 2301001"/>
    <s v="FP"/>
    <s v="OLC Systems s.r.o."/>
    <x v="769"/>
    <n v="938.55"/>
    <n v="0"/>
    <n v="-938.55"/>
    <n v="5051"/>
    <x v="5"/>
    <x v="29"/>
    <x v="32"/>
    <x v="32"/>
  </r>
  <r>
    <s v="03.01.2023"/>
    <s v="PF 2301002"/>
    <s v="FP"/>
    <s v="OLC Systems s.r.o."/>
    <x v="770"/>
    <n v="4788"/>
    <n v="0"/>
    <n v="-4788"/>
    <n v="5051"/>
    <x v="5"/>
    <x v="29"/>
    <x v="32"/>
    <x v="32"/>
  </r>
  <r>
    <s v="03.05.2023"/>
    <s v="PF 2305003"/>
    <s v="FP"/>
    <s v="eos media s.r.o."/>
    <x v="771"/>
    <n v="3812.7799999999997"/>
    <n v="0"/>
    <n v="-3812.7799999999997"/>
    <n v="5051"/>
    <x v="5"/>
    <x v="29"/>
    <x v="32"/>
    <x v="32"/>
  </r>
  <r>
    <s v="31.08.2023"/>
    <s v="PF 2308023"/>
    <s v="FP"/>
    <s v="eos media s.r.o."/>
    <x v="771"/>
    <n v="8349"/>
    <n v="0"/>
    <n v="-8349"/>
    <n v="5051"/>
    <x v="5"/>
    <x v="29"/>
    <x v="32"/>
    <x v="32"/>
  </r>
  <r>
    <s v="28.06.2023"/>
    <s v="PV 2306003"/>
    <s v="PO"/>
    <m/>
    <x v="729"/>
    <n v="288"/>
    <n v="0"/>
    <n v="-288"/>
    <n v="5061"/>
    <x v="5"/>
    <x v="21"/>
    <x v="33"/>
    <x v="33"/>
  </r>
  <r>
    <s v="20.03.2023"/>
    <s v="PF 2303010"/>
    <s v="FP"/>
    <s v="Střední škola polytechnická"/>
    <x v="772"/>
    <n v="1460"/>
    <n v="0"/>
    <n v="-1460"/>
    <n v="5061"/>
    <x v="5"/>
    <x v="16"/>
    <x v="33"/>
    <x v="33"/>
  </r>
  <r>
    <s v="31.01.2023"/>
    <s v="PF 2301010"/>
    <s v="FP"/>
    <s v="Střední škola polytechnická, Olomouc, Rooseveltova 79"/>
    <x v="773"/>
    <n v="46875"/>
    <n v="0"/>
    <n v="-46875"/>
    <n v="5061"/>
    <x v="5"/>
    <x v="7"/>
    <x v="33"/>
    <x v="33"/>
  </r>
  <r>
    <s v="31.01.2023"/>
    <s v="PF 2301011"/>
    <s v="FP"/>
    <s v="Střední škola zemědělská a zahradnická, Olomouc, U Hradiska 4"/>
    <x v="774"/>
    <n v="14880"/>
    <n v="0"/>
    <n v="-14880"/>
    <n v="5061"/>
    <x v="5"/>
    <x v="7"/>
    <x v="33"/>
    <x v="33"/>
  </r>
  <r>
    <s v="31.01.2023"/>
    <s v="PF 2301013"/>
    <s v="FP"/>
    <s v="Základní škola  Olomouc, tř. Spojenců 8, příspěvková organizace"/>
    <x v="774"/>
    <n v="3500"/>
    <n v="0"/>
    <n v="-3500"/>
    <n v="5061"/>
    <x v="5"/>
    <x v="7"/>
    <x v="33"/>
    <x v="33"/>
  </r>
  <r>
    <s v="31.01.2023"/>
    <s v="PF 2301016"/>
    <s v="FP"/>
    <s v="Slovanské gymnázium"/>
    <x v="775"/>
    <n v="25025"/>
    <n v="0"/>
    <n v="-25025"/>
    <n v="5061"/>
    <x v="5"/>
    <x v="7"/>
    <x v="33"/>
    <x v="33"/>
  </r>
  <r>
    <s v="31.01.2023"/>
    <s v="PF 2301021"/>
    <s v="FP"/>
    <s v="Obchodní akademie, Olomouc, tř. Spojenců 11"/>
    <x v="774"/>
    <n v="8400"/>
    <n v="0"/>
    <n v="-8400"/>
    <n v="5061"/>
    <x v="5"/>
    <x v="7"/>
    <x v="33"/>
    <x v="33"/>
  </r>
  <r>
    <s v="31.01.2023"/>
    <s v="PF 2301022"/>
    <s v="FP"/>
    <s v="Gymnázium, Olomouc, Čajkovského 9"/>
    <x v="776"/>
    <n v="61400"/>
    <n v="0"/>
    <n v="-61400"/>
    <n v="5061"/>
    <x v="5"/>
    <x v="7"/>
    <x v="33"/>
    <x v="33"/>
  </r>
  <r>
    <s v="24.02.2023"/>
    <s v="PF 2302009"/>
    <s v="FP"/>
    <s v="Střední škola zemědělská a zahradnická, Olomouc, U Hradiska 4"/>
    <x v="777"/>
    <n v="13440"/>
    <n v="0"/>
    <n v="-13440"/>
    <n v="5061"/>
    <x v="5"/>
    <x v="7"/>
    <x v="33"/>
    <x v="33"/>
  </r>
  <r>
    <s v="28.02.2023"/>
    <s v="PF 2302010"/>
    <s v="FP"/>
    <s v="Základní škola  Olomouc, tř. Spojenců 8, příspěvková organizace"/>
    <x v="777"/>
    <n v="2625"/>
    <n v="0"/>
    <n v="-2625"/>
    <n v="5061"/>
    <x v="5"/>
    <x v="7"/>
    <x v="33"/>
    <x v="33"/>
  </r>
  <r>
    <s v="28.02.2023"/>
    <s v="PF 2302011"/>
    <s v="FP"/>
    <s v="Střední škola polytechnická, Olomouc, Rooseveltova 79"/>
    <x v="778"/>
    <n v="51375"/>
    <n v="0"/>
    <n v="-51375"/>
    <n v="5061"/>
    <x v="5"/>
    <x v="7"/>
    <x v="33"/>
    <x v="33"/>
  </r>
  <r>
    <s v="28.02.2023"/>
    <s v="PF 2302013"/>
    <s v="FP"/>
    <s v="Obchodní akademie, Olomouc, tř. Spojenců 11"/>
    <x v="777"/>
    <n v="7200"/>
    <n v="0"/>
    <n v="-7200"/>
    <n v="5061"/>
    <x v="5"/>
    <x v="7"/>
    <x v="33"/>
    <x v="33"/>
  </r>
  <r>
    <s v="28.02.2023"/>
    <s v="PF 2302021"/>
    <s v="FP"/>
    <s v="Gymnázium, Olomouc, Čajkovského 9"/>
    <x v="779"/>
    <n v="47200"/>
    <n v="0"/>
    <n v="-47200"/>
    <n v="5061"/>
    <x v="5"/>
    <x v="7"/>
    <x v="33"/>
    <x v="33"/>
  </r>
  <r>
    <s v="28.02.2023"/>
    <s v="PF 2302022"/>
    <s v="FP"/>
    <s v="Slovanské gymnázium"/>
    <x v="780"/>
    <n v="19987.5"/>
    <n v="0"/>
    <n v="-19987.5"/>
    <n v="5061"/>
    <x v="5"/>
    <x v="7"/>
    <x v="33"/>
    <x v="33"/>
  </r>
  <r>
    <s v="31.03.2023"/>
    <s v="PF 2303020"/>
    <s v="FP"/>
    <s v="Základní škola  Olomouc, tř. Spojenců 8, příspěvková organizace"/>
    <x v="781"/>
    <n v="3500"/>
    <n v="0"/>
    <n v="-3500"/>
    <n v="5061"/>
    <x v="5"/>
    <x v="7"/>
    <x v="33"/>
    <x v="33"/>
  </r>
  <r>
    <s v="31.03.2023"/>
    <s v="PF 2303021"/>
    <s v="FP"/>
    <s v="Gymnázium, Olomouc, Čajkovského 9"/>
    <x v="782"/>
    <n v="51900"/>
    <n v="0"/>
    <n v="-51900"/>
    <n v="5061"/>
    <x v="5"/>
    <x v="7"/>
    <x v="33"/>
    <x v="33"/>
  </r>
  <r>
    <s v="31.03.2023"/>
    <s v="PF 2303022"/>
    <s v="FP"/>
    <s v="Obchodní akademie, Olomouc, tř. Spojenců 11"/>
    <x v="781"/>
    <n v="8400"/>
    <n v="0"/>
    <n v="-8400"/>
    <n v="5061"/>
    <x v="5"/>
    <x v="7"/>
    <x v="33"/>
    <x v="33"/>
  </r>
  <r>
    <s v="31.03.2023"/>
    <s v="PF 2303023"/>
    <s v="FP"/>
    <s v="Střední škola zemědělská a zahradnická, Olomouc, U Hradiska 4"/>
    <x v="781"/>
    <n v="15360"/>
    <n v="0"/>
    <n v="-15360"/>
    <n v="5061"/>
    <x v="5"/>
    <x v="7"/>
    <x v="33"/>
    <x v="33"/>
  </r>
  <r>
    <s v="31.03.2023"/>
    <s v="PF 2303024"/>
    <s v="FP"/>
    <s v="Slovanské gymnázium"/>
    <x v="783"/>
    <n v="24050"/>
    <n v="0"/>
    <n v="-24050"/>
    <n v="5061"/>
    <x v="5"/>
    <x v="7"/>
    <x v="33"/>
    <x v="33"/>
  </r>
  <r>
    <s v="31.03.2023"/>
    <s v="PF 2303026"/>
    <s v="FP"/>
    <s v="Střední škola polytechnická, Olomouc, Rooseveltova 79"/>
    <x v="784"/>
    <n v="37500"/>
    <n v="0"/>
    <n v="-37500"/>
    <n v="5061"/>
    <x v="5"/>
    <x v="7"/>
    <x v="33"/>
    <x v="33"/>
  </r>
  <r>
    <s v="28.04.2023"/>
    <s v="PF 2304011"/>
    <s v="FP"/>
    <s v="Slovanské gymnázium"/>
    <x v="785"/>
    <n v="17062.5"/>
    <n v="0"/>
    <n v="-17062.5"/>
    <n v="5061"/>
    <x v="5"/>
    <x v="7"/>
    <x v="33"/>
    <x v="33"/>
  </r>
  <r>
    <s v="28.04.2023"/>
    <s v="PF 2304012"/>
    <s v="FP"/>
    <s v="Střední škola zemědělská a zahradnická, Olomouc, U Hradiska 4"/>
    <x v="786"/>
    <n v="11040"/>
    <n v="0"/>
    <n v="-11040"/>
    <n v="5061"/>
    <x v="5"/>
    <x v="7"/>
    <x v="33"/>
    <x v="33"/>
  </r>
  <r>
    <s v="30.04.2023"/>
    <s v="PF 2304013"/>
    <s v="FP"/>
    <s v="Obchodní akademie, Olomouc, tř. Spojenců 11"/>
    <x v="786"/>
    <n v="7400"/>
    <n v="0"/>
    <n v="-7400"/>
    <n v="5061"/>
    <x v="5"/>
    <x v="7"/>
    <x v="33"/>
    <x v="33"/>
  </r>
  <r>
    <s v="30.04.2023"/>
    <s v="PF 2304021"/>
    <s v="FP"/>
    <s v="Střední škola polytechnická, Olomouc, Rooseveltova 79"/>
    <x v="787"/>
    <n v="55875"/>
    <n v="0"/>
    <n v="-55875"/>
    <n v="5061"/>
    <x v="5"/>
    <x v="7"/>
    <x v="33"/>
    <x v="33"/>
  </r>
  <r>
    <s v="30.04.2023"/>
    <s v="PF 2304023"/>
    <s v="FP"/>
    <s v="Základní škola  Olomouc, tř. Spojenců 8, příspěvková organizace"/>
    <x v="786"/>
    <n v="2625"/>
    <n v="0"/>
    <n v="-2625"/>
    <n v="5061"/>
    <x v="5"/>
    <x v="7"/>
    <x v="33"/>
    <x v="33"/>
  </r>
  <r>
    <s v="30.04.2023"/>
    <s v="PF 2304024"/>
    <s v="FP"/>
    <s v="Gymnázium, Olomouc, Čajkovského 9"/>
    <x v="788"/>
    <n v="9000"/>
    <n v="0"/>
    <n v="-9000"/>
    <n v="5061"/>
    <x v="5"/>
    <x v="7"/>
    <x v="33"/>
    <x v="33"/>
  </r>
  <r>
    <s v="25.05.2023"/>
    <s v="PF 2305016"/>
    <s v="FP"/>
    <s v="Střední škola zemědělská a zahradnická, Olomouc, U Hradiska 4"/>
    <x v="789"/>
    <n v="10080"/>
    <n v="0"/>
    <n v="-10080"/>
    <n v="5061"/>
    <x v="5"/>
    <x v="7"/>
    <x v="33"/>
    <x v="33"/>
  </r>
  <r>
    <s v="31.05.2023"/>
    <s v="PF 2305026"/>
    <s v="FP"/>
    <s v="Obchodní akademie, Olomouc, tř. Spojenců 11"/>
    <x v="789"/>
    <n v="6600"/>
    <n v="0"/>
    <n v="-6600"/>
    <n v="5061"/>
    <x v="5"/>
    <x v="7"/>
    <x v="33"/>
    <x v="33"/>
  </r>
  <r>
    <s v="31.05.2023"/>
    <s v="PF 2305027"/>
    <s v="FP"/>
    <s v="Gymnázium, Olomouc, Čajkovského 9"/>
    <x v="790"/>
    <n v="15575"/>
    <n v="0"/>
    <n v="-15575"/>
    <n v="5061"/>
    <x v="5"/>
    <x v="7"/>
    <x v="33"/>
    <x v="33"/>
  </r>
  <r>
    <s v="31.05.2023"/>
    <s v="PF 2305028"/>
    <s v="FP"/>
    <s v="Střední škola polytechnická, Olomouc, Rooseveltova 79"/>
    <x v="791"/>
    <n v="16875"/>
    <n v="0"/>
    <n v="-16875"/>
    <n v="5061"/>
    <x v="5"/>
    <x v="7"/>
    <x v="33"/>
    <x v="33"/>
  </r>
  <r>
    <s v="29.06.2023"/>
    <s v="PF2306007"/>
    <s v="FP"/>
    <s v="Střední škola zemědělská a zahradnická, Olomouc, U Hradiska 4"/>
    <x v="792"/>
    <n v="5760"/>
    <n v="0"/>
    <n v="-5760"/>
    <n v="5061"/>
    <x v="5"/>
    <x v="7"/>
    <x v="33"/>
    <x v="33"/>
  </r>
  <r>
    <s v="30.06.2023"/>
    <s v="PF2306001"/>
    <s v="FP"/>
    <s v="Gymnázium, Olomouc, Čajkovského 9"/>
    <x v="793"/>
    <n v="12000"/>
    <n v="0"/>
    <n v="-12000"/>
    <n v="5061"/>
    <x v="5"/>
    <x v="7"/>
    <x v="33"/>
    <x v="33"/>
  </r>
  <r>
    <s v="30.06.2023"/>
    <s v="PF2306002"/>
    <s v="FP"/>
    <s v="Střední škola polytechnická, Olomouc, Rooseveltova 79"/>
    <x v="794"/>
    <n v="18000"/>
    <n v="0"/>
    <n v="-18000"/>
    <n v="5061"/>
    <x v="5"/>
    <x v="7"/>
    <x v="33"/>
    <x v="33"/>
  </r>
  <r>
    <s v="30.06.2023"/>
    <s v="PF2306017"/>
    <s v="FP"/>
    <s v="Obchodní akademie, Olomouc, tř. Spojenců 11"/>
    <x v="792"/>
    <n v="3600"/>
    <n v="0"/>
    <n v="-3600"/>
    <n v="5061"/>
    <x v="5"/>
    <x v="7"/>
    <x v="33"/>
    <x v="33"/>
  </r>
  <r>
    <s v="31.08.2023"/>
    <s v="PF 2308021"/>
    <s v="FP"/>
    <s v="Gymnázium, Olomouc, Čajkovského 9"/>
    <x v="795"/>
    <n v="16500"/>
    <n v="0"/>
    <n v="-16500"/>
    <n v="5061"/>
    <x v="5"/>
    <x v="7"/>
    <x v="33"/>
    <x v="33"/>
  </r>
  <r>
    <s v="31.08.2023"/>
    <s v="PF 2308024"/>
    <s v="FP"/>
    <s v="Gymnázium, Olomouc, Čajkovského 9"/>
    <x v="796"/>
    <n v="9000"/>
    <n v="0"/>
    <n v="-9000"/>
    <n v="5061"/>
    <x v="5"/>
    <x v="7"/>
    <x v="33"/>
    <x v="33"/>
  </r>
  <r>
    <s v="29.09.2023"/>
    <s v="PF 2309020"/>
    <s v="FP"/>
    <s v="Slovanské gymnázium"/>
    <x v="797"/>
    <n v="35425"/>
    <n v="0"/>
    <n v="-35425"/>
    <n v="5061"/>
    <x v="5"/>
    <x v="7"/>
    <x v="33"/>
    <x v="33"/>
  </r>
  <r>
    <s v="30.09.2023"/>
    <s v="PF 2309022"/>
    <s v="FP"/>
    <s v="Střední škola zemědělská a zahradnická, Olomouc, U Hradiska 4"/>
    <x v="798"/>
    <n v="8640"/>
    <n v="0"/>
    <n v="-8640"/>
    <n v="5061"/>
    <x v="5"/>
    <x v="7"/>
    <x v="33"/>
    <x v="33"/>
  </r>
  <r>
    <s v="30.09.2023"/>
    <s v="PF 2309028"/>
    <s v="FP"/>
    <s v="Obchodní akademie, Olomouc, tř. Spojenců 11"/>
    <x v="798"/>
    <n v="6720"/>
    <n v="0"/>
    <n v="-6720"/>
    <n v="5061"/>
    <x v="5"/>
    <x v="7"/>
    <x v="33"/>
    <x v="33"/>
  </r>
  <r>
    <s v="30.09.2023"/>
    <s v="PF 2309036"/>
    <s v="FP"/>
    <s v="Střední škola polytechnická, Olomouc, Rooseveltova 79"/>
    <x v="799"/>
    <n v="62250"/>
    <n v="0"/>
    <n v="-62250"/>
    <n v="5061"/>
    <x v="5"/>
    <x v="7"/>
    <x v="33"/>
    <x v="33"/>
  </r>
  <r>
    <s v="30.09.2023"/>
    <s v="PF 2309037"/>
    <s v="FP"/>
    <s v="Gymnázium, Olomouc, Čajkovského 9"/>
    <x v="800"/>
    <n v="47700"/>
    <n v="0"/>
    <n v="-47700"/>
    <n v="5061"/>
    <x v="5"/>
    <x v="7"/>
    <x v="33"/>
    <x v="33"/>
  </r>
  <r>
    <s v="30.09.2023"/>
    <s v="PF 2309038"/>
    <s v="FP"/>
    <s v="Základní škola  Olomouc, tř. Spojenců 8, příspěvková organizace"/>
    <x v="798"/>
    <n v="6425"/>
    <n v="0"/>
    <n v="-6425"/>
    <n v="5061"/>
    <x v="5"/>
    <x v="7"/>
    <x v="33"/>
    <x v="33"/>
  </r>
  <r>
    <s v="31.10.2023"/>
    <s v="PF 2310013"/>
    <s v="FP"/>
    <s v="Slovanské gymnázium"/>
    <x v="801"/>
    <n v="35587.5"/>
    <n v="0"/>
    <n v="-35587.5"/>
    <n v="5061"/>
    <x v="5"/>
    <x v="7"/>
    <x v="33"/>
    <x v="33"/>
  </r>
  <r>
    <s v="31.10.2023"/>
    <s v="PF 2310014"/>
    <s v="FP"/>
    <s v="Střední škola zemědělská a zahradnická, Olomouc, U Hradiska 4"/>
    <x v="802"/>
    <n v="10560"/>
    <n v="0"/>
    <n v="-10560"/>
    <n v="5061"/>
    <x v="5"/>
    <x v="7"/>
    <x v="33"/>
    <x v="33"/>
  </r>
  <r>
    <s v="31.10.2023"/>
    <s v="PF 2310025"/>
    <s v="FP"/>
    <s v="Střední škola polytechnická, Olomouc, Rooseveltova 79"/>
    <x v="803"/>
    <n v="48750"/>
    <n v="0"/>
    <n v="-48750"/>
    <n v="5061"/>
    <x v="5"/>
    <x v="7"/>
    <x v="33"/>
    <x v="33"/>
  </r>
  <r>
    <s v="31.10.2023"/>
    <s v="PF 2310026"/>
    <s v="FP"/>
    <s v="Obchodní akademie, Olomouc, tř. Spojenců 11"/>
    <x v="802"/>
    <n v="7350"/>
    <n v="0"/>
    <n v="-7350"/>
    <n v="5061"/>
    <x v="5"/>
    <x v="7"/>
    <x v="33"/>
    <x v="33"/>
  </r>
  <r>
    <s v="31.10.2023"/>
    <s v="PF 2310028"/>
    <s v="FP"/>
    <s v="Základní škola  Olomouc, tř. Spojenců 8, příspěvková organizace"/>
    <x v="802"/>
    <n v="6625"/>
    <n v="0"/>
    <n v="-6625"/>
    <n v="5061"/>
    <x v="5"/>
    <x v="7"/>
    <x v="33"/>
    <x v="33"/>
  </r>
  <r>
    <s v="31.10.2023"/>
    <s v="PF 2310029"/>
    <s v="FP"/>
    <s v="Gymnázium, Olomouc, Čajkovského 9"/>
    <x v="804"/>
    <n v="43500"/>
    <n v="0"/>
    <n v="-43500"/>
    <n v="5061"/>
    <x v="5"/>
    <x v="7"/>
    <x v="33"/>
    <x v="33"/>
  </r>
  <r>
    <s v="30.11.2023"/>
    <s v="PF 2311012"/>
    <s v="FP"/>
    <s v="Střední škola polytechnická, Olomouc, Rooseveltova 79"/>
    <x v="805"/>
    <n v="42750"/>
    <n v="0"/>
    <n v="-42750"/>
    <n v="5061"/>
    <x v="5"/>
    <x v="7"/>
    <x v="33"/>
    <x v="33"/>
  </r>
  <r>
    <s v="30.11.2023"/>
    <s v="PF 2311014"/>
    <s v="FP"/>
    <s v="Základní škola  Olomouc, tř. Spojenců 8, příspěvková organizace"/>
    <x v="806"/>
    <n v="2250"/>
    <n v="0"/>
    <n v="-2250"/>
    <n v="5061"/>
    <x v="5"/>
    <x v="7"/>
    <x v="33"/>
    <x v="33"/>
  </r>
  <r>
    <s v="30.11.2023"/>
    <s v="PF 2311017"/>
    <s v="FP"/>
    <s v="Obchodní akademie, Olomouc, tř. Spojenců 11"/>
    <x v="806"/>
    <n v="7770"/>
    <n v="0"/>
    <n v="-7770"/>
    <n v="5061"/>
    <x v="5"/>
    <x v="7"/>
    <x v="33"/>
    <x v="33"/>
  </r>
  <r>
    <s v="30.11.2023"/>
    <s v="PF 2311019"/>
    <s v="FP"/>
    <s v="Slovanské gymnázium"/>
    <x v="807"/>
    <n v="36562.5"/>
    <n v="0"/>
    <n v="-36562.5"/>
    <n v="5061"/>
    <x v="5"/>
    <x v="7"/>
    <x v="33"/>
    <x v="33"/>
  </r>
  <r>
    <s v="30.11.2023"/>
    <s v="PF 2311023"/>
    <s v="FP"/>
    <s v="Střední škola zemědělská a zahradnická, Olomouc, U Hradiska 4"/>
    <x v="806"/>
    <n v="10080"/>
    <n v="0"/>
    <n v="-10080"/>
    <n v="5061"/>
    <x v="5"/>
    <x v="7"/>
    <x v="33"/>
    <x v="33"/>
  </r>
  <r>
    <s v="30.11.2023"/>
    <s v="PF 2311024"/>
    <s v="FP"/>
    <s v="Gymnázium, Olomouc, Čajkovského 9"/>
    <x v="808"/>
    <n v="63600"/>
    <n v="0"/>
    <n v="-63600"/>
    <n v="5061"/>
    <x v="5"/>
    <x v="7"/>
    <x v="33"/>
    <x v="33"/>
  </r>
  <r>
    <s v="19.12.2023"/>
    <s v="PF 2312010"/>
    <s v="FP"/>
    <s v="Slovanské gymnázium"/>
    <x v="809"/>
    <n v="24212.5"/>
    <n v="0"/>
    <n v="-24212.5"/>
    <n v="5061"/>
    <x v="5"/>
    <x v="7"/>
    <x v="33"/>
    <x v="33"/>
  </r>
  <r>
    <s v="22.12.2023"/>
    <s v="PF 2312012"/>
    <s v="FP"/>
    <s v="Střední škola zemědělská a zahradnická, Olomouc, U Hradiska 4"/>
    <x v="810"/>
    <n v="7680"/>
    <n v="0"/>
    <n v="-7680"/>
    <n v="5061"/>
    <x v="5"/>
    <x v="7"/>
    <x v="33"/>
    <x v="33"/>
  </r>
  <r>
    <s v="28.12.2023"/>
    <s v="PF 2312013"/>
    <s v="FP"/>
    <s v="Obchodní akademie, Olomouc, tř. Spojenců 11"/>
    <x v="810"/>
    <n v="5040"/>
    <n v="0"/>
    <n v="-5040"/>
    <n v="5061"/>
    <x v="5"/>
    <x v="7"/>
    <x v="33"/>
    <x v="33"/>
  </r>
  <r>
    <s v="31.12.2023"/>
    <s v="D haly stř"/>
    <s v="IN"/>
    <m/>
    <x v="31"/>
    <n v="-1274962.53"/>
    <n v="0"/>
    <n v="1274962.53"/>
    <n v="5061"/>
    <x v="5"/>
    <x v="7"/>
    <x v="33"/>
    <x v="33"/>
  </r>
  <r>
    <s v="31.12.2023"/>
    <s v="PF 2312019"/>
    <s v="FP"/>
    <s v="Základní škola  Olomouc, tř. Spojenců 8, příspěvková organizace"/>
    <x v="810"/>
    <n v="2250"/>
    <n v="0"/>
    <n v="-2250"/>
    <n v="5061"/>
    <x v="5"/>
    <x v="7"/>
    <x v="33"/>
    <x v="33"/>
  </r>
  <r>
    <s v="31.12.2023"/>
    <s v="PF 2312020"/>
    <s v="FP"/>
    <s v="Gymnázium, Olomouc, Čajkovského 9"/>
    <x v="811"/>
    <n v="30600"/>
    <n v="0"/>
    <n v="-30600"/>
    <n v="5061"/>
    <x v="5"/>
    <x v="7"/>
    <x v="33"/>
    <x v="33"/>
  </r>
  <r>
    <s v="31.12.2023"/>
    <s v="PF 2312022"/>
    <s v="FP"/>
    <s v="Střední škola polytechnická, Olomouc, Rooseveltova 79"/>
    <x v="812"/>
    <n v="34125"/>
    <n v="0"/>
    <n v="-34125"/>
    <n v="5061"/>
    <x v="5"/>
    <x v="7"/>
    <x v="33"/>
    <x v="33"/>
  </r>
  <r>
    <s v="04.10.2023"/>
    <s v="PF 2310001"/>
    <s v="FP"/>
    <s v="Střední škola polytechnická, Olomouc, Rooseveltova 79"/>
    <x v="813"/>
    <n v="1480"/>
    <n v="0"/>
    <n v="-1480"/>
    <n v="5061"/>
    <x v="5"/>
    <x v="32"/>
    <x v="33"/>
    <x v="33"/>
  </r>
  <r>
    <s v="12.10.2023"/>
    <s v="VF2301014"/>
    <s v="FV"/>
    <s v="Statutární město Olomouc"/>
    <x v="814"/>
    <n v="0"/>
    <n v="49000"/>
    <n v="49000"/>
    <n v="5071"/>
    <x v="5"/>
    <x v="12"/>
    <x v="34"/>
    <x v="34"/>
  </r>
  <r>
    <s v="10.03.2023"/>
    <s v="VF2302003"/>
    <s v="FV"/>
    <s v="Český florbal"/>
    <x v="815"/>
    <n v="0"/>
    <n v="5000"/>
    <n v="5000"/>
    <n v="5071"/>
    <x v="5"/>
    <x v="30"/>
    <x v="34"/>
    <x v="34"/>
  </r>
  <r>
    <s v="25.04.2023"/>
    <s v="VF2302005"/>
    <s v="FV"/>
    <s v="Český florbal"/>
    <x v="816"/>
    <n v="0"/>
    <n v="12000"/>
    <n v="12000"/>
    <n v="5071"/>
    <x v="5"/>
    <x v="30"/>
    <x v="34"/>
    <x v="34"/>
  </r>
  <r>
    <s v="04.05.2023"/>
    <s v="VF2302006"/>
    <s v="FV"/>
    <s v="Český florbal"/>
    <x v="817"/>
    <n v="0"/>
    <n v="10000"/>
    <n v="10000"/>
    <n v="5071"/>
    <x v="5"/>
    <x v="30"/>
    <x v="34"/>
    <x v="34"/>
  </r>
  <r>
    <s v="15.11.2023"/>
    <s v="VF2302018"/>
    <s v="FV"/>
    <s v="Český florbal"/>
    <x v="818"/>
    <n v="0"/>
    <n v="62500"/>
    <n v="62500"/>
    <n v="5071"/>
    <x v="5"/>
    <x v="30"/>
    <x v="34"/>
    <x v="34"/>
  </r>
  <r>
    <s v="01.12.2023"/>
    <s v="VF2302020"/>
    <s v="FV"/>
    <s v="Český florbal"/>
    <x v="819"/>
    <n v="0"/>
    <n v="250"/>
    <n v="250"/>
    <n v="5071"/>
    <x v="5"/>
    <x v="30"/>
    <x v="34"/>
    <x v="34"/>
  </r>
  <r>
    <s v="07.12.2023"/>
    <s v="VF2302021"/>
    <s v="FV"/>
    <s v="Český florbal"/>
    <x v="820"/>
    <n v="0"/>
    <n v="11000"/>
    <n v="11000"/>
    <n v="5071"/>
    <x v="5"/>
    <x v="30"/>
    <x v="34"/>
    <x v="34"/>
  </r>
  <r>
    <s v="14.12.2023"/>
    <s v="VF2302023"/>
    <s v="FV"/>
    <s v="Český florbal"/>
    <x v="821"/>
    <n v="0"/>
    <n v="13000"/>
    <n v="13000"/>
    <n v="5071"/>
    <x v="5"/>
    <x v="30"/>
    <x v="34"/>
    <x v="34"/>
  </r>
  <r>
    <s v="31.12.2023"/>
    <s v="VF2302024"/>
    <s v="FV"/>
    <s v="Český florbal"/>
    <x v="822"/>
    <n v="0"/>
    <n v="40000"/>
    <n v="40000"/>
    <n v="5071"/>
    <x v="5"/>
    <x v="30"/>
    <x v="34"/>
    <x v="34"/>
  </r>
  <r>
    <s v="31.12.2023"/>
    <s v="VF2302025"/>
    <s v="FV"/>
    <s v="Český florbal s.r.o."/>
    <x v="823"/>
    <n v="0"/>
    <n v="15678"/>
    <n v="15678"/>
    <n v="5071"/>
    <x v="5"/>
    <x v="30"/>
    <x v="34"/>
    <x v="34"/>
  </r>
  <r>
    <s v="27.01.2023"/>
    <s v="PF 2301007"/>
    <s v="FP"/>
    <s v="SPORTAGON CZ s.r.o."/>
    <x v="824"/>
    <n v="2159"/>
    <n v="0"/>
    <n v="-2159"/>
    <n v="6011"/>
    <x v="6"/>
    <x v="40"/>
    <x v="35"/>
    <x v="35"/>
  </r>
  <r>
    <s v="02.02.2023"/>
    <s v="PF 2302001"/>
    <s v="FP"/>
    <s v="SPORTAGON CZ s.r.o."/>
    <x v="825"/>
    <n v="2220"/>
    <n v="0"/>
    <n v="-2220"/>
    <n v="6011"/>
    <x v="6"/>
    <x v="40"/>
    <x v="35"/>
    <x v="35"/>
  </r>
  <r>
    <s v="08.02.2023"/>
    <s v="PF 2302004"/>
    <s v="FP"/>
    <s v="SPORTAGON CZ s.r.o."/>
    <x v="826"/>
    <n v="9878"/>
    <n v="0"/>
    <n v="-9878"/>
    <n v="6011"/>
    <x v="6"/>
    <x v="40"/>
    <x v="35"/>
    <x v="35"/>
  </r>
  <r>
    <s v="20.02.2023"/>
    <s v="PF 2302007"/>
    <s v="FP"/>
    <s v="SPORTAGON CZ s.r.o."/>
    <x v="824"/>
    <n v="3352"/>
    <n v="0"/>
    <n v="-3352"/>
    <n v="6011"/>
    <x v="6"/>
    <x v="40"/>
    <x v="35"/>
    <x v="35"/>
  </r>
  <r>
    <s v="21.03.2023"/>
    <s v="PF 2303012"/>
    <s v="FP"/>
    <s v="SPORTISIMO s.r.o."/>
    <x v="827"/>
    <n v="109350"/>
    <n v="0"/>
    <n v="-109350"/>
    <n v="6011"/>
    <x v="6"/>
    <x v="40"/>
    <x v="35"/>
    <x v="35"/>
  </r>
  <r>
    <s v="30.03.2023"/>
    <s v="PF 2303016"/>
    <s v="FP"/>
    <s v="SPORTAGON CZ s.r.o."/>
    <x v="824"/>
    <n v="1287"/>
    <n v="0"/>
    <n v="-1287"/>
    <n v="6011"/>
    <x v="6"/>
    <x v="40"/>
    <x v="35"/>
    <x v="35"/>
  </r>
  <r>
    <s v="05.04.2023"/>
    <s v="PF 2304001"/>
    <s v="FP"/>
    <s v="Mgr. Marek Liška"/>
    <x v="828"/>
    <n v="3750"/>
    <n v="0"/>
    <n v="-3750"/>
    <n v="6011"/>
    <x v="6"/>
    <x v="40"/>
    <x v="35"/>
    <x v="35"/>
  </r>
  <r>
    <s v="03.05.2023"/>
    <s v="PF 2305001"/>
    <s v="FP"/>
    <s v="SPORTISIMO s.r.o."/>
    <x v="827"/>
    <n v="15330"/>
    <n v="0"/>
    <n v="-15330"/>
    <n v="6011"/>
    <x v="6"/>
    <x v="40"/>
    <x v="35"/>
    <x v="35"/>
  </r>
  <r>
    <s v="03.05.2023"/>
    <s v="PF 2305031"/>
    <s v="FP"/>
    <s v="SPORTAGON CZ s.r.o."/>
    <x v="824"/>
    <n v="23644"/>
    <n v="0"/>
    <n v="-23644"/>
    <n v="6011"/>
    <x v="6"/>
    <x v="40"/>
    <x v="35"/>
    <x v="35"/>
  </r>
  <r>
    <s v="25.05.2023"/>
    <s v="PF 2305017"/>
    <s v="FP"/>
    <s v="SPORTAGON CZ s.r.o."/>
    <x v="824"/>
    <n v="240"/>
    <n v="0"/>
    <n v="-240"/>
    <n v="6011"/>
    <x v="6"/>
    <x v="40"/>
    <x v="35"/>
    <x v="35"/>
  </r>
  <r>
    <s v="13.06.2023"/>
    <s v="PF2306004"/>
    <s v="FP"/>
    <s v="SPORTISIMO s.r.o."/>
    <x v="829"/>
    <n v="7713.75"/>
    <n v="0"/>
    <n v="-7713.75"/>
    <n v="6011"/>
    <x v="6"/>
    <x v="40"/>
    <x v="35"/>
    <x v="35"/>
  </r>
  <r>
    <s v="13.06.2023"/>
    <s v="PF2306005"/>
    <s v="FP"/>
    <s v="SPORTISIMO s.r.o."/>
    <x v="830"/>
    <n v="15342.8"/>
    <n v="0"/>
    <n v="-15342.8"/>
    <n v="6011"/>
    <x v="6"/>
    <x v="40"/>
    <x v="35"/>
    <x v="35"/>
  </r>
  <r>
    <s v="26.06.2023"/>
    <s v="PF2306006"/>
    <s v="FP"/>
    <s v="SPORTISIMO s.r.o."/>
    <x v="829"/>
    <n v="10103.5"/>
    <n v="0"/>
    <n v="-10103.5"/>
    <n v="6011"/>
    <x v="6"/>
    <x v="40"/>
    <x v="35"/>
    <x v="35"/>
  </r>
  <r>
    <s v="16.08.2023"/>
    <s v="PF 2308032"/>
    <s v="FP"/>
    <s v="Sockshire s.r.o."/>
    <x v="824"/>
    <n v="7865"/>
    <n v="0"/>
    <n v="-7865"/>
    <n v="6011"/>
    <x v="6"/>
    <x v="40"/>
    <x v="35"/>
    <x v="35"/>
  </r>
  <r>
    <s v="16.08.2023"/>
    <s v="PF 2308033"/>
    <s v="FP"/>
    <s v="SPORTISIMO s.r.o."/>
    <x v="831"/>
    <n v="6562.8"/>
    <n v="0"/>
    <n v="-6562.8"/>
    <n v="6011"/>
    <x v="6"/>
    <x v="40"/>
    <x v="35"/>
    <x v="35"/>
  </r>
  <r>
    <s v="16.08.2023"/>
    <s v="PF 2308034"/>
    <s v="FP"/>
    <s v="SPORTISIMO s.r.o."/>
    <x v="831"/>
    <n v="10938"/>
    <n v="0"/>
    <n v="-10938"/>
    <n v="6011"/>
    <x v="6"/>
    <x v="40"/>
    <x v="35"/>
    <x v="35"/>
  </r>
  <r>
    <s v="18.09.2023"/>
    <s v="PF 2309010"/>
    <s v="FP"/>
    <s v="Ing. Česlav Filipiak"/>
    <x v="824"/>
    <n v="5566"/>
    <n v="0"/>
    <n v="-5566"/>
    <n v="6011"/>
    <x v="6"/>
    <x v="40"/>
    <x v="35"/>
    <x v="35"/>
  </r>
  <r>
    <s v="25.09.2023"/>
    <s v="PF 2309033"/>
    <s v="FP"/>
    <s v="SPORTISIMO s.r.o."/>
    <x v="832"/>
    <n v="6114.6"/>
    <n v="0"/>
    <n v="-6114.6"/>
    <n v="6011"/>
    <x v="6"/>
    <x v="40"/>
    <x v="35"/>
    <x v="35"/>
  </r>
  <r>
    <s v="25.09.2023"/>
    <s v="PF 2309034"/>
    <s v="FP"/>
    <s v="SPORTISIMO s.r.o."/>
    <x v="832"/>
    <n v="16090.2"/>
    <n v="0"/>
    <n v="-16090.2"/>
    <n v="6011"/>
    <x v="6"/>
    <x v="40"/>
    <x v="35"/>
    <x v="35"/>
  </r>
  <r>
    <s v="06.10.2023"/>
    <s v="PF 2310021"/>
    <s v="FP"/>
    <s v="SPORTISIMO s.r.o."/>
    <x v="831"/>
    <n v="3535.2"/>
    <n v="0"/>
    <n v="-3535.2"/>
    <n v="6011"/>
    <x v="6"/>
    <x v="40"/>
    <x v="35"/>
    <x v="35"/>
  </r>
  <r>
    <s v="17.10.2023"/>
    <s v="PF 2310007"/>
    <s v="FP"/>
    <s v="SPORTAGON CZ s.r.o."/>
    <x v="824"/>
    <n v="16112"/>
    <n v="0"/>
    <n v="-16112"/>
    <n v="6011"/>
    <x v="6"/>
    <x v="40"/>
    <x v="35"/>
    <x v="35"/>
  </r>
  <r>
    <s v="19.10.2023"/>
    <s v="PF 2310020"/>
    <s v="FP"/>
    <s v="PLETEX s.r.o."/>
    <x v="833"/>
    <n v="26862"/>
    <n v="0"/>
    <n v="-26862"/>
    <n v="6011"/>
    <x v="6"/>
    <x v="40"/>
    <x v="35"/>
    <x v="35"/>
  </r>
  <r>
    <s v="23.10.2023"/>
    <s v="PF 2310008"/>
    <s v="FP"/>
    <s v="Mgr. Marek Liška"/>
    <x v="828"/>
    <n v="9375"/>
    <n v="0"/>
    <n v="-9375"/>
    <n v="6011"/>
    <x v="6"/>
    <x v="40"/>
    <x v="35"/>
    <x v="35"/>
  </r>
  <r>
    <s v="23.10.2023"/>
    <s v="PF 2310009"/>
    <s v="FP"/>
    <s v="Jovana Málek Taševská"/>
    <x v="694"/>
    <n v="11900"/>
    <n v="0"/>
    <n v="-11900"/>
    <n v="6011"/>
    <x v="6"/>
    <x v="40"/>
    <x v="35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Kontingenční tabulka1" cacheId="0" dataOnRows="1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7" indent="0" compact="0" outline="1" outlineData="1" compactData="0" gridDropZones="1">
  <location ref="A3:F110" firstHeaderRow="2" firstDataRow="2" firstDataCol="5"/>
  <pivotFields count="14">
    <pivotField compact="0" showAll="0" includeNewItemsInFilter="1"/>
    <pivotField compact="0" showAll="0" includeNewItemsInFilter="1"/>
    <pivotField compact="0" showAll="0" includeNewItemsInFilter="1"/>
    <pivotField compact="0" showAll="0" includeNewItemsInFilter="1"/>
    <pivotField axis="axisRow" compact="0" showAll="0" includeNewItemsInFilter="1">
      <items count="873">
        <item x="495"/>
        <item x="178"/>
        <item x="519"/>
        <item x="183"/>
        <item x="555"/>
        <item x="206"/>
        <item x="100"/>
        <item x="181"/>
        <item x="132"/>
        <item x="112"/>
        <item x="187"/>
        <item x="392"/>
        <item x="399"/>
        <item x="302"/>
        <item x="388"/>
        <item x="389"/>
        <item x="529"/>
        <item x="543"/>
        <item x="528"/>
        <item x="542"/>
        <item x="115"/>
        <item x="191"/>
        <item x="218"/>
        <item x="68"/>
        <item x="524"/>
        <item x="540"/>
        <item x="617"/>
        <item x="197"/>
        <item x="177"/>
        <item x="151"/>
        <item x="340"/>
        <item x="369"/>
        <item x="653"/>
        <item x="565"/>
        <item x="584"/>
        <item x="75"/>
        <item x="58"/>
        <item x="510"/>
        <item x="95"/>
        <item x="107"/>
        <item x="396"/>
        <item x="677"/>
        <item m="1" x="852"/>
        <item x="113"/>
        <item x="262"/>
        <item x="291"/>
        <item x="263"/>
        <item x="290"/>
        <item x="499"/>
        <item x="480"/>
        <item x="311"/>
        <item x="429"/>
        <item x="415"/>
        <item x="419"/>
        <item x="424"/>
        <item x="432"/>
        <item x="441"/>
        <item x="436"/>
        <item x="426"/>
        <item x="428"/>
        <item x="413"/>
        <item x="687"/>
        <item x="689"/>
        <item x="460"/>
        <item x="86"/>
        <item x="433"/>
        <item x="438"/>
        <item x="440"/>
        <item x="427"/>
        <item x="430"/>
        <item x="417"/>
        <item x="688"/>
        <item x="421"/>
        <item x="431"/>
        <item x="437"/>
        <item x="439"/>
        <item x="686"/>
        <item x="422"/>
        <item x="434"/>
        <item x="416"/>
        <item x="420"/>
        <item x="414"/>
        <item x="418"/>
        <item x="423"/>
        <item x="435"/>
        <item x="425"/>
        <item x="500"/>
        <item x="487"/>
        <item x="175"/>
        <item x="204"/>
        <item x="59"/>
        <item x="743"/>
        <item x="587"/>
        <item x="727"/>
        <item x="188"/>
        <item x="81"/>
        <item x="153"/>
        <item x="336"/>
        <item x="128"/>
        <item x="106"/>
        <item m="1" x="839"/>
        <item x="387"/>
        <item x="15"/>
        <item x="637"/>
        <item x="145"/>
        <item x="130"/>
        <item x="11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853"/>
        <item x="559"/>
        <item x="520"/>
        <item x="357"/>
        <item x="322"/>
        <item x="554"/>
        <item x="581"/>
        <item x="538"/>
        <item x="768"/>
        <item x="254"/>
        <item x="135"/>
        <item x="684"/>
        <item x="719"/>
        <item x="455"/>
        <item x="724"/>
        <item x="717"/>
        <item x="720"/>
        <item x="454"/>
        <item x="718"/>
        <item x="722"/>
        <item x="713"/>
        <item x="715"/>
        <item x="527"/>
        <item x="44"/>
        <item x="452"/>
        <item x="453"/>
        <item x="821"/>
        <item x="818"/>
        <item x="685"/>
        <item x="668"/>
        <item x="822"/>
        <item x="823"/>
        <item x="820"/>
        <item x="815"/>
        <item x="816"/>
        <item x="405"/>
        <item x="707"/>
        <item x="709"/>
        <item x="706"/>
        <item x="708"/>
        <item x="710"/>
        <item x="42"/>
        <item x="814"/>
        <item x="45"/>
        <item x="43"/>
        <item x="716"/>
        <item x="819"/>
        <item x="817"/>
        <item x="831"/>
        <item m="1" x="847"/>
        <item m="1" x="848"/>
        <item m="1" x="849"/>
        <item m="1" x="850"/>
        <item m="1" x="851"/>
        <item x="333"/>
        <item m="1" x="835"/>
        <item x="293"/>
        <item x="502"/>
        <item x="516"/>
        <item m="1" x="837"/>
        <item x="152"/>
        <item x="289"/>
        <item x="250"/>
        <item x="253"/>
        <item x="288"/>
        <item x="511"/>
        <item x="98"/>
        <item x="523"/>
        <item x="176"/>
        <item x="393"/>
        <item x="363"/>
        <item x="694"/>
        <item x="273"/>
        <item x="74"/>
        <item x="349"/>
        <item x="496"/>
        <item x="404"/>
        <item x="342"/>
        <item x="348"/>
        <item x="70"/>
        <item x="67"/>
        <item x="725"/>
        <item x="726"/>
        <item x="193"/>
        <item x="220"/>
        <item x="337"/>
        <item x="367"/>
        <item x="334"/>
        <item x="354"/>
        <item x="306"/>
        <item x="338"/>
        <item x="31"/>
        <item x="569"/>
        <item x="570"/>
        <item x="548"/>
        <item x="476"/>
        <item x="477"/>
        <item x="127"/>
        <item x="104"/>
        <item x="549"/>
        <item x="319"/>
        <item x="308"/>
        <item x="305"/>
        <item x="192"/>
        <item x="221"/>
        <item x="474"/>
        <item x="483"/>
        <item x="283"/>
        <item x="769"/>
        <item x="745"/>
        <item x="752"/>
        <item x="36"/>
        <item x="566"/>
        <item x="575"/>
        <item x="552"/>
        <item x="576"/>
        <item x="564"/>
        <item x="589"/>
        <item x="224"/>
        <item x="266"/>
        <item x="66"/>
        <item x="381"/>
        <item m="1" x="836"/>
        <item x="728"/>
        <item x="208"/>
        <item x="251"/>
        <item x="186"/>
        <item x="196"/>
        <item x="281"/>
        <item x="332"/>
        <item x="131"/>
        <item x="398"/>
        <item x="260"/>
        <item x="298"/>
        <item x="307"/>
        <item x="111"/>
        <item x="600"/>
        <item x="599"/>
        <item m="1" x="834"/>
        <item x="598"/>
        <item x="377"/>
        <item x="579"/>
        <item x="590"/>
        <item x="378"/>
        <item x="616"/>
        <item x="536"/>
        <item x="280"/>
        <item x="174"/>
        <item x="201"/>
        <item x="52"/>
        <item x="366"/>
        <item x="323"/>
        <item x="517"/>
        <item x="641"/>
        <item x="635"/>
        <item x="572"/>
        <item x="241"/>
        <item x="296"/>
        <item x="622"/>
        <item x="612"/>
        <item m="1" x="865"/>
        <item x="265"/>
        <item x="212"/>
        <item x="501"/>
        <item x="482"/>
        <item x="390"/>
        <item x="560"/>
        <item x="547"/>
        <item x="546"/>
        <item x="771"/>
        <item x="216"/>
        <item x="255"/>
        <item x="597"/>
        <item x="402"/>
        <item x="18"/>
        <item x="77"/>
        <item x="76"/>
        <item x="593"/>
        <item x="62"/>
        <item x="50"/>
        <item x="505"/>
        <item x="515"/>
        <item x="264"/>
        <item x="214"/>
        <item x="539"/>
        <item x="134"/>
        <item x="146"/>
        <item x="71"/>
        <item x="64"/>
        <item x="195"/>
        <item x="202"/>
        <item x="485"/>
        <item x="384"/>
        <item x="356"/>
        <item x="97"/>
        <item x="133"/>
        <item x="108"/>
        <item x="252"/>
        <item x="210"/>
        <item x="375"/>
        <item x="409"/>
        <item x="594"/>
        <item x="591"/>
        <item x="592"/>
        <item x="833"/>
        <item x="640"/>
        <item x="125"/>
        <item x="140"/>
        <item m="1" x="861"/>
        <item x="586"/>
        <item m="1" x="866"/>
        <item x="729"/>
        <item x="605"/>
        <item x="613"/>
        <item m="1" x="870"/>
        <item x="747"/>
        <item x="760"/>
        <item x="763"/>
        <item x="84"/>
        <item x="765"/>
        <item x="458"/>
        <item m="1" x="868"/>
        <item x="690"/>
        <item x="506"/>
        <item x="488"/>
        <item x="326"/>
        <item x="351"/>
        <item x="194"/>
        <item x="138"/>
        <item x="374"/>
        <item x="397"/>
        <item x="72"/>
        <item x="73"/>
        <item x="321"/>
        <item x="292"/>
        <item x="503"/>
        <item x="479"/>
        <item x="65"/>
        <item x="51"/>
        <item x="259"/>
        <item x="219"/>
        <item x="184"/>
        <item x="142"/>
        <item x="723"/>
        <item x="343"/>
        <item x="101"/>
        <item x="585"/>
        <item x="379"/>
        <item x="362"/>
        <item x="561"/>
        <item x="537"/>
        <item x="604"/>
        <item x="623"/>
        <item x="136"/>
        <item x="352"/>
        <item x="385"/>
        <item x="325"/>
        <item x="304"/>
        <item x="272"/>
        <item x="248"/>
        <item x="205"/>
        <item m="1" x="857"/>
        <item x="275"/>
        <item x="287"/>
        <item x="295"/>
        <item x="475"/>
        <item x="217"/>
        <item x="827"/>
        <item x="99"/>
        <item x="79"/>
        <item x="391"/>
        <item x="406"/>
        <item x="270"/>
        <item x="278"/>
        <item x="512"/>
        <item x="481"/>
        <item x="60"/>
        <item x="54"/>
        <item x="535"/>
        <item x="471"/>
        <item x="486"/>
        <item x="383"/>
        <item x="256"/>
        <item x="57"/>
        <item x="63"/>
        <item m="1" x="864"/>
        <item x="102"/>
        <item x="103"/>
        <item x="116"/>
        <item x="117"/>
        <item x="461"/>
        <item m="1" x="846"/>
        <item x="631"/>
        <item x="705"/>
        <item x="182"/>
        <item x="386"/>
        <item x="692"/>
        <item x="772"/>
        <item x="327"/>
        <item x="297"/>
        <item x="574"/>
        <item x="556"/>
        <item x="380"/>
        <item x="509"/>
        <item x="129"/>
        <item x="213"/>
        <item x="61"/>
        <item x="49"/>
        <item m="1" x="869"/>
        <item x="534"/>
        <item x="245"/>
        <item x="114"/>
        <item x="199"/>
        <item x="335"/>
        <item x="766"/>
        <item x="749"/>
        <item x="80"/>
        <item x="751"/>
        <item x="756"/>
        <item x="761"/>
        <item x="757"/>
        <item x="277"/>
        <item x="359"/>
        <item x="328"/>
        <item x="567"/>
        <item x="750"/>
        <item x="758"/>
        <item x="755"/>
        <item m="1" x="856"/>
        <item m="1" x="860"/>
        <item m="1" x="863"/>
        <item x="703"/>
        <item x="704"/>
        <item x="702"/>
        <item x="826"/>
        <item x="695"/>
        <item x="14"/>
        <item x="41"/>
        <item x="602"/>
        <item x="700"/>
        <item x="633"/>
        <item x="701"/>
        <item x="699"/>
        <item x="770"/>
        <item x="376"/>
        <item x="353"/>
        <item x="696"/>
        <item m="1" x="845"/>
        <item m="1" x="843"/>
        <item x="532"/>
        <item x="513"/>
        <item x="320"/>
        <item x="361"/>
        <item x="242"/>
        <item x="294"/>
        <item x="85"/>
        <item m="1" x="842"/>
        <item x="69"/>
        <item x="48"/>
        <item x="329"/>
        <item x="403"/>
        <item x="410"/>
        <item x="466"/>
        <item x="609"/>
        <item x="601"/>
        <item x="619"/>
        <item x="737"/>
        <item x="738"/>
        <item x="739"/>
        <item x="740"/>
        <item x="741"/>
        <item x="742"/>
        <item x="608"/>
        <item x="813"/>
        <item x="698"/>
        <item x="490"/>
        <item x="776"/>
        <item x="779"/>
        <item x="782"/>
        <item x="788"/>
        <item x="790"/>
        <item x="793"/>
        <item x="796"/>
        <item x="795"/>
        <item x="800"/>
        <item x="804"/>
        <item x="808"/>
        <item x="811"/>
        <item x="651"/>
        <item x="465"/>
        <item x="775"/>
        <item x="780"/>
        <item x="783"/>
        <item x="785"/>
        <item x="797"/>
        <item x="801"/>
        <item x="807"/>
        <item x="809"/>
        <item x="773"/>
        <item x="778"/>
        <item x="784"/>
        <item x="787"/>
        <item x="791"/>
        <item x="794"/>
        <item x="799"/>
        <item x="803"/>
        <item x="805"/>
        <item x="812"/>
        <item x="731"/>
        <item x="732"/>
        <item x="733"/>
        <item x="734"/>
        <item x="735"/>
        <item x="736"/>
        <item x="445"/>
        <item x="774"/>
        <item x="777"/>
        <item x="781"/>
        <item x="786"/>
        <item x="789"/>
        <item x="792"/>
        <item x="798"/>
        <item x="802"/>
        <item x="806"/>
        <item x="810"/>
        <item x="650"/>
        <item x="618"/>
        <item m="1" x="867"/>
        <item x="350"/>
        <item x="746"/>
        <item x="754"/>
        <item x="33"/>
        <item x="120"/>
        <item x="753"/>
        <item x="759"/>
        <item x="118"/>
        <item x="148"/>
        <item x="459"/>
        <item x="407"/>
        <item x="411"/>
        <item x="382"/>
        <item x="346"/>
        <item x="697"/>
        <item x="712"/>
        <item x="721"/>
        <item x="324"/>
        <item x="282"/>
        <item x="109"/>
        <item x="40"/>
        <item x="122"/>
        <item x="469"/>
        <item x="94"/>
        <item x="545"/>
        <item x="38"/>
        <item x="37"/>
        <item x="451"/>
        <item x="449"/>
        <item x="448"/>
        <item x="39"/>
        <item x="493"/>
        <item x="450"/>
        <item x="470"/>
        <item x="171"/>
        <item x="457"/>
        <item x="121"/>
        <item x="492"/>
        <item x="558"/>
        <item x="315"/>
        <item x="240"/>
        <item x="544"/>
        <item x="82"/>
        <item x="372"/>
        <item x="169"/>
        <item x="518"/>
        <item x="456"/>
        <item x="170"/>
        <item x="714"/>
        <item x="179"/>
        <item x="530"/>
        <item x="659"/>
        <item x="660"/>
        <item x="661"/>
        <item x="655"/>
        <item x="656"/>
        <item x="657"/>
        <item x="658"/>
        <item x="373"/>
        <item x="355"/>
        <item x="56"/>
        <item x="55"/>
        <item x="247"/>
        <item x="285"/>
        <item x="180"/>
        <item x="141"/>
        <item x="249"/>
        <item x="300"/>
        <item x="671"/>
        <item x="672"/>
        <item x="673"/>
        <item x="674"/>
        <item x="675"/>
        <item x="676"/>
        <item x="678"/>
        <item x="679"/>
        <item x="680"/>
        <item x="681"/>
        <item x="682"/>
        <item x="683"/>
        <item x="571"/>
        <item x="557"/>
        <item x="662"/>
        <item x="663"/>
        <item x="664"/>
        <item x="665"/>
        <item x="666"/>
        <item x="667"/>
        <item x="568"/>
        <item x="588"/>
        <item x="124"/>
        <item x="144"/>
        <item x="331"/>
        <item x="365"/>
        <item x="573"/>
        <item m="1" x="838"/>
        <item x="832"/>
        <item x="824"/>
        <item m="1" x="854"/>
        <item m="1" x="840"/>
        <item m="1" x="855"/>
        <item m="1" x="859"/>
        <item m="1" x="858"/>
        <item x="825"/>
        <item x="190"/>
        <item x="149"/>
        <item x="648"/>
        <item x="237"/>
        <item x="744"/>
        <item x="444"/>
        <item x="30"/>
        <item x="371"/>
        <item x="312"/>
        <item x="167"/>
        <item x="119"/>
        <item x="644"/>
        <item x="489"/>
        <item x="313"/>
        <item x="638"/>
        <item x="443"/>
        <item x="310"/>
        <item x="395"/>
        <item x="408"/>
        <item x="78"/>
        <item x="244"/>
        <item x="284"/>
        <item x="261"/>
        <item x="301"/>
        <item x="498"/>
        <item x="484"/>
        <item x="198"/>
        <item x="147"/>
        <item x="606"/>
        <item x="625"/>
        <item x="309"/>
        <item x="627"/>
        <item x="630"/>
        <item x="615"/>
        <item x="607"/>
        <item x="624"/>
        <item x="626"/>
        <item x="614"/>
        <item x="629"/>
        <item x="628"/>
        <item x="412"/>
        <item x="96"/>
        <item x="105"/>
        <item x="748"/>
        <item x="150"/>
        <item x="522"/>
        <item x="508"/>
        <item x="257"/>
        <item x="223"/>
        <item x="330"/>
        <item x="368"/>
        <item x="345"/>
        <item x="200"/>
        <item x="762"/>
        <item m="1" x="862"/>
        <item x="829"/>
        <item x="830"/>
        <item x="215"/>
        <item x="541"/>
        <item x="246"/>
        <item x="472"/>
        <item x="531"/>
        <item x="400"/>
        <item x="401"/>
        <item x="358"/>
        <item x="580"/>
        <item x="595"/>
        <item x="276"/>
        <item x="209"/>
        <item x="344"/>
        <item x="286"/>
        <item x="203"/>
        <item x="274"/>
        <item x="83"/>
        <item x="258"/>
        <item x="211"/>
        <item x="185"/>
        <item x="143"/>
        <item x="189"/>
        <item x="139"/>
        <item x="636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"/>
        <item x="27"/>
        <item x="28"/>
        <item x="29"/>
        <item x="17"/>
        <item x="19"/>
        <item x="20"/>
        <item x="21"/>
        <item x="22"/>
        <item x="23"/>
        <item x="25"/>
        <item x="26"/>
        <item x="442"/>
        <item x="462"/>
        <item x="463"/>
        <item x="464"/>
        <item x="87"/>
        <item x="88"/>
        <item x="89"/>
        <item x="90"/>
        <item x="91"/>
        <item x="93"/>
        <item x="669"/>
        <item x="670"/>
        <item x="654"/>
        <item x="92"/>
        <item x="227"/>
        <item x="228"/>
        <item x="229"/>
        <item x="230"/>
        <item x="231"/>
        <item x="232"/>
        <item x="24"/>
        <item x="233"/>
        <item x="234"/>
        <item x="235"/>
        <item x="236"/>
        <item x="828"/>
        <item m="1" x="844"/>
        <item m="1" x="841"/>
        <item x="447"/>
        <item x="467"/>
        <item x="314"/>
        <item x="238"/>
        <item x="32"/>
        <item x="491"/>
        <item x="639"/>
        <item x="239"/>
        <item x="226"/>
        <item x="632"/>
        <item x="646"/>
        <item x="645"/>
        <item x="620"/>
        <item x="168"/>
        <item x="446"/>
        <item x="610"/>
        <item x="271"/>
        <item x="225"/>
        <item x="582"/>
        <item x="578"/>
        <item x="473"/>
        <item x="478"/>
        <item x="533"/>
        <item x="347"/>
        <item x="526"/>
        <item x="730"/>
        <item x="504"/>
        <item x="507"/>
        <item x="497"/>
        <item x="299"/>
        <item x="764"/>
        <item x="126"/>
        <item x="370"/>
        <item x="12"/>
        <item x="360"/>
        <item x="303"/>
        <item x="339"/>
        <item x="267"/>
        <item x="53"/>
        <item x="711"/>
        <item x="268"/>
        <item x="137"/>
        <item x="222"/>
        <item x="394"/>
        <item x="154"/>
        <item x="596"/>
        <item x="525"/>
        <item x="341"/>
        <item x="693"/>
        <item m="1" x="871"/>
        <item x="691"/>
        <item x="34"/>
        <item x="35"/>
        <item x="468"/>
        <item x="243"/>
        <item x="279"/>
        <item x="269"/>
        <item x="207"/>
        <item x="577"/>
        <item x="551"/>
        <item x="364"/>
        <item x="521"/>
        <item x="514"/>
        <item x="563"/>
        <item x="553"/>
        <item x="562"/>
        <item x="583"/>
        <item x="550"/>
        <item x="13"/>
        <item x="634"/>
        <item x="47"/>
        <item x="611"/>
        <item x="649"/>
        <item x="643"/>
        <item x="603"/>
        <item x="642"/>
        <item x="652"/>
        <item x="46"/>
        <item x="172"/>
        <item x="173"/>
        <item x="123"/>
        <item x="316"/>
        <item x="647"/>
        <item x="621"/>
        <item x="494"/>
        <item x="317"/>
        <item x="318"/>
        <item x="767"/>
        <item t="default"/>
      </items>
    </pivotField>
    <pivotField compact="0" showAll="0" includeNewItemsInFilter="1"/>
    <pivotField compact="0" showAll="0" includeNewItemsInFilter="1"/>
    <pivotField dataField="1" compact="0" showAll="0" includeNewItemsInFilter="1"/>
    <pivotField compact="0" showAll="0" includeNewItemsInFilter="1"/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showAll="0" includeNewItemsInFilter="1">
      <items count="58">
        <item m="1" x="48"/>
        <item m="1" x="51"/>
        <item x="29"/>
        <item m="1" x="44"/>
        <item m="1" x="46"/>
        <item m="1" x="45"/>
        <item x="25"/>
        <item m="1" x="43"/>
        <item m="1" x="55"/>
        <item x="20"/>
        <item x="21"/>
        <item m="1" x="42"/>
        <item sd="0" x="0"/>
        <item x="4"/>
        <item x="19"/>
        <item x="34"/>
        <item m="1" x="41"/>
        <item x="33"/>
        <item x="16"/>
        <item x="26"/>
        <item x="11"/>
        <item m="1" x="47"/>
        <item m="1" x="49"/>
        <item x="7"/>
        <item x="22"/>
        <item x="32"/>
        <item x="36"/>
        <item x="37"/>
        <item x="38"/>
        <item x="9"/>
        <item x="15"/>
        <item m="1" x="50"/>
        <item x="24"/>
        <item m="1" x="52"/>
        <item x="18"/>
        <item m="1" x="54"/>
        <item x="10"/>
        <item x="28"/>
        <item x="27"/>
        <item x="23"/>
        <item x="40"/>
        <item m="1" x="53"/>
        <item x="13"/>
        <item x="6"/>
        <item x="17"/>
        <item x="31"/>
        <item x="5"/>
        <item x="12"/>
        <item m="1" x="56"/>
        <item x="14"/>
        <item x="8"/>
        <item x="1"/>
        <item x="2"/>
        <item x="3"/>
        <item x="30"/>
        <item x="35"/>
        <item x="39"/>
        <item t="default"/>
      </items>
    </pivotField>
    <pivotField axis="axisRow" compact="0" showAll="0" includeNewItemsInFilter="1">
      <items count="72">
        <item sd="0" m="1" x="43"/>
        <item sd="0" m="1" x="38"/>
        <item sd="0" m="1" x="42"/>
        <item sd="0" m="1" x="65"/>
        <item sd="0" m="1" x="57"/>
        <item sd="0" m="1" x="39"/>
        <item sd="0" m="1" x="53"/>
        <item sd="0" m="1" x="51"/>
        <item sd="0" m="1" x="46"/>
        <item sd="0" m="1" x="49"/>
        <item sd="0" m="1" x="63"/>
        <item sd="0" m="1" x="37"/>
        <item sd="0" m="1" x="44"/>
        <item sd="0" m="1" x="52"/>
        <item sd="0" m="1" x="66"/>
        <item sd="0" m="1" x="61"/>
        <item sd="0" m="1" x="60"/>
        <item sd="0" m="1" x="47"/>
        <item sd="0" m="1" x="50"/>
        <item sd="0" m="1" x="59"/>
        <item sd="0" m="1" x="70"/>
        <item sd="0" m="1" x="41"/>
        <item sd="0" m="1" x="56"/>
        <item sd="0" m="1" x="58"/>
        <item sd="0" m="1" x="40"/>
        <item sd="0" m="1" x="68"/>
        <item sd="0" m="1" x="69"/>
        <item sd="0" m="1" x="67"/>
        <item sd="0" m="1" x="45"/>
        <item sd="0" m="1" x="62"/>
        <item sd="0" m="1" x="55"/>
        <item sd="0" m="1" x="64"/>
        <item sd="0" m="1" x="48"/>
        <item sd="0" m="1" x="54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x="19"/>
        <item sd="0" x="20"/>
        <item sd="0" x="23"/>
        <item x="24"/>
        <item sd="0" x="25"/>
        <item sd="0" x="26"/>
        <item sd="0" x="27"/>
        <item x="28"/>
        <item sd="0" x="29"/>
        <item sd="0" x="30"/>
        <item sd="0" x="31"/>
        <item sd="0" x="32"/>
        <item sd="0" x="33"/>
        <item sd="0" x="35"/>
        <item sd="0" m="1" x="36"/>
        <item sd="0" x="34"/>
        <item sd="0" x="21"/>
        <item x="22"/>
        <item x="0"/>
        <item t="default" sd="0"/>
      </items>
    </pivotField>
    <pivotField axis="axisRow" compact="0" showAll="0">
      <items count="82">
        <item sd="0" m="1" x="75"/>
        <item sd="0" m="1" x="76"/>
        <item sd="0" m="1" x="77"/>
        <item sd="0" m="1" x="78"/>
        <item sd="0" m="1" x="79"/>
        <item sd="0" m="1" x="80"/>
        <item sd="0" m="1" x="37"/>
        <item sd="0" m="1" x="38"/>
        <item sd="0" m="1" x="39"/>
        <item sd="0" m="1" x="40"/>
        <item sd="0" m="1" x="41"/>
        <item sd="0" m="1" x="42"/>
        <item sd="0" m="1" x="43"/>
        <item sd="0" m="1" x="44"/>
        <item sd="0" m="1" x="45"/>
        <item sd="0" m="1" x="46"/>
        <item sd="0" m="1" x="47"/>
        <item sd="0" m="1" x="48"/>
        <item sd="0" m="1" x="49"/>
        <item sd="0" x="30"/>
        <item sd="0" m="1" x="50"/>
        <item sd="0" m="1" x="51"/>
        <item sd="0" m="1" x="52"/>
        <item sd="0" m="1" x="53"/>
        <item sd="0" m="1" x="54"/>
        <item sd="0" m="1" x="55"/>
        <item sd="0" m="1" x="56"/>
        <item sd="0" m="1" x="57"/>
        <item sd="0" m="1" x="58"/>
        <item sd="0" m="1" x="59"/>
        <item sd="0" m="1" x="60"/>
        <item sd="0" m="1" x="61"/>
        <item sd="0" m="1" x="62"/>
        <item sd="0" m="1" x="63"/>
        <item sd="0" x="26"/>
        <item sd="0" m="1" x="64"/>
        <item sd="0" m="1" x="65"/>
        <item sd="0" x="27"/>
        <item sd="0" m="1" x="66"/>
        <item sd="0" m="1" x="67"/>
        <item sd="0" m="1" x="68"/>
        <item sd="0" m="1" x="69"/>
        <item sd="0" m="1" x="70"/>
        <item sd="0" m="1" x="71"/>
        <item sd="0" m="1" x="72"/>
        <item sd="0" m="1" x="73"/>
        <item sd="0" m="1" x="74"/>
        <item sd="0" m="1" x="36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x="28"/>
        <item sd="0" x="29"/>
        <item sd="0" x="31"/>
        <item sd="0" x="32"/>
        <item sd="0" x="33"/>
        <item sd="0" x="34"/>
        <item sd="0" x="35"/>
        <item sd="0" x="0"/>
        <item t="default" sd="0"/>
      </items>
    </pivotField>
    <pivotField compact="0" dragToRow="0" dragToCol="0" dragToPage="0" showAll="0" defaultSubtotal="0"/>
  </pivotFields>
  <rowFields count="5">
    <field x="9"/>
    <field x="12"/>
    <field x="11"/>
    <field x="10"/>
    <field x="4"/>
  </rowFields>
  <rowItems count="106">
    <i>
      <x/>
    </i>
    <i r="1">
      <x v="80"/>
    </i>
    <i>
      <x v="1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>
      <x v="2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>
      <x v="3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>
      <x v="4"/>
    </i>
    <i r="1">
      <x v="34"/>
    </i>
    <i r="1">
      <x v="37"/>
    </i>
    <i r="1">
      <x v="71"/>
    </i>
    <i r="1">
      <x v="72"/>
    </i>
    <i>
      <x v="5"/>
    </i>
    <i r="1">
      <x v="19"/>
    </i>
    <i r="1">
      <x v="73"/>
    </i>
    <i r="2">
      <x v="59"/>
    </i>
    <i r="3">
      <x v="12"/>
    </i>
    <i r="3">
      <x v="13"/>
    </i>
    <i r="4">
      <x v="50"/>
    </i>
    <i r="4">
      <x v="61"/>
    </i>
    <i r="4">
      <x v="62"/>
    </i>
    <i r="4">
      <x v="71"/>
    </i>
    <i r="4">
      <x v="76"/>
    </i>
    <i r="3">
      <x v="14"/>
    </i>
    <i r="4">
      <x v="341"/>
    </i>
    <i r="3">
      <x v="15"/>
    </i>
    <i r="4">
      <x v="412"/>
    </i>
    <i r="3">
      <x v="17"/>
    </i>
    <i r="4">
      <x v="452"/>
    </i>
    <i r="3">
      <x v="18"/>
    </i>
    <i r="4">
      <x v="190"/>
    </i>
    <i r="4">
      <x v="415"/>
    </i>
    <i r="4">
      <x v="454"/>
    </i>
    <i r="4">
      <x v="465"/>
    </i>
    <i r="4">
      <x v="561"/>
    </i>
    <i r="4">
      <x v="832"/>
    </i>
    <i r="4">
      <x v="834"/>
    </i>
    <i r="3">
      <x v="19"/>
    </i>
    <i r="4">
      <x v="450"/>
    </i>
    <i r="4">
      <x v="451"/>
    </i>
    <i r="3">
      <x v="20"/>
    </i>
    <i r="4">
      <x v="456"/>
    </i>
    <i r="4">
      <x v="458"/>
    </i>
    <i r="4">
      <x v="460"/>
    </i>
    <i r="4">
      <x v="461"/>
    </i>
    <i r="3">
      <x v="25"/>
    </i>
    <i r="4">
      <x v="493"/>
    </i>
    <i r="3">
      <x v="26"/>
    </i>
    <i r="4">
      <x v="23"/>
    </i>
    <i r="3">
      <x v="27"/>
    </i>
    <i r="4">
      <x v="23"/>
    </i>
    <i r="3">
      <x v="28"/>
    </i>
    <i r="4">
      <x v="200"/>
    </i>
    <i r="4">
      <x v="201"/>
    </i>
    <i r="3">
      <x v="34"/>
    </i>
    <i r="4">
      <x v="131"/>
    </i>
    <i r="4">
      <x v="133"/>
    </i>
    <i r="4">
      <x v="134"/>
    </i>
    <i r="4">
      <x v="135"/>
    </i>
    <i r="4">
      <x v="137"/>
    </i>
    <i r="4">
      <x v="138"/>
    </i>
    <i r="4">
      <x v="139"/>
    </i>
    <i r="4">
      <x v="140"/>
    </i>
    <i r="4">
      <x v="164"/>
    </i>
    <i r="4">
      <x v="362"/>
    </i>
    <i r="4">
      <x v="562"/>
    </i>
    <i r="4">
      <x v="563"/>
    </i>
    <i r="4">
      <x v="595"/>
    </i>
    <i r="4">
      <x v="823"/>
    </i>
    <i r="3">
      <x v="50"/>
    </i>
    <i r="4">
      <x v="784"/>
    </i>
    <i r="3">
      <x v="55"/>
    </i>
    <i r="4">
      <x v="155"/>
    </i>
    <i r="4">
      <x v="156"/>
    </i>
    <i r="4">
      <x v="157"/>
    </i>
    <i r="4">
      <x v="158"/>
    </i>
    <i r="4">
      <x v="159"/>
    </i>
    <i r="1">
      <x v="74"/>
    </i>
    <i r="1">
      <x v="75"/>
    </i>
    <i r="1">
      <x v="76"/>
    </i>
    <i r="1">
      <x v="77"/>
    </i>
    <i r="1">
      <x v="78"/>
    </i>
    <i>
      <x v="6"/>
    </i>
    <i r="1">
      <x v="79"/>
    </i>
    <i t="grand">
      <x/>
    </i>
  </rowItems>
  <colItems count="1">
    <i/>
  </colItems>
  <dataFields count="1">
    <dataField name="Suma" fld="7" baseField="9" baseItem="19" numFmtId="165"/>
  </dataFields>
  <pivotTableStyleInfo name="PivotStyleMedium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519DA-F57B-452D-8539-025AE8891C75}" name="Kontingenční tabulka2" cacheId="0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D3:E18" firstHeaderRow="1" firstDataRow="1" firstDataCol="1"/>
  <pivotFields count="14">
    <pivotField showAll="0"/>
    <pivotField showAll="0"/>
    <pivotField showAll="0"/>
    <pivotField showAll="0"/>
    <pivotField axis="axisRow" showAll="0">
      <items count="873">
        <item x="495"/>
        <item x="178"/>
        <item x="519"/>
        <item x="183"/>
        <item x="555"/>
        <item x="206"/>
        <item x="100"/>
        <item x="181"/>
        <item x="132"/>
        <item x="112"/>
        <item x="187"/>
        <item x="392"/>
        <item x="399"/>
        <item x="302"/>
        <item x="388"/>
        <item x="389"/>
        <item x="529"/>
        <item x="543"/>
        <item x="528"/>
        <item x="542"/>
        <item x="115"/>
        <item x="191"/>
        <item x="218"/>
        <item x="68"/>
        <item x="524"/>
        <item x="540"/>
        <item x="617"/>
        <item x="197"/>
        <item x="177"/>
        <item x="151"/>
        <item x="340"/>
        <item x="369"/>
        <item x="653"/>
        <item x="565"/>
        <item x="584"/>
        <item x="75"/>
        <item x="58"/>
        <item x="510"/>
        <item x="95"/>
        <item x="107"/>
        <item x="396"/>
        <item x="677"/>
        <item m="1" x="852"/>
        <item x="113"/>
        <item x="262"/>
        <item x="291"/>
        <item x="263"/>
        <item x="290"/>
        <item x="499"/>
        <item x="480"/>
        <item x="311"/>
        <item x="429"/>
        <item x="415"/>
        <item x="419"/>
        <item x="424"/>
        <item x="432"/>
        <item x="441"/>
        <item x="436"/>
        <item x="426"/>
        <item x="428"/>
        <item x="413"/>
        <item x="687"/>
        <item x="689"/>
        <item x="460"/>
        <item x="86"/>
        <item x="433"/>
        <item x="438"/>
        <item x="440"/>
        <item x="427"/>
        <item x="430"/>
        <item x="417"/>
        <item x="688"/>
        <item x="421"/>
        <item x="431"/>
        <item x="437"/>
        <item x="439"/>
        <item x="686"/>
        <item x="422"/>
        <item x="434"/>
        <item x="416"/>
        <item x="420"/>
        <item x="414"/>
        <item x="418"/>
        <item x="423"/>
        <item x="435"/>
        <item x="425"/>
        <item x="500"/>
        <item x="487"/>
        <item x="175"/>
        <item x="204"/>
        <item x="59"/>
        <item x="743"/>
        <item x="587"/>
        <item x="727"/>
        <item x="188"/>
        <item x="81"/>
        <item x="153"/>
        <item x="336"/>
        <item x="128"/>
        <item x="106"/>
        <item m="1" x="839"/>
        <item x="387"/>
        <item x="15"/>
        <item x="637"/>
        <item x="145"/>
        <item x="130"/>
        <item x="110"/>
        <item m="1" x="853"/>
        <item x="559"/>
        <item x="520"/>
        <item x="357"/>
        <item x="322"/>
        <item x="554"/>
        <item x="581"/>
        <item x="538"/>
        <item x="768"/>
        <item x="254"/>
        <item x="135"/>
        <item x="719"/>
        <item x="455"/>
        <item x="724"/>
        <item x="717"/>
        <item x="720"/>
        <item x="454"/>
        <item x="718"/>
        <item x="722"/>
        <item x="713"/>
        <item x="715"/>
        <item x="527"/>
        <item x="44"/>
        <item x="452"/>
        <item x="453"/>
        <item x="821"/>
        <item x="818"/>
        <item x="685"/>
        <item x="668"/>
        <item x="822"/>
        <item x="823"/>
        <item x="820"/>
        <item x="815"/>
        <item x="816"/>
        <item x="405"/>
        <item x="707"/>
        <item x="709"/>
        <item x="706"/>
        <item x="708"/>
        <item x="42"/>
        <item x="814"/>
        <item x="45"/>
        <item x="43"/>
        <item x="819"/>
        <item x="817"/>
        <item x="831"/>
        <item m="1" x="847"/>
        <item m="1" x="848"/>
        <item m="1" x="849"/>
        <item m="1" x="850"/>
        <item m="1" x="851"/>
        <item x="333"/>
        <item m="1" x="835"/>
        <item x="293"/>
        <item x="502"/>
        <item x="516"/>
        <item m="1" x="837"/>
        <item x="152"/>
        <item x="289"/>
        <item x="250"/>
        <item x="253"/>
        <item x="288"/>
        <item x="511"/>
        <item x="98"/>
        <item x="523"/>
        <item x="176"/>
        <item x="393"/>
        <item x="363"/>
        <item x="694"/>
        <item x="273"/>
        <item x="74"/>
        <item x="349"/>
        <item x="496"/>
        <item x="404"/>
        <item x="342"/>
        <item x="348"/>
        <item x="70"/>
        <item x="67"/>
        <item x="725"/>
        <item x="726"/>
        <item x="193"/>
        <item x="220"/>
        <item x="337"/>
        <item x="367"/>
        <item x="334"/>
        <item x="354"/>
        <item x="306"/>
        <item x="338"/>
        <item x="31"/>
        <item x="569"/>
        <item x="570"/>
        <item x="548"/>
        <item x="476"/>
        <item x="477"/>
        <item x="127"/>
        <item x="104"/>
        <item x="549"/>
        <item x="319"/>
        <item x="308"/>
        <item x="305"/>
        <item x="192"/>
        <item x="221"/>
        <item x="474"/>
        <item x="483"/>
        <item x="283"/>
        <item x="769"/>
        <item x="745"/>
        <item x="752"/>
        <item x="36"/>
        <item x="566"/>
        <item x="575"/>
        <item x="552"/>
        <item x="576"/>
        <item x="564"/>
        <item x="589"/>
        <item x="224"/>
        <item x="266"/>
        <item x="66"/>
        <item x="381"/>
        <item m="1" x="836"/>
        <item x="728"/>
        <item x="208"/>
        <item x="251"/>
        <item x="186"/>
        <item x="196"/>
        <item x="281"/>
        <item x="332"/>
        <item x="131"/>
        <item x="398"/>
        <item x="260"/>
        <item x="298"/>
        <item x="307"/>
        <item x="111"/>
        <item x="600"/>
        <item x="599"/>
        <item m="1" x="834"/>
        <item x="377"/>
        <item x="579"/>
        <item x="590"/>
        <item x="378"/>
        <item x="616"/>
        <item x="536"/>
        <item x="280"/>
        <item x="174"/>
        <item x="201"/>
        <item x="52"/>
        <item x="366"/>
        <item x="323"/>
        <item x="517"/>
        <item x="641"/>
        <item x="635"/>
        <item x="572"/>
        <item x="241"/>
        <item x="296"/>
        <item x="622"/>
        <item x="612"/>
        <item m="1" x="865"/>
        <item x="265"/>
        <item x="212"/>
        <item x="501"/>
        <item x="482"/>
        <item x="390"/>
        <item x="560"/>
        <item x="547"/>
        <item x="546"/>
        <item x="771"/>
        <item x="216"/>
        <item x="255"/>
        <item x="597"/>
        <item x="402"/>
        <item x="18"/>
        <item x="77"/>
        <item x="76"/>
        <item x="593"/>
        <item x="62"/>
        <item x="50"/>
        <item x="505"/>
        <item x="515"/>
        <item x="264"/>
        <item x="214"/>
        <item x="539"/>
        <item x="134"/>
        <item x="146"/>
        <item x="71"/>
        <item x="64"/>
        <item x="195"/>
        <item x="202"/>
        <item x="485"/>
        <item x="384"/>
        <item x="356"/>
        <item x="97"/>
        <item x="133"/>
        <item x="108"/>
        <item x="252"/>
        <item x="210"/>
        <item x="375"/>
        <item x="409"/>
        <item x="594"/>
        <item x="591"/>
        <item x="592"/>
        <item x="833"/>
        <item x="640"/>
        <item x="125"/>
        <item x="140"/>
        <item m="1" x="861"/>
        <item x="586"/>
        <item m="1" x="866"/>
        <item x="729"/>
        <item x="605"/>
        <item x="613"/>
        <item m="1" x="870"/>
        <item x="747"/>
        <item x="760"/>
        <item x="763"/>
        <item x="84"/>
        <item x="765"/>
        <item x="458"/>
        <item m="1" x="868"/>
        <item x="690"/>
        <item x="506"/>
        <item x="488"/>
        <item x="326"/>
        <item x="351"/>
        <item x="194"/>
        <item x="138"/>
        <item x="374"/>
        <item x="397"/>
        <item x="72"/>
        <item x="73"/>
        <item x="321"/>
        <item x="292"/>
        <item x="503"/>
        <item x="479"/>
        <item x="65"/>
        <item x="51"/>
        <item x="259"/>
        <item x="219"/>
        <item x="184"/>
        <item x="142"/>
        <item x="723"/>
        <item x="343"/>
        <item x="101"/>
        <item x="585"/>
        <item x="379"/>
        <item x="362"/>
        <item x="561"/>
        <item x="537"/>
        <item x="604"/>
        <item x="623"/>
        <item x="136"/>
        <item x="352"/>
        <item x="385"/>
        <item x="325"/>
        <item x="304"/>
        <item x="272"/>
        <item x="248"/>
        <item x="205"/>
        <item m="1" x="857"/>
        <item x="275"/>
        <item x="287"/>
        <item x="295"/>
        <item x="475"/>
        <item x="217"/>
        <item x="827"/>
        <item x="99"/>
        <item x="79"/>
        <item x="391"/>
        <item x="406"/>
        <item x="270"/>
        <item x="278"/>
        <item x="512"/>
        <item x="481"/>
        <item x="60"/>
        <item x="54"/>
        <item x="535"/>
        <item x="471"/>
        <item x="486"/>
        <item x="383"/>
        <item x="256"/>
        <item x="57"/>
        <item x="63"/>
        <item m="1" x="864"/>
        <item x="102"/>
        <item x="103"/>
        <item x="116"/>
        <item x="117"/>
        <item x="461"/>
        <item m="1" x="846"/>
        <item x="631"/>
        <item x="705"/>
        <item x="182"/>
        <item x="386"/>
        <item x="692"/>
        <item x="772"/>
        <item x="327"/>
        <item x="297"/>
        <item x="574"/>
        <item x="556"/>
        <item x="380"/>
        <item x="509"/>
        <item x="129"/>
        <item x="213"/>
        <item x="61"/>
        <item x="49"/>
        <item m="1" x="869"/>
        <item x="534"/>
        <item x="245"/>
        <item x="114"/>
        <item x="199"/>
        <item x="335"/>
        <item x="766"/>
        <item x="749"/>
        <item x="80"/>
        <item x="751"/>
        <item x="756"/>
        <item x="761"/>
        <item x="757"/>
        <item x="277"/>
        <item x="359"/>
        <item x="328"/>
        <item x="567"/>
        <item x="750"/>
        <item x="758"/>
        <item x="755"/>
        <item m="1" x="856"/>
        <item m="1" x="860"/>
        <item m="1" x="863"/>
        <item x="703"/>
        <item x="704"/>
        <item x="702"/>
        <item x="826"/>
        <item x="695"/>
        <item x="41"/>
        <item x="602"/>
        <item x="700"/>
        <item x="633"/>
        <item x="701"/>
        <item x="699"/>
        <item x="770"/>
        <item x="376"/>
        <item x="353"/>
        <item x="696"/>
        <item m="1" x="845"/>
        <item m="1" x="843"/>
        <item x="532"/>
        <item x="513"/>
        <item x="320"/>
        <item x="361"/>
        <item x="242"/>
        <item x="294"/>
        <item x="85"/>
        <item m="1" x="842"/>
        <item x="69"/>
        <item x="48"/>
        <item x="329"/>
        <item x="403"/>
        <item x="410"/>
        <item x="466"/>
        <item x="609"/>
        <item x="601"/>
        <item x="619"/>
        <item x="737"/>
        <item x="738"/>
        <item x="739"/>
        <item x="740"/>
        <item x="741"/>
        <item x="742"/>
        <item x="608"/>
        <item x="813"/>
        <item x="698"/>
        <item x="490"/>
        <item x="651"/>
        <item x="465"/>
        <item x="731"/>
        <item x="732"/>
        <item x="733"/>
        <item x="734"/>
        <item x="735"/>
        <item x="736"/>
        <item x="445"/>
        <item x="650"/>
        <item x="618"/>
        <item m="1" x="867"/>
        <item x="350"/>
        <item x="746"/>
        <item x="754"/>
        <item x="33"/>
        <item x="120"/>
        <item x="753"/>
        <item x="759"/>
        <item x="118"/>
        <item x="148"/>
        <item x="459"/>
        <item x="407"/>
        <item x="411"/>
        <item x="382"/>
        <item x="346"/>
        <item x="697"/>
        <item x="712"/>
        <item x="721"/>
        <item x="324"/>
        <item x="282"/>
        <item x="109"/>
        <item x="40"/>
        <item x="122"/>
        <item x="469"/>
        <item x="94"/>
        <item x="545"/>
        <item x="38"/>
        <item x="37"/>
        <item x="451"/>
        <item x="449"/>
        <item x="448"/>
        <item x="39"/>
        <item x="493"/>
        <item x="450"/>
        <item x="470"/>
        <item x="171"/>
        <item x="457"/>
        <item x="121"/>
        <item x="492"/>
        <item x="558"/>
        <item x="315"/>
        <item x="240"/>
        <item x="544"/>
        <item x="82"/>
        <item x="372"/>
        <item x="169"/>
        <item x="518"/>
        <item x="456"/>
        <item x="170"/>
        <item x="714"/>
        <item x="179"/>
        <item x="530"/>
        <item x="659"/>
        <item x="660"/>
        <item x="661"/>
        <item x="655"/>
        <item x="656"/>
        <item x="657"/>
        <item x="658"/>
        <item x="373"/>
        <item x="355"/>
        <item x="56"/>
        <item x="55"/>
        <item x="247"/>
        <item x="285"/>
        <item x="180"/>
        <item x="141"/>
        <item x="249"/>
        <item x="300"/>
        <item x="671"/>
        <item x="672"/>
        <item x="673"/>
        <item x="674"/>
        <item x="675"/>
        <item x="676"/>
        <item x="678"/>
        <item x="679"/>
        <item x="680"/>
        <item x="681"/>
        <item x="682"/>
        <item x="683"/>
        <item x="571"/>
        <item x="557"/>
        <item x="662"/>
        <item x="663"/>
        <item x="664"/>
        <item x="665"/>
        <item x="666"/>
        <item x="667"/>
        <item x="568"/>
        <item x="588"/>
        <item x="124"/>
        <item x="144"/>
        <item x="331"/>
        <item x="365"/>
        <item x="573"/>
        <item m="1" x="838"/>
        <item x="832"/>
        <item x="824"/>
        <item m="1" x="854"/>
        <item m="1" x="840"/>
        <item m="1" x="855"/>
        <item m="1" x="859"/>
        <item m="1" x="858"/>
        <item x="825"/>
        <item x="190"/>
        <item x="149"/>
        <item x="648"/>
        <item x="237"/>
        <item x="744"/>
        <item x="444"/>
        <item x="30"/>
        <item x="371"/>
        <item x="312"/>
        <item x="167"/>
        <item x="119"/>
        <item x="644"/>
        <item x="489"/>
        <item x="313"/>
        <item x="638"/>
        <item x="443"/>
        <item x="310"/>
        <item x="395"/>
        <item x="408"/>
        <item x="78"/>
        <item x="244"/>
        <item x="284"/>
        <item x="261"/>
        <item x="301"/>
        <item x="498"/>
        <item x="484"/>
        <item x="198"/>
        <item x="147"/>
        <item x="606"/>
        <item x="625"/>
        <item x="309"/>
        <item x="627"/>
        <item x="630"/>
        <item x="615"/>
        <item x="607"/>
        <item x="624"/>
        <item x="626"/>
        <item x="614"/>
        <item x="629"/>
        <item x="628"/>
        <item x="412"/>
        <item x="96"/>
        <item x="105"/>
        <item x="748"/>
        <item x="150"/>
        <item x="522"/>
        <item x="508"/>
        <item x="257"/>
        <item x="223"/>
        <item x="330"/>
        <item x="368"/>
        <item x="345"/>
        <item x="200"/>
        <item x="762"/>
        <item m="1" x="862"/>
        <item x="829"/>
        <item x="830"/>
        <item x="215"/>
        <item x="541"/>
        <item x="246"/>
        <item x="472"/>
        <item x="531"/>
        <item x="400"/>
        <item x="401"/>
        <item x="358"/>
        <item x="580"/>
        <item x="595"/>
        <item x="276"/>
        <item x="209"/>
        <item x="344"/>
        <item x="286"/>
        <item x="203"/>
        <item x="274"/>
        <item x="83"/>
        <item x="258"/>
        <item x="211"/>
        <item x="185"/>
        <item x="143"/>
        <item x="189"/>
        <item x="139"/>
        <item x="636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"/>
        <item x="27"/>
        <item x="28"/>
        <item x="29"/>
        <item x="17"/>
        <item x="19"/>
        <item x="20"/>
        <item x="21"/>
        <item x="22"/>
        <item x="23"/>
        <item x="25"/>
        <item x="26"/>
        <item x="442"/>
        <item x="462"/>
        <item x="463"/>
        <item x="464"/>
        <item x="87"/>
        <item x="88"/>
        <item x="89"/>
        <item x="90"/>
        <item x="91"/>
        <item x="93"/>
        <item x="669"/>
        <item x="670"/>
        <item x="654"/>
        <item x="92"/>
        <item x="227"/>
        <item x="228"/>
        <item x="229"/>
        <item x="230"/>
        <item x="231"/>
        <item x="232"/>
        <item x="24"/>
        <item x="233"/>
        <item x="234"/>
        <item x="235"/>
        <item x="236"/>
        <item x="828"/>
        <item m="1" x="844"/>
        <item m="1" x="841"/>
        <item x="447"/>
        <item x="467"/>
        <item x="314"/>
        <item x="238"/>
        <item x="32"/>
        <item x="491"/>
        <item x="639"/>
        <item x="239"/>
        <item x="226"/>
        <item x="632"/>
        <item x="646"/>
        <item x="645"/>
        <item x="620"/>
        <item x="168"/>
        <item x="446"/>
        <item x="610"/>
        <item x="271"/>
        <item x="225"/>
        <item x="582"/>
        <item x="578"/>
        <item x="473"/>
        <item x="478"/>
        <item x="533"/>
        <item x="347"/>
        <item x="526"/>
        <item x="730"/>
        <item x="504"/>
        <item x="507"/>
        <item x="497"/>
        <item x="299"/>
        <item x="764"/>
        <item x="126"/>
        <item x="370"/>
        <item x="12"/>
        <item x="360"/>
        <item x="303"/>
        <item x="339"/>
        <item x="267"/>
        <item x="711"/>
        <item x="268"/>
        <item x="137"/>
        <item x="222"/>
        <item x="394"/>
        <item x="154"/>
        <item x="596"/>
        <item x="525"/>
        <item x="341"/>
        <item x="693"/>
        <item m="1" x="871"/>
        <item x="691"/>
        <item x="34"/>
        <item x="35"/>
        <item x="468"/>
        <item x="243"/>
        <item x="279"/>
        <item x="269"/>
        <item x="207"/>
        <item x="577"/>
        <item x="551"/>
        <item x="364"/>
        <item x="521"/>
        <item x="514"/>
        <item x="563"/>
        <item x="553"/>
        <item x="562"/>
        <item x="583"/>
        <item x="550"/>
        <item x="634"/>
        <item x="47"/>
        <item x="611"/>
        <item x="649"/>
        <item x="643"/>
        <item x="603"/>
        <item x="642"/>
        <item x="652"/>
        <item x="46"/>
        <item x="172"/>
        <item x="173"/>
        <item x="123"/>
        <item x="316"/>
        <item x="647"/>
        <item x="621"/>
        <item x="494"/>
        <item x="317"/>
        <item x="318"/>
        <item x="7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53"/>
        <item x="598"/>
        <item x="684"/>
        <item x="710"/>
        <item x="71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t="default"/>
      </items>
    </pivotField>
    <pivotField showAll="0"/>
    <pivotField showAll="0"/>
    <pivotField dataField="1" showAll="0"/>
    <pivotField showAll="0"/>
    <pivotField showAll="0"/>
    <pivotField axis="axisRow" showAll="0" measureFilter="1">
      <items count="58">
        <item sd="0" m="1" x="48"/>
        <item sd="0" m="1" x="51"/>
        <item sd="0" x="29"/>
        <item sd="0" m="1" x="44"/>
        <item sd="0" m="1" x="46"/>
        <item sd="0" m="1" x="45"/>
        <item sd="0" x="25"/>
        <item sd="0" m="1" x="43"/>
        <item sd="0" m="1" x="55"/>
        <item sd="0" x="20"/>
        <item sd="0" x="21"/>
        <item sd="0" m="1" x="42"/>
        <item sd="0" x="0"/>
        <item sd="0" x="4"/>
        <item sd="0" x="19"/>
        <item sd="0" x="34"/>
        <item sd="0" m="1" x="41"/>
        <item sd="0" x="33"/>
        <item sd="0" x="16"/>
        <item sd="0" x="26"/>
        <item sd="0" x="11"/>
        <item sd="0" m="1" x="47"/>
        <item sd="0" m="1" x="49"/>
        <item sd="0" x="7"/>
        <item sd="0" x="22"/>
        <item sd="0" x="32"/>
        <item sd="0" x="36"/>
        <item sd="0" x="37"/>
        <item sd="0" x="38"/>
        <item sd="0" x="9"/>
        <item sd="0" x="15"/>
        <item sd="0" m="1" x="50"/>
        <item sd="0" x="24"/>
        <item sd="0" m="1" x="52"/>
        <item sd="0" x="18"/>
        <item sd="0" m="1" x="54"/>
        <item sd="0" x="10"/>
        <item sd="0" x="28"/>
        <item sd="0" x="27"/>
        <item sd="0" x="23"/>
        <item sd="0" x="40"/>
        <item sd="0" m="1" x="53"/>
        <item sd="0" x="13"/>
        <item sd="0" x="6"/>
        <item sd="0" x="17"/>
        <item sd="0" x="31"/>
        <item sd="0" x="5"/>
        <item sd="0" x="12"/>
        <item sd="0" m="1" x="56"/>
        <item sd="0" x="14"/>
        <item sd="0" x="8"/>
        <item sd="0" x="1"/>
        <item sd="0" x="2"/>
        <item sd="0" x="3"/>
        <item sd="0" x="30"/>
        <item sd="0" x="35"/>
        <item sd="0" x="39"/>
        <item t="default" sd="0"/>
      </items>
    </pivotField>
    <pivotField axis="axisRow" showAll="0">
      <items count="7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m="1" x="36"/>
        <item m="1" x="43"/>
        <item m="1" x="38"/>
        <item m="1" x="42"/>
        <item m="1" x="65"/>
        <item m="1" x="48"/>
        <item m="1" x="64"/>
        <item m="1" x="57"/>
        <item m="1" x="39"/>
        <item m="1" x="67"/>
        <item m="1" x="56"/>
        <item m="1" x="54"/>
        <item m="1" x="53"/>
        <item m="1" x="51"/>
        <item m="1" x="46"/>
        <item m="1" x="49"/>
        <item m="1" x="55"/>
        <item m="1" x="62"/>
        <item m="1" x="63"/>
        <item m="1" x="37"/>
        <item m="1" x="40"/>
        <item m="1" x="58"/>
        <item m="1" x="44"/>
        <item m="1" x="52"/>
        <item m="1" x="66"/>
        <item m="1" x="61"/>
        <item m="1" x="60"/>
        <item m="1" x="45"/>
        <item m="1" x="68"/>
        <item m="1" x="41"/>
        <item m="1" x="70"/>
        <item m="1" x="69"/>
        <item m="1" x="47"/>
        <item m="1" x="50"/>
        <item m="1" x="59"/>
        <item x="0"/>
        <item t="default"/>
      </items>
    </pivotField>
    <pivotField showAll="0"/>
    <pivotField dragToRow="0" dragToCol="0" dragToPage="0" showAll="0" defaultSubtotal="0"/>
  </pivotFields>
  <rowFields count="3">
    <field x="10"/>
    <field x="4"/>
    <field x="11"/>
  </rowFields>
  <rowItems count="15">
    <i>
      <x v="26"/>
    </i>
    <i>
      <x v="27"/>
    </i>
    <i>
      <x v="28"/>
    </i>
    <i>
      <x v="30"/>
    </i>
    <i>
      <x v="32"/>
    </i>
    <i>
      <x v="34"/>
    </i>
    <i>
      <x v="38"/>
    </i>
    <i>
      <x v="39"/>
    </i>
    <i>
      <x v="42"/>
    </i>
    <i>
      <x v="47"/>
    </i>
    <i>
      <x v="49"/>
    </i>
    <i>
      <x v="53"/>
    </i>
    <i>
      <x v="54"/>
    </i>
    <i>
      <x v="55"/>
    </i>
    <i t="grand">
      <x/>
    </i>
  </rowItems>
  <colItems count="1">
    <i/>
  </colItems>
  <dataFields count="1">
    <dataField name="Součet z Částka" fld="7" baseField="12" baseItem="14" numFmtId="165"/>
  </dataFields>
  <pivotTableStyleInfo name="PivotStyleLight16" showRowHeaders="1" showColHeaders="1" showRowStripes="0" showColStripes="0" showLastColumn="1"/>
  <filters count="1">
    <filter fld="10" type="valueGreaterThanOrEqual" evalOrder="-1" id="2" iMeasureFld="0">
      <autoFilter ref="A1">
        <filterColumn colId="0">
          <customFilters>
            <customFilter operator="greaterThanOr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DD5DDE-E036-41F6-B7A7-F4C29A0E17A7}" name="Kontingenční tabulka1" cacheId="0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>
  <location ref="A3:B31" firstHeaderRow="1" firstDataRow="1" firstDataCol="1"/>
  <pivotFields count="14">
    <pivotField showAll="0"/>
    <pivotField showAll="0"/>
    <pivotField showAll="0"/>
    <pivotField showAll="0"/>
    <pivotField axis="axisRow" showAll="0">
      <items count="873">
        <item x="495"/>
        <item x="178"/>
        <item x="519"/>
        <item x="183"/>
        <item x="555"/>
        <item x="206"/>
        <item x="100"/>
        <item x="181"/>
        <item x="132"/>
        <item x="112"/>
        <item x="187"/>
        <item x="392"/>
        <item x="399"/>
        <item x="302"/>
        <item x="388"/>
        <item x="389"/>
        <item x="529"/>
        <item x="543"/>
        <item x="528"/>
        <item x="542"/>
        <item x="115"/>
        <item x="191"/>
        <item x="218"/>
        <item x="68"/>
        <item x="524"/>
        <item x="540"/>
        <item x="617"/>
        <item x="197"/>
        <item x="177"/>
        <item x="151"/>
        <item x="340"/>
        <item x="369"/>
        <item x="653"/>
        <item x="565"/>
        <item x="584"/>
        <item x="75"/>
        <item x="58"/>
        <item x="510"/>
        <item x="95"/>
        <item x="107"/>
        <item x="396"/>
        <item x="677"/>
        <item m="1" x="852"/>
        <item x="113"/>
        <item x="262"/>
        <item x="291"/>
        <item x="263"/>
        <item x="290"/>
        <item x="499"/>
        <item x="480"/>
        <item x="311"/>
        <item x="429"/>
        <item x="415"/>
        <item x="419"/>
        <item x="424"/>
        <item x="432"/>
        <item x="441"/>
        <item x="436"/>
        <item x="426"/>
        <item x="428"/>
        <item x="413"/>
        <item x="687"/>
        <item x="689"/>
        <item x="460"/>
        <item x="86"/>
        <item x="433"/>
        <item x="438"/>
        <item x="440"/>
        <item x="427"/>
        <item x="430"/>
        <item x="417"/>
        <item x="688"/>
        <item x="421"/>
        <item x="431"/>
        <item x="437"/>
        <item x="439"/>
        <item x="686"/>
        <item x="422"/>
        <item x="434"/>
        <item x="416"/>
        <item x="420"/>
        <item x="414"/>
        <item x="418"/>
        <item x="423"/>
        <item x="435"/>
        <item x="425"/>
        <item x="500"/>
        <item x="487"/>
        <item x="175"/>
        <item x="204"/>
        <item x="59"/>
        <item x="743"/>
        <item x="587"/>
        <item x="727"/>
        <item x="188"/>
        <item x="81"/>
        <item x="153"/>
        <item x="336"/>
        <item x="128"/>
        <item x="106"/>
        <item m="1" x="839"/>
        <item x="387"/>
        <item x="15"/>
        <item x="637"/>
        <item x="145"/>
        <item x="130"/>
        <item x="110"/>
        <item m="1" x="853"/>
        <item x="559"/>
        <item x="520"/>
        <item x="357"/>
        <item x="322"/>
        <item x="554"/>
        <item x="581"/>
        <item x="538"/>
        <item x="768"/>
        <item x="254"/>
        <item x="135"/>
        <item x="719"/>
        <item x="455"/>
        <item x="724"/>
        <item x="717"/>
        <item x="720"/>
        <item x="454"/>
        <item x="718"/>
        <item x="722"/>
        <item x="713"/>
        <item x="715"/>
        <item x="527"/>
        <item x="44"/>
        <item x="452"/>
        <item x="453"/>
        <item x="821"/>
        <item x="818"/>
        <item x="685"/>
        <item x="668"/>
        <item x="822"/>
        <item x="823"/>
        <item x="820"/>
        <item x="815"/>
        <item x="816"/>
        <item x="405"/>
        <item x="707"/>
        <item x="709"/>
        <item x="706"/>
        <item x="708"/>
        <item x="42"/>
        <item x="814"/>
        <item x="45"/>
        <item x="43"/>
        <item x="819"/>
        <item x="817"/>
        <item x="831"/>
        <item m="1" x="847"/>
        <item m="1" x="848"/>
        <item m="1" x="849"/>
        <item m="1" x="850"/>
        <item m="1" x="851"/>
        <item x="333"/>
        <item m="1" x="835"/>
        <item x="293"/>
        <item x="502"/>
        <item x="516"/>
        <item m="1" x="837"/>
        <item x="152"/>
        <item x="289"/>
        <item x="250"/>
        <item x="253"/>
        <item x="288"/>
        <item x="511"/>
        <item x="98"/>
        <item x="523"/>
        <item x="176"/>
        <item x="393"/>
        <item x="363"/>
        <item x="694"/>
        <item x="273"/>
        <item x="74"/>
        <item x="349"/>
        <item x="496"/>
        <item x="404"/>
        <item x="342"/>
        <item x="348"/>
        <item x="70"/>
        <item x="67"/>
        <item x="725"/>
        <item x="726"/>
        <item x="193"/>
        <item x="220"/>
        <item x="337"/>
        <item x="367"/>
        <item x="334"/>
        <item x="354"/>
        <item x="306"/>
        <item x="338"/>
        <item x="31"/>
        <item x="569"/>
        <item x="570"/>
        <item x="548"/>
        <item x="476"/>
        <item x="477"/>
        <item x="127"/>
        <item x="104"/>
        <item x="549"/>
        <item x="319"/>
        <item x="308"/>
        <item x="305"/>
        <item x="192"/>
        <item x="221"/>
        <item x="474"/>
        <item x="483"/>
        <item x="283"/>
        <item x="769"/>
        <item x="745"/>
        <item x="752"/>
        <item x="36"/>
        <item x="566"/>
        <item x="575"/>
        <item x="552"/>
        <item x="576"/>
        <item x="564"/>
        <item x="589"/>
        <item x="224"/>
        <item x="266"/>
        <item x="66"/>
        <item x="381"/>
        <item m="1" x="836"/>
        <item x="728"/>
        <item x="208"/>
        <item x="251"/>
        <item x="186"/>
        <item x="196"/>
        <item x="281"/>
        <item x="332"/>
        <item x="131"/>
        <item x="398"/>
        <item x="260"/>
        <item x="298"/>
        <item x="307"/>
        <item x="111"/>
        <item x="600"/>
        <item x="599"/>
        <item m="1" x="834"/>
        <item x="377"/>
        <item x="579"/>
        <item x="590"/>
        <item x="378"/>
        <item x="616"/>
        <item x="536"/>
        <item x="280"/>
        <item x="174"/>
        <item x="201"/>
        <item x="52"/>
        <item x="366"/>
        <item x="323"/>
        <item x="517"/>
        <item x="641"/>
        <item x="635"/>
        <item x="572"/>
        <item x="241"/>
        <item x="296"/>
        <item x="622"/>
        <item x="612"/>
        <item m="1" x="865"/>
        <item x="265"/>
        <item x="212"/>
        <item x="501"/>
        <item x="482"/>
        <item x="390"/>
        <item x="560"/>
        <item x="547"/>
        <item x="546"/>
        <item x="771"/>
        <item x="216"/>
        <item x="255"/>
        <item x="597"/>
        <item x="402"/>
        <item x="18"/>
        <item x="77"/>
        <item x="76"/>
        <item x="593"/>
        <item x="62"/>
        <item x="50"/>
        <item x="505"/>
        <item x="515"/>
        <item x="264"/>
        <item x="214"/>
        <item x="539"/>
        <item x="134"/>
        <item x="146"/>
        <item x="71"/>
        <item x="64"/>
        <item x="195"/>
        <item x="202"/>
        <item x="485"/>
        <item x="384"/>
        <item x="356"/>
        <item x="97"/>
        <item x="133"/>
        <item x="108"/>
        <item x="252"/>
        <item x="210"/>
        <item x="375"/>
        <item x="409"/>
        <item x="594"/>
        <item x="591"/>
        <item x="592"/>
        <item x="833"/>
        <item x="640"/>
        <item x="125"/>
        <item x="140"/>
        <item m="1" x="861"/>
        <item x="586"/>
        <item m="1" x="866"/>
        <item x="729"/>
        <item x="605"/>
        <item x="613"/>
        <item m="1" x="870"/>
        <item x="747"/>
        <item x="760"/>
        <item x="763"/>
        <item x="84"/>
        <item x="765"/>
        <item x="458"/>
        <item m="1" x="868"/>
        <item x="690"/>
        <item x="506"/>
        <item x="488"/>
        <item x="326"/>
        <item x="351"/>
        <item x="194"/>
        <item x="138"/>
        <item x="374"/>
        <item x="397"/>
        <item x="72"/>
        <item x="73"/>
        <item x="321"/>
        <item x="292"/>
        <item x="503"/>
        <item x="479"/>
        <item x="65"/>
        <item x="51"/>
        <item x="259"/>
        <item x="219"/>
        <item x="184"/>
        <item x="142"/>
        <item x="723"/>
        <item x="343"/>
        <item x="101"/>
        <item x="585"/>
        <item x="379"/>
        <item x="362"/>
        <item x="561"/>
        <item x="537"/>
        <item x="604"/>
        <item x="623"/>
        <item x="136"/>
        <item x="352"/>
        <item x="385"/>
        <item x="325"/>
        <item x="304"/>
        <item x="272"/>
        <item x="248"/>
        <item x="205"/>
        <item m="1" x="857"/>
        <item x="275"/>
        <item x="287"/>
        <item x="295"/>
        <item x="475"/>
        <item x="217"/>
        <item x="827"/>
        <item x="99"/>
        <item x="79"/>
        <item x="391"/>
        <item x="406"/>
        <item x="270"/>
        <item x="278"/>
        <item x="512"/>
        <item x="481"/>
        <item x="60"/>
        <item x="54"/>
        <item x="535"/>
        <item x="471"/>
        <item x="486"/>
        <item x="383"/>
        <item x="256"/>
        <item x="57"/>
        <item x="63"/>
        <item m="1" x="864"/>
        <item x="102"/>
        <item x="103"/>
        <item x="116"/>
        <item x="117"/>
        <item x="461"/>
        <item m="1" x="846"/>
        <item x="631"/>
        <item x="705"/>
        <item x="182"/>
        <item x="386"/>
        <item x="692"/>
        <item x="772"/>
        <item x="327"/>
        <item x="297"/>
        <item x="574"/>
        <item x="556"/>
        <item x="380"/>
        <item x="509"/>
        <item x="129"/>
        <item x="213"/>
        <item x="61"/>
        <item x="49"/>
        <item m="1" x="869"/>
        <item x="534"/>
        <item x="245"/>
        <item x="114"/>
        <item x="199"/>
        <item x="335"/>
        <item x="766"/>
        <item x="749"/>
        <item x="80"/>
        <item x="751"/>
        <item x="756"/>
        <item x="761"/>
        <item x="757"/>
        <item x="277"/>
        <item x="359"/>
        <item x="328"/>
        <item x="567"/>
        <item x="750"/>
        <item x="758"/>
        <item x="755"/>
        <item m="1" x="856"/>
        <item m="1" x="860"/>
        <item m="1" x="863"/>
        <item x="703"/>
        <item x="704"/>
        <item x="702"/>
        <item x="826"/>
        <item x="695"/>
        <item x="41"/>
        <item x="602"/>
        <item x="700"/>
        <item x="633"/>
        <item x="701"/>
        <item x="699"/>
        <item x="770"/>
        <item x="376"/>
        <item x="353"/>
        <item x="696"/>
        <item m="1" x="845"/>
        <item m="1" x="843"/>
        <item x="532"/>
        <item x="513"/>
        <item x="320"/>
        <item x="361"/>
        <item x="242"/>
        <item x="294"/>
        <item x="85"/>
        <item m="1" x="842"/>
        <item x="69"/>
        <item x="48"/>
        <item x="329"/>
        <item x="403"/>
        <item x="410"/>
        <item x="466"/>
        <item x="609"/>
        <item x="601"/>
        <item x="619"/>
        <item x="737"/>
        <item x="738"/>
        <item x="739"/>
        <item x="740"/>
        <item x="741"/>
        <item x="742"/>
        <item x="608"/>
        <item x="813"/>
        <item x="698"/>
        <item x="490"/>
        <item x="651"/>
        <item x="465"/>
        <item x="731"/>
        <item x="732"/>
        <item x="733"/>
        <item x="734"/>
        <item x="735"/>
        <item x="736"/>
        <item x="445"/>
        <item x="650"/>
        <item x="618"/>
        <item m="1" x="867"/>
        <item x="350"/>
        <item x="746"/>
        <item x="754"/>
        <item x="33"/>
        <item x="120"/>
        <item x="753"/>
        <item x="759"/>
        <item x="118"/>
        <item x="148"/>
        <item x="459"/>
        <item x="407"/>
        <item x="411"/>
        <item x="382"/>
        <item x="346"/>
        <item x="697"/>
        <item x="712"/>
        <item x="721"/>
        <item x="324"/>
        <item x="282"/>
        <item x="109"/>
        <item x="40"/>
        <item x="122"/>
        <item x="469"/>
        <item x="94"/>
        <item x="545"/>
        <item x="38"/>
        <item x="37"/>
        <item x="451"/>
        <item x="449"/>
        <item x="448"/>
        <item x="39"/>
        <item x="493"/>
        <item x="450"/>
        <item x="470"/>
        <item x="171"/>
        <item x="457"/>
        <item x="121"/>
        <item x="492"/>
        <item x="558"/>
        <item x="315"/>
        <item x="240"/>
        <item x="544"/>
        <item x="82"/>
        <item x="372"/>
        <item x="169"/>
        <item x="518"/>
        <item x="456"/>
        <item x="170"/>
        <item x="714"/>
        <item x="179"/>
        <item x="530"/>
        <item x="659"/>
        <item x="660"/>
        <item x="661"/>
        <item x="655"/>
        <item x="656"/>
        <item x="657"/>
        <item x="658"/>
        <item x="373"/>
        <item x="355"/>
        <item x="56"/>
        <item x="55"/>
        <item x="247"/>
        <item x="285"/>
        <item x="180"/>
        <item x="141"/>
        <item x="249"/>
        <item x="300"/>
        <item x="671"/>
        <item x="672"/>
        <item x="673"/>
        <item x="674"/>
        <item x="675"/>
        <item x="676"/>
        <item x="678"/>
        <item x="679"/>
        <item x="680"/>
        <item x="681"/>
        <item x="682"/>
        <item x="683"/>
        <item x="571"/>
        <item x="557"/>
        <item x="662"/>
        <item x="663"/>
        <item x="664"/>
        <item x="665"/>
        <item x="666"/>
        <item x="667"/>
        <item x="568"/>
        <item x="588"/>
        <item x="124"/>
        <item x="144"/>
        <item x="331"/>
        <item x="365"/>
        <item x="573"/>
        <item m="1" x="838"/>
        <item x="832"/>
        <item x="824"/>
        <item m="1" x="854"/>
        <item m="1" x="840"/>
        <item m="1" x="855"/>
        <item m="1" x="859"/>
        <item m="1" x="858"/>
        <item x="825"/>
        <item x="190"/>
        <item x="149"/>
        <item x="648"/>
        <item x="237"/>
        <item x="744"/>
        <item x="444"/>
        <item x="30"/>
        <item x="371"/>
        <item x="312"/>
        <item x="167"/>
        <item x="119"/>
        <item x="644"/>
        <item x="489"/>
        <item x="313"/>
        <item x="638"/>
        <item x="443"/>
        <item x="310"/>
        <item x="395"/>
        <item x="408"/>
        <item x="78"/>
        <item x="244"/>
        <item x="284"/>
        <item x="261"/>
        <item x="301"/>
        <item x="498"/>
        <item x="484"/>
        <item x="198"/>
        <item x="147"/>
        <item x="606"/>
        <item x="625"/>
        <item x="309"/>
        <item x="627"/>
        <item x="630"/>
        <item x="615"/>
        <item x="607"/>
        <item x="624"/>
        <item x="626"/>
        <item x="614"/>
        <item x="629"/>
        <item x="628"/>
        <item x="412"/>
        <item x="96"/>
        <item x="105"/>
        <item x="748"/>
        <item x="150"/>
        <item x="522"/>
        <item x="508"/>
        <item x="257"/>
        <item x="223"/>
        <item x="330"/>
        <item x="368"/>
        <item x="345"/>
        <item x="200"/>
        <item x="762"/>
        <item m="1" x="862"/>
        <item x="829"/>
        <item x="830"/>
        <item x="215"/>
        <item x="541"/>
        <item x="246"/>
        <item x="472"/>
        <item x="531"/>
        <item x="400"/>
        <item x="401"/>
        <item x="358"/>
        <item x="580"/>
        <item x="595"/>
        <item x="276"/>
        <item x="209"/>
        <item x="344"/>
        <item x="286"/>
        <item x="203"/>
        <item x="274"/>
        <item x="83"/>
        <item x="258"/>
        <item x="211"/>
        <item x="185"/>
        <item x="143"/>
        <item x="189"/>
        <item x="139"/>
        <item x="636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"/>
        <item x="27"/>
        <item x="28"/>
        <item x="29"/>
        <item x="17"/>
        <item x="19"/>
        <item x="20"/>
        <item x="21"/>
        <item x="22"/>
        <item x="23"/>
        <item x="25"/>
        <item x="26"/>
        <item x="442"/>
        <item x="462"/>
        <item x="463"/>
        <item x="464"/>
        <item x="87"/>
        <item x="88"/>
        <item x="89"/>
        <item x="90"/>
        <item x="91"/>
        <item x="93"/>
        <item x="669"/>
        <item x="670"/>
        <item x="654"/>
        <item x="92"/>
        <item x="227"/>
        <item x="228"/>
        <item x="229"/>
        <item x="230"/>
        <item x="231"/>
        <item x="232"/>
        <item x="24"/>
        <item x="233"/>
        <item x="234"/>
        <item x="235"/>
        <item x="236"/>
        <item x="828"/>
        <item m="1" x="844"/>
        <item m="1" x="841"/>
        <item x="447"/>
        <item x="467"/>
        <item x="314"/>
        <item x="238"/>
        <item x="32"/>
        <item x="491"/>
        <item x="639"/>
        <item x="239"/>
        <item x="226"/>
        <item x="632"/>
        <item x="646"/>
        <item x="645"/>
        <item x="620"/>
        <item x="168"/>
        <item x="446"/>
        <item x="610"/>
        <item x="271"/>
        <item x="225"/>
        <item x="582"/>
        <item x="578"/>
        <item x="473"/>
        <item x="478"/>
        <item x="533"/>
        <item x="347"/>
        <item x="526"/>
        <item x="730"/>
        <item x="504"/>
        <item x="507"/>
        <item x="497"/>
        <item x="299"/>
        <item x="764"/>
        <item x="126"/>
        <item x="370"/>
        <item x="12"/>
        <item x="360"/>
        <item x="303"/>
        <item x="339"/>
        <item x="267"/>
        <item x="711"/>
        <item x="268"/>
        <item x="137"/>
        <item x="222"/>
        <item x="394"/>
        <item x="154"/>
        <item x="596"/>
        <item x="525"/>
        <item x="341"/>
        <item x="693"/>
        <item m="1" x="871"/>
        <item x="691"/>
        <item x="34"/>
        <item x="35"/>
        <item x="468"/>
        <item x="243"/>
        <item x="279"/>
        <item x="269"/>
        <item x="207"/>
        <item x="577"/>
        <item x="551"/>
        <item x="364"/>
        <item x="521"/>
        <item x="514"/>
        <item x="563"/>
        <item x="553"/>
        <item x="562"/>
        <item x="583"/>
        <item x="550"/>
        <item x="634"/>
        <item x="47"/>
        <item x="611"/>
        <item x="649"/>
        <item x="643"/>
        <item x="603"/>
        <item x="642"/>
        <item x="652"/>
        <item x="46"/>
        <item x="172"/>
        <item x="173"/>
        <item x="123"/>
        <item x="316"/>
        <item x="647"/>
        <item x="621"/>
        <item x="494"/>
        <item x="317"/>
        <item x="318"/>
        <item x="76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53"/>
        <item x="598"/>
        <item x="684"/>
        <item x="710"/>
        <item x="71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t="default"/>
      </items>
    </pivotField>
    <pivotField showAll="0"/>
    <pivotField showAll="0"/>
    <pivotField showAll="0"/>
    <pivotField showAll="0"/>
    <pivotField showAll="0"/>
    <pivotField axis="axisRow" showAll="0" measureFilter="1">
      <items count="58">
        <item sd="0" m="1" x="48"/>
        <item sd="0" m="1" x="51"/>
        <item sd="0" x="29"/>
        <item sd="0" m="1" x="44"/>
        <item sd="0" m="1" x="46"/>
        <item sd="0" m="1" x="45"/>
        <item sd="0" x="25"/>
        <item sd="0" m="1" x="43"/>
        <item sd="0" m="1" x="55"/>
        <item sd="0" x="20"/>
        <item sd="0" x="21"/>
        <item sd="0" m="1" x="42"/>
        <item sd="0" x="0"/>
        <item sd="0" x="4"/>
        <item sd="0" x="19"/>
        <item sd="0" x="34"/>
        <item sd="0" m="1" x="41"/>
        <item sd="0" x="33"/>
        <item sd="0" x="16"/>
        <item sd="0" x="26"/>
        <item sd="0" x="11"/>
        <item sd="0" m="1" x="47"/>
        <item sd="0" m="1" x="49"/>
        <item sd="0" x="7"/>
        <item sd="0" x="22"/>
        <item sd="0" x="32"/>
        <item sd="0" x="36"/>
        <item sd="0" x="37"/>
        <item sd="0" x="38"/>
        <item sd="0" x="9"/>
        <item sd="0" x="15"/>
        <item sd="0" m="1" x="50"/>
        <item sd="0" x="24"/>
        <item sd="0" m="1" x="52"/>
        <item sd="0" x="18"/>
        <item sd="0" m="1" x="54"/>
        <item sd="0" x="10"/>
        <item sd="0" x="28"/>
        <item sd="0" x="27"/>
        <item sd="0" x="23"/>
        <item sd="0" x="40"/>
        <item sd="0" m="1" x="53"/>
        <item sd="0" x="13"/>
        <item sd="0" x="6"/>
        <item sd="0" x="17"/>
        <item sd="0" x="31"/>
        <item sd="0" x="5"/>
        <item sd="0" x="12"/>
        <item sd="0" m="1" x="56"/>
        <item sd="0" x="14"/>
        <item sd="0" x="8"/>
        <item sd="0" x="1"/>
        <item sd="0" x="2"/>
        <item sd="0" x="3"/>
        <item sd="0" x="30"/>
        <item sd="0" x="35"/>
        <item sd="0" x="39"/>
        <item t="default" sd="0"/>
      </items>
    </pivotField>
    <pivotField showAll="0"/>
    <pivotField axis="axisRow" showAll="0">
      <items count="82">
        <item m="1" x="75"/>
        <item m="1" x="76"/>
        <item m="1" x="77"/>
        <item m="1" x="78"/>
        <item m="1" x="79"/>
        <item m="1" x="80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30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x="26"/>
        <item m="1" x="64"/>
        <item m="1" x="65"/>
        <item x="27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1"/>
        <item x="32"/>
        <item x="33"/>
        <item x="34"/>
        <item x="35"/>
        <item x="0"/>
        <item t="default"/>
      </items>
    </pivotField>
    <pivotField dataField="1" dragToRow="0" dragToCol="0" dragToPage="0" showAll="0" defaultSubtotal="0"/>
  </pivotFields>
  <rowFields count="3">
    <field x="10"/>
    <field x="12"/>
    <field x="4"/>
  </rowFields>
  <rowItems count="28">
    <i>
      <x v="2"/>
    </i>
    <i>
      <x v="6"/>
    </i>
    <i>
      <x v="9"/>
    </i>
    <i>
      <x v="10"/>
    </i>
    <i>
      <x v="12"/>
    </i>
    <i>
      <x v="13"/>
    </i>
    <i>
      <x v="14"/>
    </i>
    <i>
      <x v="15"/>
    </i>
    <i>
      <x v="17"/>
    </i>
    <i>
      <x v="18"/>
    </i>
    <i>
      <x v="19"/>
    </i>
    <i>
      <x v="20"/>
    </i>
    <i>
      <x v="23"/>
    </i>
    <i>
      <x v="24"/>
    </i>
    <i>
      <x v="25"/>
    </i>
    <i>
      <x v="29"/>
    </i>
    <i>
      <x v="36"/>
    </i>
    <i>
      <x v="37"/>
    </i>
    <i>
      <x v="40"/>
    </i>
    <i>
      <x v="43"/>
    </i>
    <i>
      <x v="44"/>
    </i>
    <i>
      <x v="45"/>
    </i>
    <i>
      <x v="46"/>
    </i>
    <i>
      <x v="50"/>
    </i>
    <i>
      <x v="51"/>
    </i>
    <i>
      <x v="52"/>
    </i>
    <i>
      <x v="56"/>
    </i>
    <i t="grand">
      <x/>
    </i>
  </rowItems>
  <colItems count="1">
    <i/>
  </colItems>
  <dataFields count="1">
    <dataField name="Součet z Kladná" fld="13" baseField="0" baseItem="0" numFmtId="165"/>
  </dataFields>
  <pivotTableStyleInfo name="PivotStyleLight16" showRowHeaders="1" showColHeaders="1" showRowStripes="0" showColStripes="0" showLastColumn="1"/>
  <filters count="1">
    <filter fld="10" type="valueGreaterThanOrEqual" evalOrder="-1" id="3" iMeasureFld="0">
      <autoFilter ref="A1">
        <filterColumn colId="0">
          <customFilters>
            <customFilter operator="greaterThanOr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EB261-BB9B-414F-9CCF-5F8C36292EDF}" name="Tabulka1" displayName="Tabulka1" ref="A1:M1310" totalsRowCount="1" headerRowDxfId="1" tableBorderDxfId="0">
  <autoFilter ref="A1:M1309" xr:uid="{CA3EB261-BB9B-414F-9CCF-5F8C36292EDF}">
    <filterColumn colId="10">
      <filters>
        <filter val="Reklama"/>
      </filters>
    </filterColumn>
  </autoFilter>
  <tableColumns count="13">
    <tableColumn id="1" xr3:uid="{51F82815-81AB-4B2A-A85E-B7EFBE32E95A}" name="Datum" totalsRowLabel="Celkem"/>
    <tableColumn id="2" xr3:uid="{69E6F2D6-C33D-4079-885C-878F1179AD75}" name="Doklad"/>
    <tableColumn id="3" xr3:uid="{C83011A2-EDEA-4AF8-A337-EF295C83B1B9}" name="Zdroj"/>
    <tableColumn id="4" xr3:uid="{482494E5-3896-4DAA-80E3-EEC2B9107F34}" name="Firma"/>
    <tableColumn id="5" xr3:uid="{6F0B15F0-812F-4363-B603-E119B7C6B971}" name="Text"/>
    <tableColumn id="6" xr3:uid="{FFC36EF1-6504-4501-B6D7-A929404CEE06}" name="MD"/>
    <tableColumn id="7" xr3:uid="{94EC4683-A0E2-4B77-9804-A8BEF2799D07}" name="D"/>
    <tableColumn id="8" xr3:uid="{B450F683-0580-4A36-99A3-C96B679AB3C0}" name="Částka" totalsRowFunction="sum"/>
    <tableColumn id="9" xr3:uid="{6D732547-748B-43E4-864D-83CF847D848E}" name="Cin"/>
    <tableColumn id="10" xr3:uid="{062024F1-1D8B-4C3B-B086-679DE7EA08B6}" name="Číslo"/>
    <tableColumn id="11" xr3:uid="{5D048D23-00DC-46AE-8677-F65E846C9680}" name="Co"/>
    <tableColumn id="12" xr3:uid="{8A02C87D-108A-47AE-A8EB-8589DE82DDA4}" name="Kdo"/>
    <tableColumn id="13" xr3:uid="{B2C239DF-E154-4EEA-9881-DD4214FA1EDC}" name="Středisko" totalsRowFunction="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 2013–2022">
  <a:themeElements>
    <a:clrScheme name="Office 2013 –⁠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⁠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⁠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4"/>
  <dimension ref="A3:F110"/>
  <sheetViews>
    <sheetView topLeftCell="C68" workbookViewId="0">
      <selection activeCell="B40" sqref="B40"/>
    </sheetView>
  </sheetViews>
  <sheetFormatPr defaultRowHeight="12" x14ac:dyDescent="0.2"/>
  <cols>
    <col min="1" max="1" width="14.42578125" bestFit="1" customWidth="1"/>
    <col min="2" max="2" width="22.42578125" bestFit="1" customWidth="1"/>
    <col min="3" max="3" width="14.140625" customWidth="1"/>
    <col min="4" max="4" width="14.7109375" customWidth="1"/>
    <col min="5" max="5" width="85" bestFit="1" customWidth="1"/>
    <col min="6" max="6" width="14.42578125" bestFit="1" customWidth="1"/>
    <col min="7" max="52" width="30.28515625" bestFit="1" customWidth="1"/>
    <col min="53" max="53" width="12.7109375" bestFit="1" customWidth="1"/>
  </cols>
  <sheetData>
    <row r="3" spans="1:6" x14ac:dyDescent="0.2">
      <c r="A3" s="16" t="s">
        <v>2719</v>
      </c>
    </row>
    <row r="4" spans="1:6" x14ac:dyDescent="0.2">
      <c r="A4" s="16" t="s">
        <v>2720</v>
      </c>
      <c r="B4" s="16" t="s">
        <v>2726</v>
      </c>
      <c r="C4" s="16" t="s">
        <v>2680</v>
      </c>
      <c r="D4" s="16" t="s">
        <v>2681</v>
      </c>
      <c r="E4" s="16" t="s">
        <v>14</v>
      </c>
      <c r="F4" t="s">
        <v>2708</v>
      </c>
    </row>
    <row r="5" spans="1:6" x14ac:dyDescent="0.2">
      <c r="A5">
        <v>0</v>
      </c>
      <c r="F5" s="17">
        <v>32189</v>
      </c>
    </row>
    <row r="6" spans="1:6" x14ac:dyDescent="0.2">
      <c r="B6" t="s">
        <v>2750</v>
      </c>
      <c r="F6" s="17">
        <v>32189</v>
      </c>
    </row>
    <row r="7" spans="1:6" x14ac:dyDescent="0.2">
      <c r="A7">
        <v>1</v>
      </c>
      <c r="F7" s="17">
        <v>-234602.56000000003</v>
      </c>
    </row>
    <row r="8" spans="1:6" x14ac:dyDescent="0.2">
      <c r="B8" t="s">
        <v>2685</v>
      </c>
      <c r="F8" s="17">
        <v>-388321.71000000008</v>
      </c>
    </row>
    <row r="9" spans="1:6" x14ac:dyDescent="0.2">
      <c r="B9" t="s">
        <v>2686</v>
      </c>
      <c r="F9" s="17">
        <v>27904.550000000003</v>
      </c>
    </row>
    <row r="10" spans="1:6" x14ac:dyDescent="0.2">
      <c r="B10" t="s">
        <v>2688</v>
      </c>
      <c r="F10" s="17">
        <v>-130016.38999999997</v>
      </c>
    </row>
    <row r="11" spans="1:6" x14ac:dyDescent="0.2">
      <c r="B11" t="s">
        <v>2689</v>
      </c>
      <c r="F11" s="17">
        <v>-16552.610000000008</v>
      </c>
    </row>
    <row r="12" spans="1:6" x14ac:dyDescent="0.2">
      <c r="B12" t="s">
        <v>2690</v>
      </c>
      <c r="F12" s="17">
        <v>87544.099999999991</v>
      </c>
    </row>
    <row r="13" spans="1:6" x14ac:dyDescent="0.2">
      <c r="B13" t="s">
        <v>2692</v>
      </c>
      <c r="F13" s="17">
        <v>56676.37</v>
      </c>
    </row>
    <row r="14" spans="1:6" x14ac:dyDescent="0.2">
      <c r="B14" t="s">
        <v>2693</v>
      </c>
      <c r="F14" s="17">
        <v>39802.920000000013</v>
      </c>
    </row>
    <row r="15" spans="1:6" x14ac:dyDescent="0.2">
      <c r="B15" t="s">
        <v>2694</v>
      </c>
      <c r="F15" s="17">
        <v>88360.209999999992</v>
      </c>
    </row>
    <row r="16" spans="1:6" x14ac:dyDescent="0.2">
      <c r="A16">
        <v>2</v>
      </c>
      <c r="F16" s="17">
        <v>-565296.89000000013</v>
      </c>
    </row>
    <row r="17" spans="1:6" x14ac:dyDescent="0.2">
      <c r="B17" t="s">
        <v>2695</v>
      </c>
      <c r="F17" s="17">
        <v>-392493.07</v>
      </c>
    </row>
    <row r="18" spans="1:6" x14ac:dyDescent="0.2">
      <c r="B18" t="s">
        <v>2696</v>
      </c>
      <c r="F18" s="17">
        <v>34262.69</v>
      </c>
    </row>
    <row r="19" spans="1:6" x14ac:dyDescent="0.2">
      <c r="B19" t="s">
        <v>2697</v>
      </c>
      <c r="F19" s="17">
        <v>-241310.69000000006</v>
      </c>
    </row>
    <row r="20" spans="1:6" x14ac:dyDescent="0.2">
      <c r="B20" t="s">
        <v>2698</v>
      </c>
      <c r="F20" s="17">
        <v>-41246.040000000008</v>
      </c>
    </row>
    <row r="21" spans="1:6" x14ac:dyDescent="0.2">
      <c r="B21" t="s">
        <v>2699</v>
      </c>
      <c r="F21" s="17">
        <v>20489.790000000008</v>
      </c>
    </row>
    <row r="22" spans="1:6" x14ac:dyDescent="0.2">
      <c r="B22" t="s">
        <v>2700</v>
      </c>
      <c r="F22" s="17">
        <v>-64674.670000000013</v>
      </c>
    </row>
    <row r="23" spans="1:6" x14ac:dyDescent="0.2">
      <c r="B23" t="s">
        <v>2701</v>
      </c>
      <c r="F23" s="17">
        <v>119675.1</v>
      </c>
    </row>
    <row r="24" spans="1:6" x14ac:dyDescent="0.2">
      <c r="A24">
        <v>3</v>
      </c>
      <c r="F24" s="17">
        <v>215095</v>
      </c>
    </row>
    <row r="25" spans="1:6" x14ac:dyDescent="0.2">
      <c r="B25" t="s">
        <v>2702</v>
      </c>
      <c r="F25" s="17">
        <v>-114569</v>
      </c>
    </row>
    <row r="26" spans="1:6" x14ac:dyDescent="0.2">
      <c r="B26" t="s">
        <v>2703</v>
      </c>
      <c r="F26" s="17">
        <v>40452</v>
      </c>
    </row>
    <row r="27" spans="1:6" x14ac:dyDescent="0.2">
      <c r="B27" t="s">
        <v>2704</v>
      </c>
      <c r="F27" s="17">
        <v>57081</v>
      </c>
    </row>
    <row r="28" spans="1:6" x14ac:dyDescent="0.2">
      <c r="B28" t="s">
        <v>2705</v>
      </c>
      <c r="F28" s="17">
        <v>27352</v>
      </c>
    </row>
    <row r="29" spans="1:6" x14ac:dyDescent="0.2">
      <c r="B29" t="s">
        <v>2709</v>
      </c>
      <c r="F29" s="17">
        <v>-45340</v>
      </c>
    </row>
    <row r="30" spans="1:6" x14ac:dyDescent="0.2">
      <c r="B30" t="s">
        <v>2727</v>
      </c>
      <c r="F30" s="17">
        <v>50500</v>
      </c>
    </row>
    <row r="31" spans="1:6" x14ac:dyDescent="0.2">
      <c r="B31" t="s">
        <v>2728</v>
      </c>
      <c r="F31" s="17">
        <v>-36981</v>
      </c>
    </row>
    <row r="32" spans="1:6" x14ac:dyDescent="0.2">
      <c r="B32" t="s">
        <v>2710</v>
      </c>
      <c r="F32" s="17">
        <v>236600</v>
      </c>
    </row>
    <row r="33" spans="1:6" x14ac:dyDescent="0.2">
      <c r="A33">
        <v>4</v>
      </c>
      <c r="F33" s="17">
        <v>-264019.40000000002</v>
      </c>
    </row>
    <row r="34" spans="1:6" x14ac:dyDescent="0.2">
      <c r="B34" t="s">
        <v>1950</v>
      </c>
      <c r="F34" s="17">
        <v>-132000</v>
      </c>
    </row>
    <row r="35" spans="1:6" x14ac:dyDescent="0.2">
      <c r="B35" t="s">
        <v>1991</v>
      </c>
      <c r="F35" s="17">
        <v>-298000</v>
      </c>
    </row>
    <row r="36" spans="1:6" x14ac:dyDescent="0.2">
      <c r="B36" t="s">
        <v>2711</v>
      </c>
      <c r="F36" s="17">
        <v>10730.599999999999</v>
      </c>
    </row>
    <row r="37" spans="1:6" x14ac:dyDescent="0.2">
      <c r="B37" t="s">
        <v>2712</v>
      </c>
      <c r="F37" s="17">
        <v>155250</v>
      </c>
    </row>
    <row r="38" spans="1:6" x14ac:dyDescent="0.2">
      <c r="A38">
        <v>5</v>
      </c>
      <c r="F38" s="17">
        <v>1184397.03</v>
      </c>
    </row>
    <row r="39" spans="1:6" x14ac:dyDescent="0.2">
      <c r="B39" t="s">
        <v>235</v>
      </c>
      <c r="F39" s="17">
        <v>-1500</v>
      </c>
    </row>
    <row r="40" spans="1:6" x14ac:dyDescent="0.2">
      <c r="B40" t="s">
        <v>2713</v>
      </c>
      <c r="F40" s="17">
        <v>1328315.49</v>
      </c>
    </row>
    <row r="41" spans="1:6" x14ac:dyDescent="0.2">
      <c r="C41" t="s">
        <v>2766</v>
      </c>
      <c r="F41" s="17">
        <v>1328315.49</v>
      </c>
    </row>
    <row r="42" spans="1:6" x14ac:dyDescent="0.2">
      <c r="D42" t="s">
        <v>23</v>
      </c>
      <c r="F42" s="17">
        <v>-156515</v>
      </c>
    </row>
    <row r="43" spans="1:6" x14ac:dyDescent="0.2">
      <c r="D43" t="s">
        <v>103</v>
      </c>
      <c r="F43" s="17">
        <v>-4834</v>
      </c>
    </row>
    <row r="44" spans="1:6" x14ac:dyDescent="0.2">
      <c r="E44" t="s">
        <v>964</v>
      </c>
      <c r="F44" s="17">
        <v>-2220</v>
      </c>
    </row>
    <row r="45" spans="1:6" x14ac:dyDescent="0.2">
      <c r="E45" t="s">
        <v>2025</v>
      </c>
      <c r="F45" s="17">
        <v>-300</v>
      </c>
    </row>
    <row r="46" spans="1:6" x14ac:dyDescent="0.2">
      <c r="E46" t="s">
        <v>2033</v>
      </c>
      <c r="F46" s="17">
        <v>-768</v>
      </c>
    </row>
    <row r="47" spans="1:6" x14ac:dyDescent="0.2">
      <c r="E47" t="s">
        <v>2029</v>
      </c>
      <c r="F47" s="17">
        <v>-1066</v>
      </c>
    </row>
    <row r="48" spans="1:6" x14ac:dyDescent="0.2">
      <c r="E48" t="s">
        <v>2023</v>
      </c>
      <c r="F48" s="17">
        <v>-480</v>
      </c>
    </row>
    <row r="49" spans="4:6" x14ac:dyDescent="0.2">
      <c r="D49" t="s">
        <v>1377</v>
      </c>
      <c r="F49" s="17">
        <v>-7162.2</v>
      </c>
    </row>
    <row r="50" spans="4:6" x14ac:dyDescent="0.2">
      <c r="E50" t="s">
        <v>2036</v>
      </c>
      <c r="F50" s="17">
        <v>-7162.2</v>
      </c>
    </row>
    <row r="51" spans="4:6" x14ac:dyDescent="0.2">
      <c r="D51" t="s">
        <v>2095</v>
      </c>
      <c r="F51" s="17">
        <v>-31559</v>
      </c>
    </row>
    <row r="52" spans="4:6" x14ac:dyDescent="0.2">
      <c r="E52" t="s">
        <v>2097</v>
      </c>
      <c r="F52" s="17">
        <v>-31559</v>
      </c>
    </row>
    <row r="53" spans="4:6" x14ac:dyDescent="0.2">
      <c r="D53" t="s">
        <v>2074</v>
      </c>
      <c r="F53" s="17">
        <v>-41715</v>
      </c>
    </row>
    <row r="54" spans="4:6" x14ac:dyDescent="0.2">
      <c r="E54" t="s">
        <v>2076</v>
      </c>
      <c r="F54" s="17">
        <v>-41715</v>
      </c>
    </row>
    <row r="55" spans="4:6" x14ac:dyDescent="0.2">
      <c r="D55" t="s">
        <v>748</v>
      </c>
      <c r="F55" s="17">
        <v>-28665.64</v>
      </c>
    </row>
    <row r="56" spans="4:6" x14ac:dyDescent="0.2">
      <c r="E56" t="s">
        <v>2049</v>
      </c>
      <c r="F56" s="17">
        <v>-24000</v>
      </c>
    </row>
    <row r="57" spans="4:6" x14ac:dyDescent="0.2">
      <c r="E57" t="s">
        <v>2043</v>
      </c>
      <c r="F57" s="17">
        <v>-1460.2</v>
      </c>
    </row>
    <row r="58" spans="4:6" x14ac:dyDescent="0.2">
      <c r="E58" t="s">
        <v>2052</v>
      </c>
      <c r="F58" s="17">
        <v>-484</v>
      </c>
    </row>
    <row r="59" spans="4:6" x14ac:dyDescent="0.2">
      <c r="E59" t="s">
        <v>2071</v>
      </c>
      <c r="F59" s="17">
        <v>-109</v>
      </c>
    </row>
    <row r="60" spans="4:6" x14ac:dyDescent="0.2">
      <c r="E60" t="s">
        <v>2055</v>
      </c>
      <c r="F60" s="17">
        <v>-682.43999999999994</v>
      </c>
    </row>
    <row r="61" spans="4:6" x14ac:dyDescent="0.2">
      <c r="E61" t="s">
        <v>2045</v>
      </c>
      <c r="F61" s="17">
        <v>-1180</v>
      </c>
    </row>
    <row r="62" spans="4:6" x14ac:dyDescent="0.2">
      <c r="E62" t="s">
        <v>2041</v>
      </c>
      <c r="F62" s="17">
        <v>-750</v>
      </c>
    </row>
    <row r="63" spans="4:6" x14ac:dyDescent="0.2">
      <c r="D63" t="s">
        <v>1897</v>
      </c>
      <c r="F63" s="17">
        <v>-2132</v>
      </c>
    </row>
    <row r="64" spans="4:6" x14ac:dyDescent="0.2">
      <c r="E64" t="s">
        <v>2091</v>
      </c>
      <c r="F64" s="17">
        <v>-601.63</v>
      </c>
    </row>
    <row r="65" spans="4:6" x14ac:dyDescent="0.2">
      <c r="E65" t="s">
        <v>2093</v>
      </c>
      <c r="F65" s="17">
        <v>-1530.37</v>
      </c>
    </row>
    <row r="66" spans="4:6" x14ac:dyDescent="0.2">
      <c r="D66" t="s">
        <v>207</v>
      </c>
      <c r="F66" s="17">
        <v>-12830</v>
      </c>
    </row>
    <row r="67" spans="4:6" x14ac:dyDescent="0.2">
      <c r="E67" t="s">
        <v>210</v>
      </c>
      <c r="F67" s="17">
        <v>-3000</v>
      </c>
    </row>
    <row r="68" spans="4:6" x14ac:dyDescent="0.2">
      <c r="E68" t="s">
        <v>2067</v>
      </c>
      <c r="F68" s="17">
        <v>-3800</v>
      </c>
    </row>
    <row r="69" spans="4:6" x14ac:dyDescent="0.2">
      <c r="E69" t="s">
        <v>2070</v>
      </c>
      <c r="F69" s="17">
        <v>-4030</v>
      </c>
    </row>
    <row r="70" spans="4:6" x14ac:dyDescent="0.2">
      <c r="E70" t="s">
        <v>2065</v>
      </c>
      <c r="F70" s="17">
        <v>-2000</v>
      </c>
    </row>
    <row r="71" spans="4:6" x14ac:dyDescent="0.2">
      <c r="D71" t="s">
        <v>2059</v>
      </c>
      <c r="F71" s="17">
        <v>-435</v>
      </c>
    </row>
    <row r="72" spans="4:6" x14ac:dyDescent="0.2">
      <c r="E72" t="s">
        <v>2062</v>
      </c>
      <c r="F72" s="17">
        <v>-435</v>
      </c>
    </row>
    <row r="73" spans="4:6" x14ac:dyDescent="0.2">
      <c r="D73" t="s">
        <v>2156</v>
      </c>
      <c r="F73" s="17">
        <v>255000</v>
      </c>
    </row>
    <row r="74" spans="4:6" x14ac:dyDescent="0.2">
      <c r="E74" t="s">
        <v>95</v>
      </c>
      <c r="F74" s="17">
        <v>255000</v>
      </c>
    </row>
    <row r="75" spans="4:6" x14ac:dyDescent="0.2">
      <c r="D75" t="s">
        <v>2162</v>
      </c>
      <c r="F75" s="17">
        <v>122000</v>
      </c>
    </row>
    <row r="76" spans="4:6" x14ac:dyDescent="0.2">
      <c r="E76" t="s">
        <v>95</v>
      </c>
      <c r="F76" s="17">
        <v>122000</v>
      </c>
    </row>
    <row r="77" spans="4:6" x14ac:dyDescent="0.2">
      <c r="D77" t="s">
        <v>2167</v>
      </c>
      <c r="F77" s="17">
        <v>612948</v>
      </c>
    </row>
    <row r="78" spans="4:6" x14ac:dyDescent="0.2">
      <c r="E78" t="s">
        <v>2170</v>
      </c>
      <c r="F78" s="17">
        <v>47700</v>
      </c>
    </row>
    <row r="79" spans="4:6" x14ac:dyDescent="0.2">
      <c r="E79" t="s">
        <v>2173</v>
      </c>
      <c r="F79" s="17">
        <v>565248</v>
      </c>
    </row>
    <row r="80" spans="4:6" x14ac:dyDescent="0.2">
      <c r="D80" t="s">
        <v>84</v>
      </c>
      <c r="F80" s="17">
        <v>601826.32999999996</v>
      </c>
    </row>
    <row r="81" spans="4:6" x14ac:dyDescent="0.2">
      <c r="E81" t="s">
        <v>2130</v>
      </c>
      <c r="F81" s="17">
        <v>6672.76</v>
      </c>
    </row>
    <row r="82" spans="4:6" x14ac:dyDescent="0.2">
      <c r="E82" t="s">
        <v>2143</v>
      </c>
      <c r="F82" s="17">
        <v>3666.67</v>
      </c>
    </row>
    <row r="83" spans="4:6" x14ac:dyDescent="0.2">
      <c r="E83" t="s">
        <v>2125</v>
      </c>
      <c r="F83" s="17">
        <v>5000</v>
      </c>
    </row>
    <row r="84" spans="4:6" x14ac:dyDescent="0.2">
      <c r="E84" t="s">
        <v>2132</v>
      </c>
      <c r="F84" s="17">
        <v>8026.3200000000006</v>
      </c>
    </row>
    <row r="85" spans="4:6" x14ac:dyDescent="0.2">
      <c r="E85" t="s">
        <v>2127</v>
      </c>
      <c r="F85" s="17">
        <v>10000</v>
      </c>
    </row>
    <row r="86" spans="4:6" x14ac:dyDescent="0.2">
      <c r="E86" t="s">
        <v>2137</v>
      </c>
      <c r="F86" s="17">
        <v>19242.97</v>
      </c>
    </row>
    <row r="87" spans="4:6" x14ac:dyDescent="0.2">
      <c r="E87" t="s">
        <v>2116</v>
      </c>
      <c r="F87" s="17">
        <v>49316</v>
      </c>
    </row>
    <row r="88" spans="4:6" x14ac:dyDescent="0.2">
      <c r="E88" t="s">
        <v>2121</v>
      </c>
      <c r="F88" s="17">
        <v>33195.269999999997</v>
      </c>
    </row>
    <row r="89" spans="4:6" x14ac:dyDescent="0.2">
      <c r="E89" t="s">
        <v>88</v>
      </c>
      <c r="F89" s="17">
        <v>20000</v>
      </c>
    </row>
    <row r="90" spans="4:6" x14ac:dyDescent="0.2">
      <c r="E90" t="s">
        <v>2140</v>
      </c>
      <c r="F90" s="17">
        <v>7368</v>
      </c>
    </row>
    <row r="91" spans="4:6" x14ac:dyDescent="0.2">
      <c r="E91" t="s">
        <v>2113</v>
      </c>
      <c r="F91" s="17">
        <v>15000</v>
      </c>
    </row>
    <row r="92" spans="4:6" x14ac:dyDescent="0.2">
      <c r="E92" t="s">
        <v>2134</v>
      </c>
      <c r="F92" s="17">
        <v>6335.1500000000005</v>
      </c>
    </row>
    <row r="93" spans="4:6" x14ac:dyDescent="0.2">
      <c r="E93" t="s">
        <v>2118</v>
      </c>
      <c r="F93" s="17">
        <v>21739.129999999997</v>
      </c>
    </row>
    <row r="94" spans="4:6" x14ac:dyDescent="0.2">
      <c r="E94" t="s">
        <v>2111</v>
      </c>
      <c r="F94" s="17">
        <v>396264.06</v>
      </c>
    </row>
    <row r="95" spans="4:6" x14ac:dyDescent="0.2">
      <c r="D95" t="s">
        <v>154</v>
      </c>
      <c r="F95" s="17">
        <v>-1611</v>
      </c>
    </row>
    <row r="96" spans="4:6" x14ac:dyDescent="0.2">
      <c r="E96" t="s">
        <v>1302</v>
      </c>
      <c r="F96" s="17">
        <v>-1611</v>
      </c>
    </row>
    <row r="97" spans="1:6" x14ac:dyDescent="0.2">
      <c r="D97" t="s">
        <v>2738</v>
      </c>
      <c r="F97" s="17">
        <v>24000</v>
      </c>
    </row>
    <row r="98" spans="1:6" x14ac:dyDescent="0.2">
      <c r="E98" t="s">
        <v>2104</v>
      </c>
      <c r="F98" s="17">
        <v>2400</v>
      </c>
    </row>
    <row r="99" spans="1:6" x14ac:dyDescent="0.2">
      <c r="E99" t="s">
        <v>2109</v>
      </c>
      <c r="F99" s="17">
        <v>4200</v>
      </c>
    </row>
    <row r="100" spans="1:6" x14ac:dyDescent="0.2">
      <c r="E100" t="s">
        <v>2099</v>
      </c>
      <c r="F100" s="17">
        <v>2100</v>
      </c>
    </row>
    <row r="101" spans="1:6" x14ac:dyDescent="0.2">
      <c r="E101" t="s">
        <v>2107</v>
      </c>
      <c r="F101" s="17">
        <v>2700</v>
      </c>
    </row>
    <row r="102" spans="1:6" x14ac:dyDescent="0.2">
      <c r="E102" t="s">
        <v>2740</v>
      </c>
      <c r="F102" s="17">
        <v>12600</v>
      </c>
    </row>
    <row r="103" spans="1:6" x14ac:dyDescent="0.2">
      <c r="B103" t="s">
        <v>2714</v>
      </c>
      <c r="F103" s="17">
        <v>-41533.279999999999</v>
      </c>
    </row>
    <row r="104" spans="1:6" x14ac:dyDescent="0.2">
      <c r="B104" t="s">
        <v>2715</v>
      </c>
      <c r="F104" s="17">
        <v>-289140</v>
      </c>
    </row>
    <row r="105" spans="1:6" x14ac:dyDescent="0.2">
      <c r="B105" t="s">
        <v>2716</v>
      </c>
      <c r="F105" s="17">
        <v>-55845.210000000006</v>
      </c>
    </row>
    <row r="106" spans="1:6" x14ac:dyDescent="0.2">
      <c r="B106" t="s">
        <v>2717</v>
      </c>
      <c r="F106" s="17">
        <v>25672.030000000028</v>
      </c>
    </row>
    <row r="107" spans="1:6" x14ac:dyDescent="0.2">
      <c r="B107" t="s">
        <v>1981</v>
      </c>
      <c r="F107" s="17">
        <v>218428</v>
      </c>
    </row>
    <row r="108" spans="1:6" x14ac:dyDescent="0.2">
      <c r="A108">
        <v>6</v>
      </c>
      <c r="F108" s="17">
        <v>-325290.84999999998</v>
      </c>
    </row>
    <row r="109" spans="1:6" x14ac:dyDescent="0.2">
      <c r="B109" t="s">
        <v>2518</v>
      </c>
      <c r="F109" s="17">
        <v>-325290.84999999998</v>
      </c>
    </row>
    <row r="110" spans="1:6" x14ac:dyDescent="0.2">
      <c r="A110" t="s">
        <v>2707</v>
      </c>
      <c r="F110" s="17">
        <v>42471.330000000016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72C9-59D8-4BD1-BF27-0B69218CA668}">
  <sheetPr codeName="List5"/>
  <dimension ref="A3:E31"/>
  <sheetViews>
    <sheetView topLeftCell="A9" zoomScale="110" zoomScaleNormal="110" workbookViewId="0">
      <selection activeCell="A17" sqref="A17"/>
    </sheetView>
  </sheetViews>
  <sheetFormatPr defaultRowHeight="12" x14ac:dyDescent="0.2"/>
  <cols>
    <col min="1" max="1" width="30.28515625" bestFit="1" customWidth="1"/>
    <col min="2" max="2" width="15.28515625" bestFit="1" customWidth="1"/>
    <col min="3" max="3" width="14.5703125" bestFit="1" customWidth="1"/>
    <col min="4" max="4" width="34.5703125" bestFit="1" customWidth="1"/>
    <col min="5" max="6" width="14.28515625" bestFit="1" customWidth="1"/>
  </cols>
  <sheetData>
    <row r="3" spans="1:5" x14ac:dyDescent="0.2">
      <c r="A3" s="16" t="s">
        <v>2729</v>
      </c>
      <c r="B3" t="s">
        <v>2755</v>
      </c>
      <c r="D3" s="16" t="s">
        <v>2729</v>
      </c>
      <c r="E3" t="s">
        <v>2754</v>
      </c>
    </row>
    <row r="4" spans="1:5" x14ac:dyDescent="0.2">
      <c r="A4" s="19" t="s">
        <v>1966</v>
      </c>
      <c r="B4" s="17">
        <v>67845.210000000006</v>
      </c>
      <c r="D4" s="19" t="s">
        <v>2156</v>
      </c>
      <c r="E4" s="17">
        <v>255000</v>
      </c>
    </row>
    <row r="5" spans="1:5" x14ac:dyDescent="0.2">
      <c r="A5" s="19" t="s">
        <v>1892</v>
      </c>
      <c r="B5" s="17">
        <v>252.7</v>
      </c>
      <c r="D5" s="19" t="s">
        <v>2162</v>
      </c>
      <c r="E5" s="17">
        <v>122000</v>
      </c>
    </row>
    <row r="6" spans="1:5" x14ac:dyDescent="0.2">
      <c r="A6" s="19" t="s">
        <v>1563</v>
      </c>
      <c r="B6" s="17">
        <v>34661</v>
      </c>
      <c r="D6" s="19" t="s">
        <v>2167</v>
      </c>
      <c r="E6" s="17">
        <v>612948</v>
      </c>
    </row>
    <row r="7" spans="1:5" x14ac:dyDescent="0.2">
      <c r="A7" s="19" t="s">
        <v>1759</v>
      </c>
      <c r="B7" s="17">
        <v>8013</v>
      </c>
      <c r="D7" s="19" t="s">
        <v>90</v>
      </c>
      <c r="E7" s="17">
        <v>1969482.6799999995</v>
      </c>
    </row>
    <row r="8" spans="1:5" x14ac:dyDescent="0.2">
      <c r="A8" s="19" t="s">
        <v>23</v>
      </c>
      <c r="B8" s="17">
        <v>674885</v>
      </c>
      <c r="D8" s="19" t="s">
        <v>1868</v>
      </c>
      <c r="E8" s="17">
        <v>226400</v>
      </c>
    </row>
    <row r="9" spans="1:5" x14ac:dyDescent="0.2">
      <c r="A9" s="19" t="s">
        <v>103</v>
      </c>
      <c r="B9" s="17">
        <v>313813</v>
      </c>
      <c r="D9" s="19" t="s">
        <v>84</v>
      </c>
      <c r="E9" s="17">
        <v>707826.33000000007</v>
      </c>
    </row>
    <row r="10" spans="1:5" x14ac:dyDescent="0.2">
      <c r="A10" s="19" t="s">
        <v>1377</v>
      </c>
      <c r="B10" s="17">
        <v>13932.2</v>
      </c>
      <c r="D10" s="19" t="s">
        <v>1943</v>
      </c>
      <c r="E10" s="17">
        <v>111850</v>
      </c>
    </row>
    <row r="11" spans="1:5" x14ac:dyDescent="0.2">
      <c r="A11" s="19" t="s">
        <v>2095</v>
      </c>
      <c r="B11" s="17">
        <v>31559</v>
      </c>
      <c r="D11" s="19" t="s">
        <v>1776</v>
      </c>
      <c r="E11" s="17">
        <v>958720</v>
      </c>
    </row>
    <row r="12" spans="1:5" x14ac:dyDescent="0.2">
      <c r="A12" s="19" t="s">
        <v>2074</v>
      </c>
      <c r="B12" s="17">
        <v>41715</v>
      </c>
      <c r="D12" s="19" t="s">
        <v>235</v>
      </c>
      <c r="E12" s="17">
        <v>16000</v>
      </c>
    </row>
    <row r="13" spans="1:5" x14ac:dyDescent="0.2">
      <c r="A13" s="19" t="s">
        <v>748</v>
      </c>
      <c r="B13" s="17">
        <v>55895.64</v>
      </c>
      <c r="D13" s="19" t="s">
        <v>226</v>
      </c>
      <c r="E13" s="17">
        <v>72000</v>
      </c>
    </row>
    <row r="14" spans="1:5" x14ac:dyDescent="0.2">
      <c r="A14" s="19" t="s">
        <v>1897</v>
      </c>
      <c r="B14" s="17">
        <v>19801</v>
      </c>
      <c r="D14" s="19" t="s">
        <v>246</v>
      </c>
      <c r="E14" s="17">
        <v>1141829</v>
      </c>
    </row>
    <row r="15" spans="1:5" x14ac:dyDescent="0.2">
      <c r="A15" s="19" t="s">
        <v>207</v>
      </c>
      <c r="B15" s="17">
        <v>227455</v>
      </c>
      <c r="D15" s="19" t="s">
        <v>78</v>
      </c>
      <c r="E15" s="17">
        <v>33291</v>
      </c>
    </row>
    <row r="16" spans="1:5" x14ac:dyDescent="0.2">
      <c r="A16" s="19" t="s">
        <v>17</v>
      </c>
      <c r="B16" s="17">
        <v>1285812.5000000002</v>
      </c>
      <c r="D16" s="19" t="s">
        <v>2734</v>
      </c>
      <c r="E16" s="17">
        <v>239428</v>
      </c>
    </row>
    <row r="17" spans="1:5" x14ac:dyDescent="0.2">
      <c r="A17" s="19" t="s">
        <v>1766</v>
      </c>
      <c r="B17" s="17">
        <v>529411</v>
      </c>
      <c r="D17" s="19" t="s">
        <v>2738</v>
      </c>
      <c r="E17" s="17">
        <v>24000</v>
      </c>
    </row>
    <row r="18" spans="1:5" x14ac:dyDescent="0.2">
      <c r="A18" s="19" t="s">
        <v>2059</v>
      </c>
      <c r="B18" s="17">
        <v>40959.279999999999</v>
      </c>
      <c r="D18" s="19" t="s">
        <v>2707</v>
      </c>
      <c r="E18" s="17">
        <v>6490775.0099999998</v>
      </c>
    </row>
    <row r="19" spans="1:5" x14ac:dyDescent="0.2">
      <c r="A19" s="19" t="s">
        <v>162</v>
      </c>
      <c r="B19" s="17">
        <v>66000</v>
      </c>
    </row>
    <row r="20" spans="1:5" x14ac:dyDescent="0.2">
      <c r="A20" s="19" t="s">
        <v>179</v>
      </c>
      <c r="B20" s="17">
        <v>203901</v>
      </c>
    </row>
    <row r="21" spans="1:5" x14ac:dyDescent="0.2">
      <c r="A21" s="19" t="s">
        <v>1950</v>
      </c>
      <c r="B21" s="17">
        <v>140000</v>
      </c>
    </row>
    <row r="22" spans="1:5" x14ac:dyDescent="0.2">
      <c r="A22" s="19" t="s">
        <v>2494</v>
      </c>
      <c r="B22" s="17">
        <v>325290.84999999998</v>
      </c>
    </row>
    <row r="23" spans="1:5" x14ac:dyDescent="0.2">
      <c r="A23" s="19" t="s">
        <v>148</v>
      </c>
      <c r="B23" s="17">
        <v>350389.3</v>
      </c>
    </row>
    <row r="24" spans="1:5" x14ac:dyDescent="0.2">
      <c r="A24" s="19" t="s">
        <v>956</v>
      </c>
      <c r="B24" s="17">
        <v>230658</v>
      </c>
    </row>
    <row r="25" spans="1:5" x14ac:dyDescent="0.2">
      <c r="A25" s="19" t="s">
        <v>1991</v>
      </c>
      <c r="B25" s="17">
        <v>334500</v>
      </c>
    </row>
    <row r="26" spans="1:5" x14ac:dyDescent="0.2">
      <c r="A26" s="19" t="s">
        <v>110</v>
      </c>
      <c r="B26" s="17">
        <v>492566</v>
      </c>
    </row>
    <row r="27" spans="1:5" x14ac:dyDescent="0.2">
      <c r="A27" s="19" t="s">
        <v>154</v>
      </c>
      <c r="B27" s="17">
        <v>861536</v>
      </c>
    </row>
    <row r="28" spans="1:5" x14ac:dyDescent="0.2">
      <c r="A28" s="19" t="s">
        <v>2732</v>
      </c>
      <c r="B28" s="17">
        <v>982</v>
      </c>
    </row>
    <row r="29" spans="1:5" x14ac:dyDescent="0.2">
      <c r="A29" s="19" t="s">
        <v>62</v>
      </c>
      <c r="B29" s="17">
        <v>120</v>
      </c>
    </row>
    <row r="30" spans="1:5" x14ac:dyDescent="0.2">
      <c r="A30" s="19" t="s">
        <v>2742</v>
      </c>
      <c r="B30" s="17">
        <v>96350</v>
      </c>
    </row>
    <row r="31" spans="1:5" x14ac:dyDescent="0.2">
      <c r="A31" s="19" t="s">
        <v>2707</v>
      </c>
      <c r="B31" s="17">
        <v>6448303.6799999997</v>
      </c>
    </row>
  </sheetData>
  <pageMargins left="0.7" right="0.7" top="0.78740157499999996" bottom="0.78740157499999996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35FBC-FC55-4E8E-A68D-F6EAD2CD2FA7}">
  <sheetPr codeName="List6"/>
  <dimension ref="A1:I34"/>
  <sheetViews>
    <sheetView topLeftCell="C12" zoomScale="184" zoomScaleNormal="130" workbookViewId="0">
      <selection activeCell="F1" sqref="F1:I34"/>
    </sheetView>
  </sheetViews>
  <sheetFormatPr defaultRowHeight="12" x14ac:dyDescent="0.2"/>
  <cols>
    <col min="1" max="1" width="19.28515625" bestFit="1" customWidth="1"/>
    <col min="2" max="2" width="28.42578125" bestFit="1" customWidth="1"/>
    <col min="3" max="4" width="14.42578125" bestFit="1" customWidth="1"/>
    <col min="6" max="6" width="25.7109375" bestFit="1" customWidth="1"/>
    <col min="7" max="7" width="25.7109375" customWidth="1"/>
    <col min="8" max="9" width="14.42578125" bestFit="1" customWidth="1"/>
  </cols>
  <sheetData>
    <row r="1" spans="1:9" x14ac:dyDescent="0.2">
      <c r="A1" s="44" t="s">
        <v>2756</v>
      </c>
      <c r="B1" s="44"/>
      <c r="C1" s="44">
        <v>2023</v>
      </c>
      <c r="D1" s="44" t="s">
        <v>2758</v>
      </c>
      <c r="F1" s="44" t="s">
        <v>2761</v>
      </c>
      <c r="G1" s="44"/>
      <c r="H1" s="44">
        <v>2023</v>
      </c>
      <c r="I1" s="44" t="s">
        <v>2758</v>
      </c>
    </row>
    <row r="2" spans="1:9" x14ac:dyDescent="0.2">
      <c r="A2" s="24" t="s">
        <v>2757</v>
      </c>
      <c r="B2" s="24"/>
      <c r="C2" s="25">
        <f>SUM(C3:C7)</f>
        <v>1229376</v>
      </c>
      <c r="D2" s="25">
        <f>SUM(D3:D7)</f>
        <v>1654200</v>
      </c>
      <c r="F2" s="24" t="s">
        <v>1966</v>
      </c>
      <c r="G2" s="24"/>
      <c r="H2" s="25">
        <v>67845.210000000006</v>
      </c>
      <c r="I2" s="25">
        <v>70000</v>
      </c>
    </row>
    <row r="3" spans="1:9" x14ac:dyDescent="0.2">
      <c r="B3" t="s">
        <v>2156</v>
      </c>
      <c r="C3" s="23">
        <v>255000</v>
      </c>
      <c r="D3" s="23">
        <v>250000</v>
      </c>
      <c r="E3">
        <v>100000</v>
      </c>
      <c r="F3" s="24" t="s">
        <v>2762</v>
      </c>
      <c r="G3" s="24"/>
      <c r="H3" s="25">
        <f>SUM(H4:H8)</f>
        <v>1641951</v>
      </c>
      <c r="I3" s="25">
        <f>SUM(I4:I7)</f>
        <v>1766000</v>
      </c>
    </row>
    <row r="4" spans="1:9" x14ac:dyDescent="0.2">
      <c r="B4" t="s">
        <v>2769</v>
      </c>
      <c r="G4" t="s">
        <v>2768</v>
      </c>
      <c r="H4" s="23">
        <v>674885</v>
      </c>
      <c r="I4" s="23">
        <f>560000+25000</f>
        <v>585000</v>
      </c>
    </row>
    <row r="5" spans="1:9" x14ac:dyDescent="0.2">
      <c r="B5" t="s">
        <v>2162</v>
      </c>
      <c r="C5" s="23">
        <v>122000</v>
      </c>
      <c r="D5" s="23">
        <f>25000+200000+99000</f>
        <v>324000</v>
      </c>
      <c r="G5" t="s">
        <v>110</v>
      </c>
      <c r="H5" s="23">
        <v>492566</v>
      </c>
      <c r="I5" s="23">
        <f>600000+25000</f>
        <v>625000</v>
      </c>
    </row>
    <row r="6" spans="1:9" x14ac:dyDescent="0.2">
      <c r="B6" t="s">
        <v>2167</v>
      </c>
      <c r="C6" s="23">
        <v>612948</v>
      </c>
      <c r="D6" s="23">
        <v>780200</v>
      </c>
      <c r="G6" t="s">
        <v>1991</v>
      </c>
      <c r="H6" s="23">
        <v>334500</v>
      </c>
      <c r="I6" s="23">
        <v>340000</v>
      </c>
    </row>
    <row r="7" spans="1:9" x14ac:dyDescent="0.2">
      <c r="B7" t="s">
        <v>2734</v>
      </c>
      <c r="C7" s="23">
        <v>239428</v>
      </c>
      <c r="D7" s="23">
        <f>110000+125000+30000+35000</f>
        <v>300000</v>
      </c>
      <c r="G7" t="s">
        <v>1950</v>
      </c>
      <c r="H7" s="23">
        <v>140000</v>
      </c>
      <c r="I7" s="23">
        <f>18000*12</f>
        <v>216000</v>
      </c>
    </row>
    <row r="8" spans="1:9" x14ac:dyDescent="0.2">
      <c r="A8" s="24" t="s">
        <v>2759</v>
      </c>
      <c r="B8" s="24"/>
      <c r="C8" s="25">
        <f>SUM(C9:C10)</f>
        <v>2307732.6799999997</v>
      </c>
      <c r="D8" s="25">
        <f>SUM(D9:D10)</f>
        <v>2330000</v>
      </c>
      <c r="G8" s="18" t="s">
        <v>2713</v>
      </c>
      <c r="I8" s="23">
        <v>120000</v>
      </c>
    </row>
    <row r="9" spans="1:9" x14ac:dyDescent="0.2">
      <c r="B9" t="s">
        <v>2767</v>
      </c>
      <c r="C9" s="23">
        <v>1969482.68</v>
      </c>
      <c r="D9" s="23">
        <v>2000000</v>
      </c>
      <c r="F9" s="24" t="s">
        <v>103</v>
      </c>
      <c r="G9" s="24"/>
      <c r="H9" s="25">
        <v>313813</v>
      </c>
      <c r="I9" s="25">
        <v>300000</v>
      </c>
    </row>
    <row r="10" spans="1:9" x14ac:dyDescent="0.2">
      <c r="B10" t="s">
        <v>1868</v>
      </c>
      <c r="C10" s="23">
        <f>226400+111850</f>
        <v>338250</v>
      </c>
      <c r="D10" s="23">
        <v>330000</v>
      </c>
      <c r="F10" s="24" t="s">
        <v>748</v>
      </c>
      <c r="G10" s="24"/>
      <c r="H10" s="25">
        <v>55895.64</v>
      </c>
      <c r="I10" s="25">
        <v>60000</v>
      </c>
    </row>
    <row r="11" spans="1:9" x14ac:dyDescent="0.2">
      <c r="A11" s="24" t="s">
        <v>84</v>
      </c>
      <c r="B11" s="24"/>
      <c r="C11" s="25">
        <v>707826.33</v>
      </c>
      <c r="D11" s="48">
        <f>700000+100000</f>
        <v>800000</v>
      </c>
      <c r="F11" s="24" t="s">
        <v>1897</v>
      </c>
      <c r="G11" s="24"/>
      <c r="H11" s="25">
        <v>19801</v>
      </c>
      <c r="I11" s="25">
        <v>5000</v>
      </c>
    </row>
    <row r="12" spans="1:9" x14ac:dyDescent="0.2">
      <c r="A12" s="24" t="s">
        <v>1776</v>
      </c>
      <c r="B12" s="24"/>
      <c r="C12" s="25">
        <v>958720</v>
      </c>
      <c r="D12" s="25">
        <v>1000000</v>
      </c>
      <c r="F12" s="24" t="s">
        <v>207</v>
      </c>
      <c r="G12" s="24"/>
      <c r="H12" s="25">
        <v>227455</v>
      </c>
      <c r="I12" s="25">
        <v>220000</v>
      </c>
    </row>
    <row r="13" spans="1:9" x14ac:dyDescent="0.2">
      <c r="A13" s="24" t="s">
        <v>226</v>
      </c>
      <c r="B13" s="24"/>
      <c r="C13" s="25">
        <v>72000</v>
      </c>
      <c r="D13" s="25">
        <v>72000</v>
      </c>
      <c r="F13" s="24" t="s">
        <v>17</v>
      </c>
      <c r="G13" s="24"/>
      <c r="H13" s="25">
        <v>1285812.5</v>
      </c>
      <c r="I13" s="25">
        <v>1300000</v>
      </c>
    </row>
    <row r="14" spans="1:9" x14ac:dyDescent="0.2">
      <c r="A14" s="24" t="s">
        <v>246</v>
      </c>
      <c r="B14" s="24"/>
      <c r="C14" s="25">
        <v>1141829</v>
      </c>
      <c r="D14" s="25">
        <f>1150000+30000</f>
        <v>1180000</v>
      </c>
      <c r="F14" s="24" t="s">
        <v>1766</v>
      </c>
      <c r="G14" s="24"/>
      <c r="H14" s="25">
        <v>529411</v>
      </c>
      <c r="I14" s="25">
        <v>530000</v>
      </c>
    </row>
    <row r="15" spans="1:9" x14ac:dyDescent="0.2">
      <c r="A15" s="24" t="s">
        <v>2760</v>
      </c>
      <c r="B15" s="24"/>
      <c r="C15" s="25">
        <f>SUM(C16:C18)</f>
        <v>73291</v>
      </c>
      <c r="D15" s="25">
        <v>75000</v>
      </c>
      <c r="F15" s="24" t="s">
        <v>2059</v>
      </c>
      <c r="G15" s="24"/>
      <c r="H15" s="25">
        <v>40959.279999999999</v>
      </c>
      <c r="I15" s="25">
        <v>45000</v>
      </c>
    </row>
    <row r="16" spans="1:9" x14ac:dyDescent="0.2">
      <c r="B16" t="s">
        <v>2738</v>
      </c>
      <c r="C16" s="23">
        <v>24000</v>
      </c>
      <c r="D16" s="23"/>
      <c r="F16" s="24" t="s">
        <v>162</v>
      </c>
      <c r="G16" s="24"/>
      <c r="H16" s="25">
        <v>66000</v>
      </c>
      <c r="I16" s="25">
        <v>60000</v>
      </c>
    </row>
    <row r="17" spans="1:9" x14ac:dyDescent="0.2">
      <c r="B17" t="s">
        <v>78</v>
      </c>
      <c r="C17" s="23">
        <v>33291</v>
      </c>
      <c r="D17" s="23"/>
      <c r="F17" s="24" t="s">
        <v>179</v>
      </c>
      <c r="G17" s="24"/>
      <c r="H17" s="25">
        <v>203901</v>
      </c>
      <c r="I17" s="25">
        <v>220000</v>
      </c>
    </row>
    <row r="18" spans="1:9" x14ac:dyDescent="0.2">
      <c r="B18" t="s">
        <v>235</v>
      </c>
      <c r="C18" s="23">
        <v>16000</v>
      </c>
      <c r="D18" s="23"/>
      <c r="F18" s="24" t="s">
        <v>2494</v>
      </c>
      <c r="G18" s="24"/>
      <c r="H18" s="25">
        <v>325290.84999999998</v>
      </c>
      <c r="I18" s="25">
        <v>325000</v>
      </c>
    </row>
    <row r="19" spans="1:9" x14ac:dyDescent="0.2">
      <c r="B19" t="s">
        <v>2770</v>
      </c>
      <c r="F19" s="24" t="s">
        <v>148</v>
      </c>
      <c r="G19" s="24"/>
      <c r="H19" s="25">
        <v>350389.3</v>
      </c>
      <c r="I19" s="25">
        <v>350000</v>
      </c>
    </row>
    <row r="20" spans="1:9" x14ac:dyDescent="0.2">
      <c r="A20" s="44" t="s">
        <v>2708</v>
      </c>
      <c r="B20" s="44"/>
      <c r="C20" s="45">
        <f>SUM(C2,C8,C11,C12,C13,C14,C15)</f>
        <v>6490775.0099999998</v>
      </c>
      <c r="D20" s="45">
        <f>SUM(D2,D8,D11,D12,D13,D14,D15)</f>
        <v>7111200</v>
      </c>
      <c r="F20" s="24" t="s">
        <v>956</v>
      </c>
      <c r="G20" s="24"/>
      <c r="H20" s="25">
        <v>230658</v>
      </c>
      <c r="I20" s="25">
        <v>230000</v>
      </c>
    </row>
    <row r="21" spans="1:9" x14ac:dyDescent="0.2">
      <c r="F21" s="24" t="s">
        <v>154</v>
      </c>
      <c r="G21" s="24"/>
      <c r="H21" s="25">
        <v>861536</v>
      </c>
      <c r="I21" s="25">
        <v>860000</v>
      </c>
    </row>
    <row r="22" spans="1:9" x14ac:dyDescent="0.2">
      <c r="A22" s="46" t="s">
        <v>2765</v>
      </c>
      <c r="B22" s="46"/>
      <c r="C22" s="46"/>
      <c r="D22" s="47">
        <f>D20-I34</f>
        <v>309671.33000000007</v>
      </c>
      <c r="F22" s="24" t="s">
        <v>2742</v>
      </c>
      <c r="G22" s="24"/>
      <c r="H22" s="25">
        <v>96350</v>
      </c>
      <c r="I22" s="25">
        <v>100000</v>
      </c>
    </row>
    <row r="23" spans="1:9" x14ac:dyDescent="0.2">
      <c r="F23" s="24" t="s">
        <v>2760</v>
      </c>
      <c r="G23" s="24"/>
      <c r="H23" s="25">
        <f>SUM(H24:H31)</f>
        <v>131234.9</v>
      </c>
      <c r="I23" s="25">
        <v>90000</v>
      </c>
    </row>
    <row r="24" spans="1:9" x14ac:dyDescent="0.2">
      <c r="G24" t="s">
        <v>1892</v>
      </c>
      <c r="H24" s="23">
        <v>252.7</v>
      </c>
      <c r="I24" s="23"/>
    </row>
    <row r="25" spans="1:9" x14ac:dyDescent="0.2">
      <c r="G25" t="s">
        <v>1563</v>
      </c>
      <c r="H25" s="23">
        <v>34661</v>
      </c>
      <c r="I25" s="23"/>
    </row>
    <row r="26" spans="1:9" x14ac:dyDescent="0.2">
      <c r="G26" t="s">
        <v>1759</v>
      </c>
      <c r="H26" s="23">
        <v>8013</v>
      </c>
      <c r="I26" s="23"/>
    </row>
    <row r="27" spans="1:9" x14ac:dyDescent="0.2">
      <c r="G27" t="s">
        <v>1377</v>
      </c>
      <c r="H27" s="23">
        <v>13932.2</v>
      </c>
      <c r="I27" s="23"/>
    </row>
    <row r="28" spans="1:9" x14ac:dyDescent="0.2">
      <c r="G28" t="s">
        <v>2095</v>
      </c>
      <c r="H28" s="23">
        <v>31559</v>
      </c>
      <c r="I28" s="23"/>
    </row>
    <row r="29" spans="1:9" x14ac:dyDescent="0.2">
      <c r="G29" t="s">
        <v>2074</v>
      </c>
      <c r="H29" s="23">
        <v>41715</v>
      </c>
      <c r="I29" s="23"/>
    </row>
    <row r="30" spans="1:9" x14ac:dyDescent="0.2">
      <c r="G30" t="s">
        <v>2732</v>
      </c>
      <c r="H30" s="23">
        <v>982</v>
      </c>
      <c r="I30" s="23"/>
    </row>
    <row r="31" spans="1:9" x14ac:dyDescent="0.2">
      <c r="G31" t="s">
        <v>62</v>
      </c>
      <c r="H31" s="23">
        <v>120</v>
      </c>
      <c r="I31" s="23"/>
    </row>
    <row r="32" spans="1:9" x14ac:dyDescent="0.2">
      <c r="F32" s="18" t="s">
        <v>2763</v>
      </c>
      <c r="I32" s="25">
        <f>313000-42471.33</f>
        <v>270528.67</v>
      </c>
    </row>
    <row r="33" spans="6:9" x14ac:dyDescent="0.2">
      <c r="F33" s="18" t="s">
        <v>2764</v>
      </c>
      <c r="I33" s="25">
        <v>0</v>
      </c>
    </row>
    <row r="34" spans="6:9" x14ac:dyDescent="0.2">
      <c r="F34" s="44" t="s">
        <v>2708</v>
      </c>
      <c r="G34" s="44"/>
      <c r="H34" s="45">
        <f>SUM(H2,H3,H9:H23,H32:H33)</f>
        <v>6448303.6799999988</v>
      </c>
      <c r="I34" s="45">
        <f>SUM(I2,I3,I9:I23,I32:I33)</f>
        <v>6801528.6699999999</v>
      </c>
    </row>
  </sheetData>
  <dataConsolidate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A8284-FA40-4339-8F0D-A9AF5D61929B}">
  <dimension ref="A1:C41"/>
  <sheetViews>
    <sheetView tabSelected="1" workbookViewId="0">
      <selection activeCell="A18" sqref="A18:C41"/>
    </sheetView>
  </sheetViews>
  <sheetFormatPr defaultRowHeight="12" x14ac:dyDescent="0.2"/>
  <cols>
    <col min="1" max="1" width="26.28515625" bestFit="1" customWidth="1"/>
    <col min="2" max="2" width="28.42578125" bestFit="1" customWidth="1"/>
    <col min="3" max="3" width="14" bestFit="1" customWidth="1"/>
  </cols>
  <sheetData>
    <row r="1" spans="1:3" x14ac:dyDescent="0.2">
      <c r="A1" s="60" t="s">
        <v>82</v>
      </c>
      <c r="B1" s="60"/>
      <c r="C1" s="60" t="s">
        <v>2758</v>
      </c>
    </row>
    <row r="2" spans="1:3" x14ac:dyDescent="0.2">
      <c r="A2" s="61" t="s">
        <v>2757</v>
      </c>
      <c r="B2" s="61"/>
      <c r="C2" s="62">
        <f>SUM(C3:C6)</f>
        <v>1654200</v>
      </c>
    </row>
    <row r="3" spans="1:3" x14ac:dyDescent="0.2">
      <c r="A3" s="63"/>
      <c r="B3" s="63" t="s">
        <v>2156</v>
      </c>
      <c r="C3" s="64">
        <v>250000</v>
      </c>
    </row>
    <row r="4" spans="1:3" x14ac:dyDescent="0.2">
      <c r="A4" s="63"/>
      <c r="B4" s="63" t="s">
        <v>2162</v>
      </c>
      <c r="C4" s="64">
        <f>25000+200000+99000</f>
        <v>324000</v>
      </c>
    </row>
    <row r="5" spans="1:3" x14ac:dyDescent="0.2">
      <c r="A5" s="63"/>
      <c r="B5" s="63" t="s">
        <v>2167</v>
      </c>
      <c r="C5" s="64">
        <v>780200</v>
      </c>
    </row>
    <row r="6" spans="1:3" x14ac:dyDescent="0.2">
      <c r="A6" s="63"/>
      <c r="B6" s="63" t="s">
        <v>2734</v>
      </c>
      <c r="C6" s="64">
        <f>110000+125000+30000+35000</f>
        <v>300000</v>
      </c>
    </row>
    <row r="7" spans="1:3" x14ac:dyDescent="0.2">
      <c r="A7" s="61" t="s">
        <v>2759</v>
      </c>
      <c r="B7" s="61"/>
      <c r="C7" s="62">
        <f>SUM(C8:C9)</f>
        <v>2330000</v>
      </c>
    </row>
    <row r="8" spans="1:3" x14ac:dyDescent="0.2">
      <c r="A8" s="63"/>
      <c r="B8" s="63" t="s">
        <v>2767</v>
      </c>
      <c r="C8" s="64">
        <v>2000000</v>
      </c>
    </row>
    <row r="9" spans="1:3" x14ac:dyDescent="0.2">
      <c r="A9" s="63"/>
      <c r="B9" s="63" t="s">
        <v>1868</v>
      </c>
      <c r="C9" s="64">
        <v>330000</v>
      </c>
    </row>
    <row r="10" spans="1:3" x14ac:dyDescent="0.2">
      <c r="A10" s="61" t="s">
        <v>84</v>
      </c>
      <c r="B10" s="61"/>
      <c r="C10" s="62">
        <f>700000+100000</f>
        <v>800000</v>
      </c>
    </row>
    <row r="11" spans="1:3" x14ac:dyDescent="0.2">
      <c r="A11" s="61" t="s">
        <v>1776</v>
      </c>
      <c r="B11" s="61"/>
      <c r="C11" s="62">
        <v>1000000</v>
      </c>
    </row>
    <row r="12" spans="1:3" x14ac:dyDescent="0.2">
      <c r="A12" s="61" t="s">
        <v>226</v>
      </c>
      <c r="B12" s="61"/>
      <c r="C12" s="62">
        <v>72000</v>
      </c>
    </row>
    <row r="13" spans="1:3" x14ac:dyDescent="0.2">
      <c r="A13" s="61" t="s">
        <v>246</v>
      </c>
      <c r="B13" s="61"/>
      <c r="C13" s="62">
        <f>1150000+30000</f>
        <v>1180000</v>
      </c>
    </row>
    <row r="14" spans="1:3" x14ac:dyDescent="0.2">
      <c r="A14" s="61" t="s">
        <v>2760</v>
      </c>
      <c r="B14" s="61"/>
      <c r="C14" s="62">
        <v>75000</v>
      </c>
    </row>
    <row r="15" spans="1:3" x14ac:dyDescent="0.2">
      <c r="A15" s="60" t="s">
        <v>2708</v>
      </c>
      <c r="B15" s="60"/>
      <c r="C15" s="65">
        <f>SUM(C2,C7,C10,C11,C12,C13,C14)</f>
        <v>7111200</v>
      </c>
    </row>
    <row r="17" spans="1:3" x14ac:dyDescent="0.2">
      <c r="A17" s="60" t="s">
        <v>15</v>
      </c>
      <c r="B17" s="60"/>
      <c r="C17" s="60" t="s">
        <v>2758</v>
      </c>
    </row>
    <row r="18" spans="1:3" x14ac:dyDescent="0.2">
      <c r="A18" s="61" t="s">
        <v>1966</v>
      </c>
      <c r="B18" s="61"/>
      <c r="C18" s="62">
        <v>70000</v>
      </c>
    </row>
    <row r="19" spans="1:3" x14ac:dyDescent="0.2">
      <c r="A19" s="61" t="s">
        <v>2762</v>
      </c>
      <c r="B19" s="61"/>
      <c r="C19" s="62">
        <f>SUM(C20:C23)</f>
        <v>1766000</v>
      </c>
    </row>
    <row r="20" spans="1:3" x14ac:dyDescent="0.2">
      <c r="A20" s="63"/>
      <c r="B20" s="63" t="s">
        <v>2768</v>
      </c>
      <c r="C20" s="64">
        <f>560000+25000</f>
        <v>585000</v>
      </c>
    </row>
    <row r="21" spans="1:3" x14ac:dyDescent="0.2">
      <c r="A21" s="63"/>
      <c r="B21" s="63" t="s">
        <v>110</v>
      </c>
      <c r="C21" s="64">
        <f>600000+25000</f>
        <v>625000</v>
      </c>
    </row>
    <row r="22" spans="1:3" x14ac:dyDescent="0.2">
      <c r="A22" s="63"/>
      <c r="B22" s="63" t="s">
        <v>1991</v>
      </c>
      <c r="C22" s="64">
        <v>340000</v>
      </c>
    </row>
    <row r="23" spans="1:3" x14ac:dyDescent="0.2">
      <c r="A23" s="63"/>
      <c r="B23" s="63" t="s">
        <v>1950</v>
      </c>
      <c r="C23" s="64">
        <f>18000*12</f>
        <v>216000</v>
      </c>
    </row>
    <row r="24" spans="1:3" x14ac:dyDescent="0.2">
      <c r="A24" s="63"/>
      <c r="B24" s="66" t="s">
        <v>2713</v>
      </c>
      <c r="C24" s="64">
        <v>120000</v>
      </c>
    </row>
    <row r="25" spans="1:3" x14ac:dyDescent="0.2">
      <c r="A25" s="61" t="s">
        <v>103</v>
      </c>
      <c r="B25" s="61"/>
      <c r="C25" s="62">
        <v>300000</v>
      </c>
    </row>
    <row r="26" spans="1:3" x14ac:dyDescent="0.2">
      <c r="A26" s="61" t="s">
        <v>748</v>
      </c>
      <c r="B26" s="61"/>
      <c r="C26" s="62">
        <v>60000</v>
      </c>
    </row>
    <row r="27" spans="1:3" x14ac:dyDescent="0.2">
      <c r="A27" s="61" t="s">
        <v>1897</v>
      </c>
      <c r="B27" s="61"/>
      <c r="C27" s="62">
        <v>5000</v>
      </c>
    </row>
    <row r="28" spans="1:3" x14ac:dyDescent="0.2">
      <c r="A28" s="61" t="s">
        <v>207</v>
      </c>
      <c r="B28" s="61"/>
      <c r="C28" s="62">
        <v>220000</v>
      </c>
    </row>
    <row r="29" spans="1:3" x14ac:dyDescent="0.2">
      <c r="A29" s="61" t="s">
        <v>17</v>
      </c>
      <c r="B29" s="61"/>
      <c r="C29" s="62">
        <v>1300000</v>
      </c>
    </row>
    <row r="30" spans="1:3" x14ac:dyDescent="0.2">
      <c r="A30" s="61" t="s">
        <v>1766</v>
      </c>
      <c r="B30" s="61"/>
      <c r="C30" s="62">
        <v>530000</v>
      </c>
    </row>
    <row r="31" spans="1:3" x14ac:dyDescent="0.2">
      <c r="A31" s="61" t="s">
        <v>2059</v>
      </c>
      <c r="B31" s="61"/>
      <c r="C31" s="62">
        <v>45000</v>
      </c>
    </row>
    <row r="32" spans="1:3" x14ac:dyDescent="0.2">
      <c r="A32" s="61" t="s">
        <v>162</v>
      </c>
      <c r="B32" s="61"/>
      <c r="C32" s="62">
        <v>60000</v>
      </c>
    </row>
    <row r="33" spans="1:3" x14ac:dyDescent="0.2">
      <c r="A33" s="61" t="s">
        <v>179</v>
      </c>
      <c r="B33" s="61"/>
      <c r="C33" s="62">
        <v>220000</v>
      </c>
    </row>
    <row r="34" spans="1:3" x14ac:dyDescent="0.2">
      <c r="A34" s="61" t="s">
        <v>2494</v>
      </c>
      <c r="B34" s="61"/>
      <c r="C34" s="62">
        <v>325000</v>
      </c>
    </row>
    <row r="35" spans="1:3" x14ac:dyDescent="0.2">
      <c r="A35" s="61" t="s">
        <v>148</v>
      </c>
      <c r="B35" s="61"/>
      <c r="C35" s="62">
        <v>350000</v>
      </c>
    </row>
    <row r="36" spans="1:3" x14ac:dyDescent="0.2">
      <c r="A36" s="61" t="s">
        <v>956</v>
      </c>
      <c r="B36" s="61"/>
      <c r="C36" s="62">
        <v>230000</v>
      </c>
    </row>
    <row r="37" spans="1:3" x14ac:dyDescent="0.2">
      <c r="A37" s="61" t="s">
        <v>154</v>
      </c>
      <c r="B37" s="61"/>
      <c r="C37" s="62">
        <v>860000</v>
      </c>
    </row>
    <row r="38" spans="1:3" x14ac:dyDescent="0.2">
      <c r="A38" s="61" t="s">
        <v>2742</v>
      </c>
      <c r="B38" s="61"/>
      <c r="C38" s="62">
        <v>100000</v>
      </c>
    </row>
    <row r="39" spans="1:3" x14ac:dyDescent="0.2">
      <c r="A39" s="61" t="s">
        <v>2760</v>
      </c>
      <c r="B39" s="61"/>
      <c r="C39" s="62">
        <v>90000</v>
      </c>
    </row>
    <row r="40" spans="1:3" x14ac:dyDescent="0.2">
      <c r="A40" s="66" t="s">
        <v>2763</v>
      </c>
      <c r="B40" s="63"/>
      <c r="C40" s="62">
        <f>313000-42471.33</f>
        <v>270528.67</v>
      </c>
    </row>
    <row r="41" spans="1:3" x14ac:dyDescent="0.2">
      <c r="A41" s="44" t="s">
        <v>2708</v>
      </c>
      <c r="B41" s="44"/>
      <c r="C41" s="45">
        <f>SUM(C18,C19,C25:C39,C40:C40)</f>
        <v>6801528.6699999999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2"/>
  <dimension ref="A1:Q1310"/>
  <sheetViews>
    <sheetView zoomScale="77" workbookViewId="0">
      <selection activeCell="B632" sqref="B632"/>
    </sheetView>
  </sheetViews>
  <sheetFormatPr defaultRowHeight="12" x14ac:dyDescent="0.2"/>
  <cols>
    <col min="2" max="2" width="10.5703125" bestFit="1" customWidth="1"/>
    <col min="4" max="4" width="71.42578125" bestFit="1" customWidth="1"/>
    <col min="5" max="5" width="88.28515625" bestFit="1" customWidth="1"/>
    <col min="6" max="9" width="9.28515625" bestFit="1" customWidth="1"/>
    <col min="10" max="10" width="10.85546875" bestFit="1" customWidth="1"/>
    <col min="11" max="12" width="18" bestFit="1" customWidth="1"/>
    <col min="13" max="13" width="30.42578125" bestFit="1" customWidth="1"/>
    <col min="17" max="17" width="10.7109375" bestFit="1" customWidth="1"/>
  </cols>
  <sheetData>
    <row r="1" spans="1:13" x14ac:dyDescent="0.2">
      <c r="A1" s="39" t="s">
        <v>8</v>
      </c>
      <c r="B1" s="40" t="s">
        <v>9</v>
      </c>
      <c r="C1" s="40" t="s">
        <v>13</v>
      </c>
      <c r="D1" s="40" t="s">
        <v>12</v>
      </c>
      <c r="E1" s="40" t="s">
        <v>14</v>
      </c>
      <c r="F1" s="41" t="s">
        <v>11</v>
      </c>
      <c r="G1" s="40" t="s">
        <v>10</v>
      </c>
      <c r="H1" s="40" t="s">
        <v>2682</v>
      </c>
      <c r="I1" s="40" t="s">
        <v>2683</v>
      </c>
      <c r="J1" s="40" t="s">
        <v>2720</v>
      </c>
      <c r="K1" s="40" t="s">
        <v>2681</v>
      </c>
      <c r="L1" s="42" t="s">
        <v>2680</v>
      </c>
      <c r="M1" s="43" t="s">
        <v>2726</v>
      </c>
    </row>
    <row r="2" spans="1:13" hidden="1" x14ac:dyDescent="0.2">
      <c r="A2" s="29" t="s">
        <v>25</v>
      </c>
      <c r="B2" s="30" t="s">
        <v>24</v>
      </c>
      <c r="C2" s="30" t="s">
        <v>19</v>
      </c>
      <c r="D2" s="30"/>
      <c r="E2" s="30" t="s">
        <v>26</v>
      </c>
      <c r="F2" s="30">
        <v>61755</v>
      </c>
      <c r="G2" s="30">
        <v>0</v>
      </c>
      <c r="H2" s="31">
        <f t="shared" ref="H2:H65" si="0">-F2+G2</f>
        <v>-61755</v>
      </c>
      <c r="I2" s="31">
        <v>0</v>
      </c>
      <c r="J2" s="31">
        <f t="shared" ref="J2:J65" si="1">VALUE(LEFT(I2,1))</f>
        <v>0</v>
      </c>
      <c r="K2" s="31" t="s">
        <v>23</v>
      </c>
      <c r="L2" s="31" t="s">
        <v>2753</v>
      </c>
      <c r="M2" s="32" t="str">
        <f>VLOOKUP(Zdroj!$I2,Střediska!$A$1:$B$41,2,FALSE)</f>
        <v>Neurčeno</v>
      </c>
    </row>
    <row r="3" spans="1:13" hidden="1" x14ac:dyDescent="0.2">
      <c r="A3" s="33" t="s">
        <v>28</v>
      </c>
      <c r="B3" s="34" t="s">
        <v>27</v>
      </c>
      <c r="C3" s="34" t="s">
        <v>19</v>
      </c>
      <c r="D3" s="34"/>
      <c r="E3" s="34" t="s">
        <v>29</v>
      </c>
      <c r="F3" s="34">
        <v>72020</v>
      </c>
      <c r="G3" s="34">
        <v>0</v>
      </c>
      <c r="H3" s="34">
        <f t="shared" si="0"/>
        <v>-72020</v>
      </c>
      <c r="I3" s="34">
        <v>0</v>
      </c>
      <c r="J3" s="34">
        <f t="shared" si="1"/>
        <v>0</v>
      </c>
      <c r="K3" s="34" t="s">
        <v>23</v>
      </c>
      <c r="L3" s="34" t="s">
        <v>2753</v>
      </c>
      <c r="M3" s="35" t="str">
        <f>VLOOKUP(Zdroj!$I3,Střediska!$A$1:$B$41,2,FALSE)</f>
        <v>Neurčeno</v>
      </c>
    </row>
    <row r="4" spans="1:13" hidden="1" x14ac:dyDescent="0.2">
      <c r="A4" s="36" t="s">
        <v>31</v>
      </c>
      <c r="B4" s="31" t="s">
        <v>30</v>
      </c>
      <c r="C4" s="31" t="s">
        <v>19</v>
      </c>
      <c r="D4" s="31"/>
      <c r="E4" s="31" t="s">
        <v>32</v>
      </c>
      <c r="F4" s="31">
        <v>62000</v>
      </c>
      <c r="G4" s="31">
        <v>0</v>
      </c>
      <c r="H4" s="31">
        <f t="shared" si="0"/>
        <v>-62000</v>
      </c>
      <c r="I4" s="31">
        <v>0</v>
      </c>
      <c r="J4" s="31">
        <f t="shared" si="1"/>
        <v>0</v>
      </c>
      <c r="K4" s="31" t="s">
        <v>23</v>
      </c>
      <c r="L4" s="31" t="s">
        <v>2753</v>
      </c>
      <c r="M4" s="32" t="str">
        <f>VLOOKUP(Zdroj!$I4,Střediska!$A$1:$B$41,2,FALSE)</f>
        <v>Neurčeno</v>
      </c>
    </row>
    <row r="5" spans="1:13" hidden="1" x14ac:dyDescent="0.2">
      <c r="A5" s="33" t="s">
        <v>34</v>
      </c>
      <c r="B5" s="34" t="s">
        <v>33</v>
      </c>
      <c r="C5" s="34" t="s">
        <v>19</v>
      </c>
      <c r="D5" s="34"/>
      <c r="E5" s="34" t="s">
        <v>35</v>
      </c>
      <c r="F5" s="34">
        <v>55725</v>
      </c>
      <c r="G5" s="34">
        <v>0</v>
      </c>
      <c r="H5" s="34">
        <f t="shared" si="0"/>
        <v>-55725</v>
      </c>
      <c r="I5" s="34">
        <v>0</v>
      </c>
      <c r="J5" s="34">
        <f t="shared" si="1"/>
        <v>0</v>
      </c>
      <c r="K5" s="34" t="s">
        <v>23</v>
      </c>
      <c r="L5" s="34" t="s">
        <v>2753</v>
      </c>
      <c r="M5" s="35" t="str">
        <f>VLOOKUP(Zdroj!$I5,Střediska!$A$1:$B$41,2,FALSE)</f>
        <v>Neurčeno</v>
      </c>
    </row>
    <row r="6" spans="1:13" hidden="1" x14ac:dyDescent="0.2">
      <c r="A6" s="36" t="s">
        <v>37</v>
      </c>
      <c r="B6" s="31" t="s">
        <v>36</v>
      </c>
      <c r="C6" s="31" t="s">
        <v>19</v>
      </c>
      <c r="D6" s="31"/>
      <c r="E6" s="31" t="s">
        <v>38</v>
      </c>
      <c r="F6" s="31">
        <v>36550</v>
      </c>
      <c r="G6" s="31">
        <v>0</v>
      </c>
      <c r="H6" s="31">
        <f t="shared" si="0"/>
        <v>-36550</v>
      </c>
      <c r="I6" s="31">
        <v>0</v>
      </c>
      <c r="J6" s="31">
        <f t="shared" si="1"/>
        <v>0</v>
      </c>
      <c r="K6" s="31" t="s">
        <v>23</v>
      </c>
      <c r="L6" s="31" t="s">
        <v>2753</v>
      </c>
      <c r="M6" s="32" t="str">
        <f>VLOOKUP(Zdroj!$I6,Střediska!$A$1:$B$41,2,FALSE)</f>
        <v>Neurčeno</v>
      </c>
    </row>
    <row r="7" spans="1:13" hidden="1" x14ac:dyDescent="0.2">
      <c r="A7" s="33" t="s">
        <v>40</v>
      </c>
      <c r="B7" s="34" t="s">
        <v>39</v>
      </c>
      <c r="C7" s="34" t="s">
        <v>19</v>
      </c>
      <c r="D7" s="34"/>
      <c r="E7" s="34" t="s">
        <v>41</v>
      </c>
      <c r="F7" s="34">
        <v>54395</v>
      </c>
      <c r="G7" s="34">
        <v>0</v>
      </c>
      <c r="H7" s="34">
        <f t="shared" si="0"/>
        <v>-54395</v>
      </c>
      <c r="I7" s="34">
        <v>0</v>
      </c>
      <c r="J7" s="34">
        <f t="shared" si="1"/>
        <v>0</v>
      </c>
      <c r="K7" s="34" t="s">
        <v>23</v>
      </c>
      <c r="L7" s="34" t="s">
        <v>2753</v>
      </c>
      <c r="M7" s="35" t="str">
        <f>VLOOKUP(Zdroj!$I7,Střediska!$A$1:$B$41,2,FALSE)</f>
        <v>Neurčeno</v>
      </c>
    </row>
    <row r="8" spans="1:13" hidden="1" x14ac:dyDescent="0.2">
      <c r="A8" s="36" t="s">
        <v>43</v>
      </c>
      <c r="B8" s="31" t="s">
        <v>42</v>
      </c>
      <c r="C8" s="31" t="s">
        <v>19</v>
      </c>
      <c r="D8" s="31"/>
      <c r="E8" s="31" t="s">
        <v>44</v>
      </c>
      <c r="F8" s="31">
        <v>35850</v>
      </c>
      <c r="G8" s="31">
        <v>0</v>
      </c>
      <c r="H8" s="31">
        <f t="shared" si="0"/>
        <v>-35850</v>
      </c>
      <c r="I8" s="31">
        <v>0</v>
      </c>
      <c r="J8" s="31">
        <f t="shared" si="1"/>
        <v>0</v>
      </c>
      <c r="K8" s="31" t="s">
        <v>23</v>
      </c>
      <c r="L8" s="31" t="s">
        <v>2753</v>
      </c>
      <c r="M8" s="32" t="str">
        <f>VLOOKUP(Zdroj!$I8,Střediska!$A$1:$B$41,2,FALSE)</f>
        <v>Neurčeno</v>
      </c>
    </row>
    <row r="9" spans="1:13" hidden="1" x14ac:dyDescent="0.2">
      <c r="A9" s="33" t="s">
        <v>46</v>
      </c>
      <c r="B9" s="34" t="s">
        <v>45</v>
      </c>
      <c r="C9" s="34" t="s">
        <v>19</v>
      </c>
      <c r="D9" s="34"/>
      <c r="E9" s="34" t="s">
        <v>47</v>
      </c>
      <c r="F9" s="34">
        <v>64340</v>
      </c>
      <c r="G9" s="34">
        <v>0</v>
      </c>
      <c r="H9" s="34">
        <f t="shared" si="0"/>
        <v>-64340</v>
      </c>
      <c r="I9" s="34">
        <v>0</v>
      </c>
      <c r="J9" s="34">
        <f t="shared" si="1"/>
        <v>0</v>
      </c>
      <c r="K9" s="34" t="s">
        <v>23</v>
      </c>
      <c r="L9" s="34" t="s">
        <v>2753</v>
      </c>
      <c r="M9" s="35" t="str">
        <f>VLOOKUP(Zdroj!$I9,Střediska!$A$1:$B$41,2,FALSE)</f>
        <v>Neurčeno</v>
      </c>
    </row>
    <row r="10" spans="1:13" hidden="1" x14ac:dyDescent="0.2">
      <c r="A10" s="36" t="s">
        <v>49</v>
      </c>
      <c r="B10" s="31" t="s">
        <v>48</v>
      </c>
      <c r="C10" s="31" t="s">
        <v>19</v>
      </c>
      <c r="D10" s="31"/>
      <c r="E10" s="31" t="s">
        <v>50</v>
      </c>
      <c r="F10" s="31">
        <v>63455</v>
      </c>
      <c r="G10" s="31">
        <v>0</v>
      </c>
      <c r="H10" s="31">
        <f t="shared" si="0"/>
        <v>-63455</v>
      </c>
      <c r="I10" s="31">
        <v>0</v>
      </c>
      <c r="J10" s="31">
        <f t="shared" si="1"/>
        <v>0</v>
      </c>
      <c r="K10" s="31" t="s">
        <v>23</v>
      </c>
      <c r="L10" s="31" t="s">
        <v>2753</v>
      </c>
      <c r="M10" s="32" t="str">
        <f>VLOOKUP(Zdroj!$I10,Střediska!$A$1:$B$41,2,FALSE)</f>
        <v>Neurčeno</v>
      </c>
    </row>
    <row r="11" spans="1:13" hidden="1" x14ac:dyDescent="0.2">
      <c r="A11" s="33" t="s">
        <v>52</v>
      </c>
      <c r="B11" s="34" t="s">
        <v>51</v>
      </c>
      <c r="C11" s="34" t="s">
        <v>19</v>
      </c>
      <c r="D11" s="34"/>
      <c r="E11" s="34" t="s">
        <v>53</v>
      </c>
      <c r="F11" s="34">
        <v>49675</v>
      </c>
      <c r="G11" s="34">
        <v>0</v>
      </c>
      <c r="H11" s="34">
        <f t="shared" si="0"/>
        <v>-49675</v>
      </c>
      <c r="I11" s="34">
        <v>0</v>
      </c>
      <c r="J11" s="34">
        <f t="shared" si="1"/>
        <v>0</v>
      </c>
      <c r="K11" s="34" t="s">
        <v>23</v>
      </c>
      <c r="L11" s="34" t="s">
        <v>2753</v>
      </c>
      <c r="M11" s="35" t="str">
        <f>VLOOKUP(Zdroj!$I11,Střediska!$A$1:$B$41,2,FALSE)</f>
        <v>Neurčeno</v>
      </c>
    </row>
    <row r="12" spans="1:13" hidden="1" x14ac:dyDescent="0.2">
      <c r="A12" s="36" t="s">
        <v>55</v>
      </c>
      <c r="B12" s="31" t="s">
        <v>54</v>
      </c>
      <c r="C12" s="31" t="s">
        <v>19</v>
      </c>
      <c r="D12" s="31"/>
      <c r="E12" s="31" t="s">
        <v>56</v>
      </c>
      <c r="F12" s="31">
        <v>67470</v>
      </c>
      <c r="G12" s="31">
        <v>0</v>
      </c>
      <c r="H12" s="31">
        <f t="shared" si="0"/>
        <v>-67470</v>
      </c>
      <c r="I12" s="31">
        <v>0</v>
      </c>
      <c r="J12" s="31">
        <f t="shared" si="1"/>
        <v>0</v>
      </c>
      <c r="K12" s="31" t="s">
        <v>23</v>
      </c>
      <c r="L12" s="31" t="s">
        <v>2753</v>
      </c>
      <c r="M12" s="32" t="str">
        <f>VLOOKUP(Zdroj!$I12,Střediska!$A$1:$B$41,2,FALSE)</f>
        <v>Neurčeno</v>
      </c>
    </row>
    <row r="13" spans="1:13" hidden="1" x14ac:dyDescent="0.2">
      <c r="A13" s="33" t="s">
        <v>20</v>
      </c>
      <c r="B13" s="34" t="s">
        <v>57</v>
      </c>
      <c r="C13" s="34" t="s">
        <v>19</v>
      </c>
      <c r="D13" s="34"/>
      <c r="E13" s="34" t="s">
        <v>58</v>
      </c>
      <c r="F13" s="34">
        <v>51650</v>
      </c>
      <c r="G13" s="34">
        <v>0</v>
      </c>
      <c r="H13" s="34">
        <f t="shared" si="0"/>
        <v>-51650</v>
      </c>
      <c r="I13" s="34">
        <v>0</v>
      </c>
      <c r="J13" s="34">
        <f t="shared" si="1"/>
        <v>0</v>
      </c>
      <c r="K13" s="34" t="s">
        <v>23</v>
      </c>
      <c r="L13" s="34" t="s">
        <v>2753</v>
      </c>
      <c r="M13" s="35" t="str">
        <f>VLOOKUP(Zdroj!$I13,Střediska!$A$1:$B$41,2,FALSE)</f>
        <v>Neurčeno</v>
      </c>
    </row>
    <row r="14" spans="1:13" hidden="1" x14ac:dyDescent="0.2">
      <c r="A14" s="36" t="s">
        <v>20</v>
      </c>
      <c r="B14" s="31" t="s">
        <v>59</v>
      </c>
      <c r="C14" s="31" t="s">
        <v>19</v>
      </c>
      <c r="D14" s="31"/>
      <c r="E14" s="31" t="s">
        <v>60</v>
      </c>
      <c r="F14" s="31">
        <v>-674885</v>
      </c>
      <c r="G14" s="31">
        <v>0</v>
      </c>
      <c r="H14" s="31">
        <f t="shared" si="0"/>
        <v>674885</v>
      </c>
      <c r="I14" s="31">
        <v>0</v>
      </c>
      <c r="J14" s="31">
        <f t="shared" si="1"/>
        <v>0</v>
      </c>
      <c r="K14" s="31" t="s">
        <v>23</v>
      </c>
      <c r="L14" s="31" t="s">
        <v>2753</v>
      </c>
      <c r="M14" s="32" t="str">
        <f>VLOOKUP(Zdroj!$I14,Střediska!$A$1:$B$41,2,FALSE)</f>
        <v>Neurčeno</v>
      </c>
    </row>
    <row r="15" spans="1:13" hidden="1" x14ac:dyDescent="0.2">
      <c r="A15" s="33" t="s">
        <v>20</v>
      </c>
      <c r="B15" s="34" t="s">
        <v>79</v>
      </c>
      <c r="C15" s="34" t="s">
        <v>19</v>
      </c>
      <c r="D15" s="34"/>
      <c r="E15" s="34" t="s">
        <v>80</v>
      </c>
      <c r="F15" s="34">
        <v>982</v>
      </c>
      <c r="G15" s="34">
        <v>0</v>
      </c>
      <c r="H15" s="34">
        <f t="shared" si="0"/>
        <v>-982</v>
      </c>
      <c r="I15" s="34">
        <v>0</v>
      </c>
      <c r="J15" s="34">
        <f t="shared" si="1"/>
        <v>0</v>
      </c>
      <c r="K15" s="34" t="s">
        <v>2732</v>
      </c>
      <c r="L15" s="34" t="s">
        <v>2753</v>
      </c>
      <c r="M15" s="35" t="str">
        <f>VLOOKUP(Zdroj!$I15,Střediska!$A$1:$B$41,2,FALSE)</f>
        <v>Neurčeno</v>
      </c>
    </row>
    <row r="16" spans="1:13" hidden="1" x14ac:dyDescent="0.2">
      <c r="A16" s="36" t="s">
        <v>25</v>
      </c>
      <c r="B16" s="31" t="s">
        <v>63</v>
      </c>
      <c r="C16" s="31" t="s">
        <v>64</v>
      </c>
      <c r="D16" s="31"/>
      <c r="E16" s="31" t="s">
        <v>65</v>
      </c>
      <c r="F16" s="31">
        <v>10</v>
      </c>
      <c r="G16" s="31">
        <v>0</v>
      </c>
      <c r="H16" s="31">
        <f t="shared" si="0"/>
        <v>-10</v>
      </c>
      <c r="I16" s="31">
        <v>0</v>
      </c>
      <c r="J16" s="31">
        <f t="shared" si="1"/>
        <v>0</v>
      </c>
      <c r="K16" s="31" t="s">
        <v>62</v>
      </c>
      <c r="L16" s="31" t="s">
        <v>2753</v>
      </c>
      <c r="M16" s="32" t="str">
        <f>VLOOKUP(Zdroj!$I16,Střediska!$A$1:$B$41,2,FALSE)</f>
        <v>Neurčeno</v>
      </c>
    </row>
    <row r="17" spans="1:13" hidden="1" x14ac:dyDescent="0.2">
      <c r="A17" s="33" t="s">
        <v>28</v>
      </c>
      <c r="B17" s="34" t="s">
        <v>66</v>
      </c>
      <c r="C17" s="34" t="s">
        <v>64</v>
      </c>
      <c r="D17" s="34"/>
      <c r="E17" s="34" t="s">
        <v>65</v>
      </c>
      <c r="F17" s="34">
        <v>10</v>
      </c>
      <c r="G17" s="34">
        <v>0</v>
      </c>
      <c r="H17" s="34">
        <f t="shared" si="0"/>
        <v>-10</v>
      </c>
      <c r="I17" s="34">
        <v>0</v>
      </c>
      <c r="J17" s="34">
        <f t="shared" si="1"/>
        <v>0</v>
      </c>
      <c r="K17" s="34" t="s">
        <v>62</v>
      </c>
      <c r="L17" s="34" t="s">
        <v>2753</v>
      </c>
      <c r="M17" s="35" t="str">
        <f>VLOOKUP(Zdroj!$I17,Střediska!$A$1:$B$41,2,FALSE)</f>
        <v>Neurčeno</v>
      </c>
    </row>
    <row r="18" spans="1:13" hidden="1" x14ac:dyDescent="0.2">
      <c r="A18" s="36" t="s">
        <v>31</v>
      </c>
      <c r="B18" s="31" t="s">
        <v>67</v>
      </c>
      <c r="C18" s="31" t="s">
        <v>64</v>
      </c>
      <c r="D18" s="31"/>
      <c r="E18" s="31" t="s">
        <v>65</v>
      </c>
      <c r="F18" s="31">
        <v>10</v>
      </c>
      <c r="G18" s="31">
        <v>0</v>
      </c>
      <c r="H18" s="31">
        <f t="shared" si="0"/>
        <v>-10</v>
      </c>
      <c r="I18" s="31">
        <v>0</v>
      </c>
      <c r="J18" s="31">
        <f t="shared" si="1"/>
        <v>0</v>
      </c>
      <c r="K18" s="31" t="s">
        <v>62</v>
      </c>
      <c r="L18" s="31" t="s">
        <v>2753</v>
      </c>
      <c r="M18" s="32" t="str">
        <f>VLOOKUP(Zdroj!$I18,Střediska!$A$1:$B$41,2,FALSE)</f>
        <v>Neurčeno</v>
      </c>
    </row>
    <row r="19" spans="1:13" hidden="1" x14ac:dyDescent="0.2">
      <c r="A19" s="33" t="s">
        <v>34</v>
      </c>
      <c r="B19" s="34" t="s">
        <v>68</v>
      </c>
      <c r="C19" s="34" t="s">
        <v>64</v>
      </c>
      <c r="D19" s="34"/>
      <c r="E19" s="34" t="s">
        <v>65</v>
      </c>
      <c r="F19" s="34">
        <v>10</v>
      </c>
      <c r="G19" s="34">
        <v>0</v>
      </c>
      <c r="H19" s="34">
        <f t="shared" si="0"/>
        <v>-10</v>
      </c>
      <c r="I19" s="34">
        <v>0</v>
      </c>
      <c r="J19" s="34">
        <f t="shared" si="1"/>
        <v>0</v>
      </c>
      <c r="K19" s="34" t="s">
        <v>62</v>
      </c>
      <c r="L19" s="34" t="s">
        <v>2753</v>
      </c>
      <c r="M19" s="35" t="str">
        <f>VLOOKUP(Zdroj!$I19,Střediska!$A$1:$B$41,2,FALSE)</f>
        <v>Neurčeno</v>
      </c>
    </row>
    <row r="20" spans="1:13" hidden="1" x14ac:dyDescent="0.2">
      <c r="A20" s="36" t="s">
        <v>37</v>
      </c>
      <c r="B20" s="31" t="s">
        <v>69</v>
      </c>
      <c r="C20" s="31" t="s">
        <v>64</v>
      </c>
      <c r="D20" s="31"/>
      <c r="E20" s="31" t="s">
        <v>65</v>
      </c>
      <c r="F20" s="31">
        <v>10</v>
      </c>
      <c r="G20" s="31">
        <v>0</v>
      </c>
      <c r="H20" s="31">
        <f t="shared" si="0"/>
        <v>-10</v>
      </c>
      <c r="I20" s="31">
        <v>0</v>
      </c>
      <c r="J20" s="31">
        <f t="shared" si="1"/>
        <v>0</v>
      </c>
      <c r="K20" s="31" t="s">
        <v>62</v>
      </c>
      <c r="L20" s="31" t="s">
        <v>2753</v>
      </c>
      <c r="M20" s="32" t="str">
        <f>VLOOKUP(Zdroj!$I20,Střediska!$A$1:$B$41,2,FALSE)</f>
        <v>Neurčeno</v>
      </c>
    </row>
    <row r="21" spans="1:13" hidden="1" x14ac:dyDescent="0.2">
      <c r="A21" s="33" t="s">
        <v>40</v>
      </c>
      <c r="B21" s="34" t="s">
        <v>70</v>
      </c>
      <c r="C21" s="34" t="s">
        <v>64</v>
      </c>
      <c r="D21" s="34"/>
      <c r="E21" s="34" t="s">
        <v>65</v>
      </c>
      <c r="F21" s="34">
        <v>10</v>
      </c>
      <c r="G21" s="34">
        <v>0</v>
      </c>
      <c r="H21" s="34">
        <f t="shared" si="0"/>
        <v>-10</v>
      </c>
      <c r="I21" s="34">
        <v>0</v>
      </c>
      <c r="J21" s="34">
        <f t="shared" si="1"/>
        <v>0</v>
      </c>
      <c r="K21" s="34" t="s">
        <v>62</v>
      </c>
      <c r="L21" s="34" t="s">
        <v>2753</v>
      </c>
      <c r="M21" s="35" t="str">
        <f>VLOOKUP(Zdroj!$I21,Střediska!$A$1:$B$41,2,FALSE)</f>
        <v>Neurčeno</v>
      </c>
    </row>
    <row r="22" spans="1:13" hidden="1" x14ac:dyDescent="0.2">
      <c r="A22" s="36" t="s">
        <v>43</v>
      </c>
      <c r="B22" s="31" t="s">
        <v>71</v>
      </c>
      <c r="C22" s="31" t="s">
        <v>64</v>
      </c>
      <c r="D22" s="31"/>
      <c r="E22" s="31" t="s">
        <v>65</v>
      </c>
      <c r="F22" s="31">
        <v>10</v>
      </c>
      <c r="G22" s="31">
        <v>0</v>
      </c>
      <c r="H22" s="31">
        <f t="shared" si="0"/>
        <v>-10</v>
      </c>
      <c r="I22" s="31">
        <v>0</v>
      </c>
      <c r="J22" s="31">
        <f t="shared" si="1"/>
        <v>0</v>
      </c>
      <c r="K22" s="31" t="s">
        <v>62</v>
      </c>
      <c r="L22" s="31" t="s">
        <v>2753</v>
      </c>
      <c r="M22" s="32" t="str">
        <f>VLOOKUP(Zdroj!$I22,Střediska!$A$1:$B$41,2,FALSE)</f>
        <v>Neurčeno</v>
      </c>
    </row>
    <row r="23" spans="1:13" hidden="1" x14ac:dyDescent="0.2">
      <c r="A23" s="33" t="s">
        <v>46</v>
      </c>
      <c r="B23" s="34" t="s">
        <v>72</v>
      </c>
      <c r="C23" s="34" t="s">
        <v>64</v>
      </c>
      <c r="D23" s="34"/>
      <c r="E23" s="34" t="s">
        <v>65</v>
      </c>
      <c r="F23" s="34">
        <v>10</v>
      </c>
      <c r="G23" s="34">
        <v>0</v>
      </c>
      <c r="H23" s="34">
        <f t="shared" si="0"/>
        <v>-10</v>
      </c>
      <c r="I23" s="34">
        <v>0</v>
      </c>
      <c r="J23" s="34">
        <f t="shared" si="1"/>
        <v>0</v>
      </c>
      <c r="K23" s="34" t="s">
        <v>62</v>
      </c>
      <c r="L23" s="34" t="s">
        <v>2753</v>
      </c>
      <c r="M23" s="35" t="str">
        <f>VLOOKUP(Zdroj!$I23,Střediska!$A$1:$B$41,2,FALSE)</f>
        <v>Neurčeno</v>
      </c>
    </row>
    <row r="24" spans="1:13" hidden="1" x14ac:dyDescent="0.2">
      <c r="A24" s="36" t="s">
        <v>49</v>
      </c>
      <c r="B24" s="31" t="s">
        <v>73</v>
      </c>
      <c r="C24" s="31" t="s">
        <v>64</v>
      </c>
      <c r="D24" s="31"/>
      <c r="E24" s="31" t="s">
        <v>65</v>
      </c>
      <c r="F24" s="31">
        <v>10</v>
      </c>
      <c r="G24" s="31">
        <v>0</v>
      </c>
      <c r="H24" s="31">
        <f t="shared" si="0"/>
        <v>-10</v>
      </c>
      <c r="I24" s="31">
        <v>0</v>
      </c>
      <c r="J24" s="31">
        <f t="shared" si="1"/>
        <v>0</v>
      </c>
      <c r="K24" s="31" t="s">
        <v>62</v>
      </c>
      <c r="L24" s="31" t="s">
        <v>2753</v>
      </c>
      <c r="M24" s="32" t="str">
        <f>VLOOKUP(Zdroj!$I24,Střediska!$A$1:$B$41,2,FALSE)</f>
        <v>Neurčeno</v>
      </c>
    </row>
    <row r="25" spans="1:13" hidden="1" x14ac:dyDescent="0.2">
      <c r="A25" s="33" t="s">
        <v>52</v>
      </c>
      <c r="B25" s="34" t="s">
        <v>74</v>
      </c>
      <c r="C25" s="34" t="s">
        <v>64</v>
      </c>
      <c r="D25" s="34"/>
      <c r="E25" s="34" t="s">
        <v>65</v>
      </c>
      <c r="F25" s="34">
        <v>10</v>
      </c>
      <c r="G25" s="34">
        <v>0</v>
      </c>
      <c r="H25" s="34">
        <f t="shared" si="0"/>
        <v>-10</v>
      </c>
      <c r="I25" s="34">
        <v>0</v>
      </c>
      <c r="J25" s="34">
        <f t="shared" si="1"/>
        <v>0</v>
      </c>
      <c r="K25" s="34" t="s">
        <v>62</v>
      </c>
      <c r="L25" s="34" t="s">
        <v>2753</v>
      </c>
      <c r="M25" s="35" t="str">
        <f>VLOOKUP(Zdroj!$I25,Střediska!$A$1:$B$41,2,FALSE)</f>
        <v>Neurčeno</v>
      </c>
    </row>
    <row r="26" spans="1:13" hidden="1" x14ac:dyDescent="0.2">
      <c r="A26" s="36" t="s">
        <v>55</v>
      </c>
      <c r="B26" s="31" t="s">
        <v>75</v>
      </c>
      <c r="C26" s="31" t="s">
        <v>64</v>
      </c>
      <c r="D26" s="31"/>
      <c r="E26" s="31" t="s">
        <v>65</v>
      </c>
      <c r="F26" s="31">
        <v>10</v>
      </c>
      <c r="G26" s="31">
        <v>0</v>
      </c>
      <c r="H26" s="31">
        <f t="shared" si="0"/>
        <v>-10</v>
      </c>
      <c r="I26" s="31">
        <v>0</v>
      </c>
      <c r="J26" s="31">
        <f t="shared" si="1"/>
        <v>0</v>
      </c>
      <c r="K26" s="31" t="s">
        <v>62</v>
      </c>
      <c r="L26" s="31" t="s">
        <v>2753</v>
      </c>
      <c r="M26" s="32" t="str">
        <f>VLOOKUP(Zdroj!$I26,Střediska!$A$1:$B$41,2,FALSE)</f>
        <v>Neurčeno</v>
      </c>
    </row>
    <row r="27" spans="1:13" hidden="1" x14ac:dyDescent="0.2">
      <c r="A27" s="33" t="s">
        <v>20</v>
      </c>
      <c r="B27" s="34" t="s">
        <v>76</v>
      </c>
      <c r="C27" s="34" t="s">
        <v>64</v>
      </c>
      <c r="D27" s="34"/>
      <c r="E27" s="34" t="s">
        <v>65</v>
      </c>
      <c r="F27" s="34">
        <v>10</v>
      </c>
      <c r="G27" s="34">
        <v>0</v>
      </c>
      <c r="H27" s="34">
        <f t="shared" si="0"/>
        <v>-10</v>
      </c>
      <c r="I27" s="34">
        <v>0</v>
      </c>
      <c r="J27" s="34">
        <f t="shared" si="1"/>
        <v>0</v>
      </c>
      <c r="K27" s="34" t="s">
        <v>62</v>
      </c>
      <c r="L27" s="34" t="s">
        <v>2753</v>
      </c>
      <c r="M27" s="35" t="str">
        <f>VLOOKUP(Zdroj!$I27,Střediska!$A$1:$B$41,2,FALSE)</f>
        <v>Neurčeno</v>
      </c>
    </row>
    <row r="28" spans="1:13" hidden="1" x14ac:dyDescent="0.2">
      <c r="A28" s="36" t="s">
        <v>20</v>
      </c>
      <c r="B28" s="31" t="s">
        <v>79</v>
      </c>
      <c r="C28" s="31" t="s">
        <v>19</v>
      </c>
      <c r="D28" s="31"/>
      <c r="E28" s="31" t="s">
        <v>80</v>
      </c>
      <c r="F28" s="31">
        <v>-33291</v>
      </c>
      <c r="G28" s="31">
        <v>0</v>
      </c>
      <c r="H28" s="31">
        <f t="shared" si="0"/>
        <v>33291</v>
      </c>
      <c r="I28" s="31">
        <v>0</v>
      </c>
      <c r="J28" s="31">
        <f t="shared" si="1"/>
        <v>0</v>
      </c>
      <c r="K28" s="31" t="s">
        <v>78</v>
      </c>
      <c r="L28" s="31" t="s">
        <v>2753</v>
      </c>
      <c r="M28" s="32" t="str">
        <f>VLOOKUP(Zdroj!$I28,Střediska!$A$1:$B$41,2,FALSE)</f>
        <v>Neurčeno</v>
      </c>
    </row>
    <row r="29" spans="1:13" hidden="1" x14ac:dyDescent="0.2">
      <c r="A29" s="33" t="s">
        <v>107</v>
      </c>
      <c r="B29" s="34" t="s">
        <v>104</v>
      </c>
      <c r="C29" s="34" t="s">
        <v>106</v>
      </c>
      <c r="D29" s="34" t="s">
        <v>105</v>
      </c>
      <c r="E29" s="34" t="s">
        <v>108</v>
      </c>
      <c r="F29" s="34">
        <v>9387</v>
      </c>
      <c r="G29" s="34">
        <v>0</v>
      </c>
      <c r="H29" s="34">
        <f t="shared" si="0"/>
        <v>-9387</v>
      </c>
      <c r="I29" s="34">
        <v>1011</v>
      </c>
      <c r="J29" s="34">
        <f t="shared" si="1"/>
        <v>1</v>
      </c>
      <c r="K29" s="34" t="s">
        <v>103</v>
      </c>
      <c r="L29" s="34" t="str">
        <f>I29 &amp; "-" &amp;VLOOKUP(I29,Střediska!$A$1:$B$40,2,FALSE)</f>
        <v>1011-Muži A</v>
      </c>
      <c r="M29" s="35" t="str">
        <f>VLOOKUP(Zdroj!$I29,Střediska!$A$1:$B$41,2,FALSE)</f>
        <v>Muži A</v>
      </c>
    </row>
    <row r="30" spans="1:13" hidden="1" x14ac:dyDescent="0.2">
      <c r="A30" s="36" t="s">
        <v>25</v>
      </c>
      <c r="B30" s="31" t="s">
        <v>111</v>
      </c>
      <c r="C30" s="31" t="s">
        <v>106</v>
      </c>
      <c r="D30" s="31" t="s">
        <v>112</v>
      </c>
      <c r="E30" s="31" t="s">
        <v>113</v>
      </c>
      <c r="F30" s="31">
        <v>13000</v>
      </c>
      <c r="G30" s="31">
        <v>0</v>
      </c>
      <c r="H30" s="31">
        <f t="shared" si="0"/>
        <v>-13000</v>
      </c>
      <c r="I30" s="31">
        <v>1011</v>
      </c>
      <c r="J30" s="31">
        <f t="shared" si="1"/>
        <v>1</v>
      </c>
      <c r="K30" s="31" t="s">
        <v>110</v>
      </c>
      <c r="L30" s="31" t="str">
        <f>I30 &amp; "-" &amp;VLOOKUP(I30,Střediska!$A$1:$B$40,2,FALSE)</f>
        <v>1011-Muži A</v>
      </c>
      <c r="M30" s="32" t="str">
        <f>VLOOKUP(Zdroj!$I30,Střediska!$A$1:$B$41,2,FALSE)</f>
        <v>Muži A</v>
      </c>
    </row>
    <row r="31" spans="1:13" hidden="1" x14ac:dyDescent="0.2">
      <c r="A31" s="33" t="s">
        <v>28</v>
      </c>
      <c r="B31" s="34" t="s">
        <v>114</v>
      </c>
      <c r="C31" s="34" t="s">
        <v>106</v>
      </c>
      <c r="D31" s="34" t="s">
        <v>112</v>
      </c>
      <c r="E31" s="34" t="s">
        <v>115</v>
      </c>
      <c r="F31" s="34">
        <v>13000</v>
      </c>
      <c r="G31" s="34">
        <v>0</v>
      </c>
      <c r="H31" s="34">
        <f t="shared" si="0"/>
        <v>-13000</v>
      </c>
      <c r="I31" s="34">
        <v>1011</v>
      </c>
      <c r="J31" s="34">
        <f t="shared" si="1"/>
        <v>1</v>
      </c>
      <c r="K31" s="34" t="s">
        <v>110</v>
      </c>
      <c r="L31" s="34" t="str">
        <f>I31 &amp; "-" &amp;VLOOKUP(I31,Střediska!$A$1:$B$40,2,FALSE)</f>
        <v>1011-Muži A</v>
      </c>
      <c r="M31" s="35" t="str">
        <f>VLOOKUP(Zdroj!$I31,Střediska!$A$1:$B$41,2,FALSE)</f>
        <v>Muži A</v>
      </c>
    </row>
    <row r="32" spans="1:13" hidden="1" x14ac:dyDescent="0.2">
      <c r="A32" s="36" t="s">
        <v>118</v>
      </c>
      <c r="B32" s="31" t="s">
        <v>116</v>
      </c>
      <c r="C32" s="31" t="s">
        <v>106</v>
      </c>
      <c r="D32" s="31" t="s">
        <v>117</v>
      </c>
      <c r="E32" s="31" t="s">
        <v>119</v>
      </c>
      <c r="F32" s="31">
        <v>14560</v>
      </c>
      <c r="G32" s="31">
        <v>0</v>
      </c>
      <c r="H32" s="31">
        <f t="shared" si="0"/>
        <v>-14560</v>
      </c>
      <c r="I32" s="31">
        <v>1011</v>
      </c>
      <c r="J32" s="31">
        <f t="shared" si="1"/>
        <v>1</v>
      </c>
      <c r="K32" s="31" t="s">
        <v>110</v>
      </c>
      <c r="L32" s="31" t="str">
        <f>I32 &amp; "-" &amp;VLOOKUP(I32,Střediska!$A$1:$B$40,2,FALSE)</f>
        <v>1011-Muži A</v>
      </c>
      <c r="M32" s="32" t="str">
        <f>VLOOKUP(Zdroj!$I32,Střediska!$A$1:$B$41,2,FALSE)</f>
        <v>Muži A</v>
      </c>
    </row>
    <row r="33" spans="1:13" hidden="1" x14ac:dyDescent="0.2">
      <c r="A33" s="33" t="s">
        <v>31</v>
      </c>
      <c r="B33" s="34" t="s">
        <v>120</v>
      </c>
      <c r="C33" s="34" t="s">
        <v>106</v>
      </c>
      <c r="D33" s="34" t="s">
        <v>112</v>
      </c>
      <c r="E33" s="34" t="s">
        <v>121</v>
      </c>
      <c r="F33" s="34">
        <v>13000</v>
      </c>
      <c r="G33" s="34">
        <v>0</v>
      </c>
      <c r="H33" s="34">
        <f t="shared" si="0"/>
        <v>-13000</v>
      </c>
      <c r="I33" s="34">
        <v>1011</v>
      </c>
      <c r="J33" s="34">
        <f t="shared" si="1"/>
        <v>1</v>
      </c>
      <c r="K33" s="34" t="s">
        <v>110</v>
      </c>
      <c r="L33" s="34" t="str">
        <f>I33 &amp; "-" &amp;VLOOKUP(I33,Střediska!$A$1:$B$40,2,FALSE)</f>
        <v>1011-Muži A</v>
      </c>
      <c r="M33" s="35" t="str">
        <f>VLOOKUP(Zdroj!$I33,Střediska!$A$1:$B$41,2,FALSE)</f>
        <v>Muži A</v>
      </c>
    </row>
    <row r="34" spans="1:13" hidden="1" x14ac:dyDescent="0.2">
      <c r="A34" s="36" t="s">
        <v>34</v>
      </c>
      <c r="B34" s="31" t="s">
        <v>122</v>
      </c>
      <c r="C34" s="31" t="s">
        <v>106</v>
      </c>
      <c r="D34" s="31" t="s">
        <v>112</v>
      </c>
      <c r="E34" s="31" t="s">
        <v>123</v>
      </c>
      <c r="F34" s="31">
        <v>13000</v>
      </c>
      <c r="G34" s="31">
        <v>0</v>
      </c>
      <c r="H34" s="31">
        <f t="shared" si="0"/>
        <v>-13000</v>
      </c>
      <c r="I34" s="31">
        <v>1011</v>
      </c>
      <c r="J34" s="31">
        <f t="shared" si="1"/>
        <v>1</v>
      </c>
      <c r="K34" s="31" t="s">
        <v>110</v>
      </c>
      <c r="L34" s="31" t="str">
        <f>I34 &amp; "-" &amp;VLOOKUP(I34,Střediska!$A$1:$B$40,2,FALSE)</f>
        <v>1011-Muži A</v>
      </c>
      <c r="M34" s="32" t="str">
        <f>VLOOKUP(Zdroj!$I34,Střediska!$A$1:$B$41,2,FALSE)</f>
        <v>Muži A</v>
      </c>
    </row>
    <row r="35" spans="1:13" hidden="1" x14ac:dyDescent="0.2">
      <c r="A35" s="33" t="s">
        <v>37</v>
      </c>
      <c r="B35" s="34" t="s">
        <v>124</v>
      </c>
      <c r="C35" s="34" t="s">
        <v>106</v>
      </c>
      <c r="D35" s="34" t="s">
        <v>112</v>
      </c>
      <c r="E35" s="34" t="s">
        <v>125</v>
      </c>
      <c r="F35" s="34">
        <v>12000</v>
      </c>
      <c r="G35" s="34">
        <v>0</v>
      </c>
      <c r="H35" s="34">
        <f t="shared" si="0"/>
        <v>-12000</v>
      </c>
      <c r="I35" s="34">
        <v>1011</v>
      </c>
      <c r="J35" s="34">
        <f t="shared" si="1"/>
        <v>1</v>
      </c>
      <c r="K35" s="34" t="s">
        <v>110</v>
      </c>
      <c r="L35" s="34" t="str">
        <f>I35 &amp; "-" &amp;VLOOKUP(I35,Střediska!$A$1:$B$40,2,FALSE)</f>
        <v>1011-Muži A</v>
      </c>
      <c r="M35" s="35" t="str">
        <f>VLOOKUP(Zdroj!$I35,Střediska!$A$1:$B$41,2,FALSE)</f>
        <v>Muži A</v>
      </c>
    </row>
    <row r="36" spans="1:13" hidden="1" x14ac:dyDescent="0.2">
      <c r="A36" s="36" t="s">
        <v>40</v>
      </c>
      <c r="B36" s="31" t="s">
        <v>126</v>
      </c>
      <c r="C36" s="31" t="s">
        <v>106</v>
      </c>
      <c r="D36" s="31" t="s">
        <v>112</v>
      </c>
      <c r="E36" s="31" t="s">
        <v>127</v>
      </c>
      <c r="F36" s="31">
        <v>12000</v>
      </c>
      <c r="G36" s="31">
        <v>0</v>
      </c>
      <c r="H36" s="31">
        <f t="shared" si="0"/>
        <v>-12000</v>
      </c>
      <c r="I36" s="31">
        <v>1011</v>
      </c>
      <c r="J36" s="31">
        <f t="shared" si="1"/>
        <v>1</v>
      </c>
      <c r="K36" s="31" t="s">
        <v>110</v>
      </c>
      <c r="L36" s="31" t="str">
        <f>I36 &amp; "-" &amp;VLOOKUP(I36,Střediska!$A$1:$B$40,2,FALSE)</f>
        <v>1011-Muži A</v>
      </c>
      <c r="M36" s="32" t="str">
        <f>VLOOKUP(Zdroj!$I36,Střediska!$A$1:$B$41,2,FALSE)</f>
        <v>Muži A</v>
      </c>
    </row>
    <row r="37" spans="1:13" hidden="1" x14ac:dyDescent="0.2">
      <c r="A37" s="33" t="s">
        <v>129</v>
      </c>
      <c r="B37" s="34" t="s">
        <v>128</v>
      </c>
      <c r="C37" s="34" t="s">
        <v>106</v>
      </c>
      <c r="D37" s="34" t="s">
        <v>117</v>
      </c>
      <c r="E37" s="34" t="s">
        <v>119</v>
      </c>
      <c r="F37" s="34">
        <v>24680</v>
      </c>
      <c r="G37" s="34">
        <v>0</v>
      </c>
      <c r="H37" s="34">
        <f t="shared" si="0"/>
        <v>-24680</v>
      </c>
      <c r="I37" s="34">
        <v>1011</v>
      </c>
      <c r="J37" s="34">
        <f t="shared" si="1"/>
        <v>1</v>
      </c>
      <c r="K37" s="34" t="s">
        <v>110</v>
      </c>
      <c r="L37" s="34" t="str">
        <f>I37 &amp; "-" &amp;VLOOKUP(I37,Střediska!$A$1:$B$40,2,FALSE)</f>
        <v>1011-Muži A</v>
      </c>
      <c r="M37" s="35" t="str">
        <f>VLOOKUP(Zdroj!$I37,Střediska!$A$1:$B$41,2,FALSE)</f>
        <v>Muži A</v>
      </c>
    </row>
    <row r="38" spans="1:13" hidden="1" x14ac:dyDescent="0.2">
      <c r="A38" s="36" t="s">
        <v>43</v>
      </c>
      <c r="B38" s="31" t="s">
        <v>130</v>
      </c>
      <c r="C38" s="31" t="s">
        <v>106</v>
      </c>
      <c r="D38" s="31" t="s">
        <v>112</v>
      </c>
      <c r="E38" s="31" t="s">
        <v>131</v>
      </c>
      <c r="F38" s="31">
        <v>12000</v>
      </c>
      <c r="G38" s="31">
        <v>0</v>
      </c>
      <c r="H38" s="31">
        <f t="shared" si="0"/>
        <v>-12000</v>
      </c>
      <c r="I38" s="31">
        <v>1011</v>
      </c>
      <c r="J38" s="31">
        <f t="shared" si="1"/>
        <v>1</v>
      </c>
      <c r="K38" s="31" t="s">
        <v>110</v>
      </c>
      <c r="L38" s="31" t="str">
        <f>I38 &amp; "-" &amp;VLOOKUP(I38,Střediska!$A$1:$B$40,2,FALSE)</f>
        <v>1011-Muži A</v>
      </c>
      <c r="M38" s="32" t="str">
        <f>VLOOKUP(Zdroj!$I38,Střediska!$A$1:$B$41,2,FALSE)</f>
        <v>Muži A</v>
      </c>
    </row>
    <row r="39" spans="1:13" hidden="1" x14ac:dyDescent="0.2">
      <c r="A39" s="33" t="s">
        <v>46</v>
      </c>
      <c r="B39" s="34" t="s">
        <v>132</v>
      </c>
      <c r="C39" s="34" t="s">
        <v>106</v>
      </c>
      <c r="D39" s="34" t="s">
        <v>133</v>
      </c>
      <c r="E39" s="34" t="s">
        <v>134</v>
      </c>
      <c r="F39" s="34">
        <v>4000</v>
      </c>
      <c r="G39" s="34">
        <v>0</v>
      </c>
      <c r="H39" s="34">
        <f t="shared" si="0"/>
        <v>-4000</v>
      </c>
      <c r="I39" s="34">
        <v>1011</v>
      </c>
      <c r="J39" s="34">
        <f t="shared" si="1"/>
        <v>1</v>
      </c>
      <c r="K39" s="34" t="s">
        <v>110</v>
      </c>
      <c r="L39" s="34" t="str">
        <f>I39 &amp; "-" &amp;VLOOKUP(I39,Střediska!$A$1:$B$40,2,FALSE)</f>
        <v>1011-Muži A</v>
      </c>
      <c r="M39" s="35" t="str">
        <f>VLOOKUP(Zdroj!$I39,Střediska!$A$1:$B$41,2,FALSE)</f>
        <v>Muži A</v>
      </c>
    </row>
    <row r="40" spans="1:13" hidden="1" x14ac:dyDescent="0.2">
      <c r="A40" s="36" t="s">
        <v>46</v>
      </c>
      <c r="B40" s="31" t="s">
        <v>135</v>
      </c>
      <c r="C40" s="31" t="s">
        <v>106</v>
      </c>
      <c r="D40" s="31" t="s">
        <v>112</v>
      </c>
      <c r="E40" s="31" t="s">
        <v>136</v>
      </c>
      <c r="F40" s="31">
        <v>12000</v>
      </c>
      <c r="G40" s="31">
        <v>0</v>
      </c>
      <c r="H40" s="31">
        <f t="shared" si="0"/>
        <v>-12000</v>
      </c>
      <c r="I40" s="31">
        <v>1011</v>
      </c>
      <c r="J40" s="31">
        <f t="shared" si="1"/>
        <v>1</v>
      </c>
      <c r="K40" s="31" t="s">
        <v>110</v>
      </c>
      <c r="L40" s="31" t="str">
        <f>I40 &amp; "-" &amp;VLOOKUP(I40,Střediska!$A$1:$B$40,2,FALSE)</f>
        <v>1011-Muži A</v>
      </c>
      <c r="M40" s="32" t="str">
        <f>VLOOKUP(Zdroj!$I40,Střediska!$A$1:$B$41,2,FALSE)</f>
        <v>Muži A</v>
      </c>
    </row>
    <row r="41" spans="1:13" hidden="1" x14ac:dyDescent="0.2">
      <c r="A41" s="33" t="s">
        <v>49</v>
      </c>
      <c r="B41" s="34" t="s">
        <v>137</v>
      </c>
      <c r="C41" s="34" t="s">
        <v>106</v>
      </c>
      <c r="D41" s="34" t="s">
        <v>112</v>
      </c>
      <c r="E41" s="34" t="s">
        <v>138</v>
      </c>
      <c r="F41" s="34">
        <v>12000</v>
      </c>
      <c r="G41" s="34">
        <v>0</v>
      </c>
      <c r="H41" s="34">
        <f t="shared" si="0"/>
        <v>-12000</v>
      </c>
      <c r="I41" s="34">
        <v>1011</v>
      </c>
      <c r="J41" s="34">
        <f t="shared" si="1"/>
        <v>1</v>
      </c>
      <c r="K41" s="34" t="s">
        <v>110</v>
      </c>
      <c r="L41" s="34" t="str">
        <f>I41 &amp; "-" &amp;VLOOKUP(I41,Střediska!$A$1:$B$40,2,FALSE)</f>
        <v>1011-Muži A</v>
      </c>
      <c r="M41" s="35" t="str">
        <f>VLOOKUP(Zdroj!$I41,Střediska!$A$1:$B$41,2,FALSE)</f>
        <v>Muži A</v>
      </c>
    </row>
    <row r="42" spans="1:13" hidden="1" x14ac:dyDescent="0.2">
      <c r="A42" s="36" t="s">
        <v>52</v>
      </c>
      <c r="B42" s="31" t="s">
        <v>139</v>
      </c>
      <c r="C42" s="31" t="s">
        <v>106</v>
      </c>
      <c r="D42" s="31" t="s">
        <v>112</v>
      </c>
      <c r="E42" s="31" t="s">
        <v>140</v>
      </c>
      <c r="F42" s="31">
        <v>12000</v>
      </c>
      <c r="G42" s="31">
        <v>0</v>
      </c>
      <c r="H42" s="31">
        <f t="shared" si="0"/>
        <v>-12000</v>
      </c>
      <c r="I42" s="31">
        <v>1011</v>
      </c>
      <c r="J42" s="31">
        <f t="shared" si="1"/>
        <v>1</v>
      </c>
      <c r="K42" s="31" t="s">
        <v>110</v>
      </c>
      <c r="L42" s="31" t="str">
        <f>I42 &amp; "-" &amp;VLOOKUP(I42,Střediska!$A$1:$B$40,2,FALSE)</f>
        <v>1011-Muži A</v>
      </c>
      <c r="M42" s="32" t="str">
        <f>VLOOKUP(Zdroj!$I42,Střediska!$A$1:$B$41,2,FALSE)</f>
        <v>Muži A</v>
      </c>
    </row>
    <row r="43" spans="1:13" hidden="1" x14ac:dyDescent="0.2">
      <c r="A43" s="33" t="s">
        <v>52</v>
      </c>
      <c r="B43" s="34" t="s">
        <v>141</v>
      </c>
      <c r="C43" s="34" t="s">
        <v>106</v>
      </c>
      <c r="D43" s="34" t="s">
        <v>117</v>
      </c>
      <c r="E43" s="34" t="s">
        <v>119</v>
      </c>
      <c r="F43" s="34">
        <v>32720</v>
      </c>
      <c r="G43" s="34">
        <v>0</v>
      </c>
      <c r="H43" s="34">
        <f t="shared" si="0"/>
        <v>-32720</v>
      </c>
      <c r="I43" s="34">
        <v>1011</v>
      </c>
      <c r="J43" s="34">
        <f t="shared" si="1"/>
        <v>1</v>
      </c>
      <c r="K43" s="34" t="s">
        <v>110</v>
      </c>
      <c r="L43" s="34" t="str">
        <f>I43 &amp; "-" &amp;VLOOKUP(I43,Střediska!$A$1:$B$40,2,FALSE)</f>
        <v>1011-Muži A</v>
      </c>
      <c r="M43" s="35" t="str">
        <f>VLOOKUP(Zdroj!$I43,Střediska!$A$1:$B$41,2,FALSE)</f>
        <v>Muži A</v>
      </c>
    </row>
    <row r="44" spans="1:13" hidden="1" x14ac:dyDescent="0.2">
      <c r="A44" s="36" t="s">
        <v>55</v>
      </c>
      <c r="B44" s="31" t="s">
        <v>142</v>
      </c>
      <c r="C44" s="31" t="s">
        <v>106</v>
      </c>
      <c r="D44" s="31" t="s">
        <v>112</v>
      </c>
      <c r="E44" s="31" t="s">
        <v>143</v>
      </c>
      <c r="F44" s="31">
        <v>12000</v>
      </c>
      <c r="G44" s="31">
        <v>0</v>
      </c>
      <c r="H44" s="31">
        <f t="shared" si="0"/>
        <v>-12000</v>
      </c>
      <c r="I44" s="31">
        <v>1011</v>
      </c>
      <c r="J44" s="31">
        <f t="shared" si="1"/>
        <v>1</v>
      </c>
      <c r="K44" s="31" t="s">
        <v>110</v>
      </c>
      <c r="L44" s="31" t="str">
        <f>I44 &amp; "-" &amp;VLOOKUP(I44,Střediska!$A$1:$B$40,2,FALSE)</f>
        <v>1011-Muži A</v>
      </c>
      <c r="M44" s="32" t="str">
        <f>VLOOKUP(Zdroj!$I44,Střediska!$A$1:$B$41,2,FALSE)</f>
        <v>Muži A</v>
      </c>
    </row>
    <row r="45" spans="1:13" hidden="1" x14ac:dyDescent="0.2">
      <c r="A45" s="33" t="s">
        <v>20</v>
      </c>
      <c r="B45" s="34" t="s">
        <v>144</v>
      </c>
      <c r="C45" s="34" t="s">
        <v>106</v>
      </c>
      <c r="D45" s="34" t="s">
        <v>112</v>
      </c>
      <c r="E45" s="34" t="s">
        <v>145</v>
      </c>
      <c r="F45" s="34">
        <v>12000</v>
      </c>
      <c r="G45" s="34">
        <v>0</v>
      </c>
      <c r="H45" s="34">
        <f t="shared" si="0"/>
        <v>-12000</v>
      </c>
      <c r="I45" s="34">
        <v>1011</v>
      </c>
      <c r="J45" s="34">
        <f t="shared" si="1"/>
        <v>1</v>
      </c>
      <c r="K45" s="34" t="s">
        <v>110</v>
      </c>
      <c r="L45" s="34" t="str">
        <f>I45 &amp; "-" &amp;VLOOKUP(I45,Střediska!$A$1:$B$40,2,FALSE)</f>
        <v>1011-Muži A</v>
      </c>
      <c r="M45" s="35" t="str">
        <f>VLOOKUP(Zdroj!$I45,Střediska!$A$1:$B$41,2,FALSE)</f>
        <v>Muži A</v>
      </c>
    </row>
    <row r="46" spans="1:13" hidden="1" x14ac:dyDescent="0.2">
      <c r="A46" s="36" t="s">
        <v>20</v>
      </c>
      <c r="B46" s="31" t="s">
        <v>146</v>
      </c>
      <c r="C46" s="31" t="s">
        <v>106</v>
      </c>
      <c r="D46" s="31" t="s">
        <v>117</v>
      </c>
      <c r="E46" s="31" t="s">
        <v>119</v>
      </c>
      <c r="F46" s="31">
        <v>26050</v>
      </c>
      <c r="G46" s="31">
        <v>0</v>
      </c>
      <c r="H46" s="31">
        <f t="shared" si="0"/>
        <v>-26050</v>
      </c>
      <c r="I46" s="31">
        <v>1011</v>
      </c>
      <c r="J46" s="31">
        <f t="shared" si="1"/>
        <v>1</v>
      </c>
      <c r="K46" s="31" t="s">
        <v>110</v>
      </c>
      <c r="L46" s="31" t="str">
        <f>I46 &amp; "-" &amp;VLOOKUP(I46,Střediska!$A$1:$B$40,2,FALSE)</f>
        <v>1011-Muži A</v>
      </c>
      <c r="M46" s="32" t="str">
        <f>VLOOKUP(Zdroj!$I46,Střediska!$A$1:$B$41,2,FALSE)</f>
        <v>Muži A</v>
      </c>
    </row>
    <row r="47" spans="1:13" hidden="1" x14ac:dyDescent="0.2">
      <c r="A47" s="33" t="s">
        <v>151</v>
      </c>
      <c r="B47" s="34" t="s">
        <v>149</v>
      </c>
      <c r="C47" s="34" t="s">
        <v>106</v>
      </c>
      <c r="D47" s="34" t="s">
        <v>150</v>
      </c>
      <c r="E47" s="34" t="s">
        <v>152</v>
      </c>
      <c r="F47" s="34">
        <v>16000</v>
      </c>
      <c r="G47" s="34">
        <v>0</v>
      </c>
      <c r="H47" s="34">
        <f t="shared" si="0"/>
        <v>-16000</v>
      </c>
      <c r="I47" s="34">
        <v>1011</v>
      </c>
      <c r="J47" s="34">
        <f t="shared" si="1"/>
        <v>1</v>
      </c>
      <c r="K47" s="34" t="s">
        <v>148</v>
      </c>
      <c r="L47" s="34" t="str">
        <f>I47 &amp; "-" &amp;VLOOKUP(I47,Střediska!$A$1:$B$40,2,FALSE)</f>
        <v>1011-Muži A</v>
      </c>
      <c r="M47" s="35" t="str">
        <f>VLOOKUP(Zdroj!$I47,Střediska!$A$1:$B$41,2,FALSE)</f>
        <v>Muži A</v>
      </c>
    </row>
    <row r="48" spans="1:13" hidden="1" x14ac:dyDescent="0.2">
      <c r="A48" s="36" t="s">
        <v>20</v>
      </c>
      <c r="B48" s="31" t="s">
        <v>18</v>
      </c>
      <c r="C48" s="31" t="s">
        <v>19</v>
      </c>
      <c r="D48" s="31"/>
      <c r="E48" s="31" t="s">
        <v>21</v>
      </c>
      <c r="F48" s="31">
        <v>135991.67000000001</v>
      </c>
      <c r="G48" s="31">
        <v>0</v>
      </c>
      <c r="H48" s="31">
        <f t="shared" si="0"/>
        <v>-135991.67000000001</v>
      </c>
      <c r="I48" s="31">
        <v>1011</v>
      </c>
      <c r="J48" s="31">
        <f t="shared" si="1"/>
        <v>1</v>
      </c>
      <c r="K48" s="31" t="s">
        <v>17</v>
      </c>
      <c r="L48" s="31" t="str">
        <f>I48 &amp; "-" &amp;VLOOKUP(I48,Střediska!$A$1:$B$40,2,FALSE)</f>
        <v>1011-Muži A</v>
      </c>
      <c r="M48" s="32" t="str">
        <f>VLOOKUP(Zdroj!$I48,Střediska!$A$1:$B$41,2,FALSE)</f>
        <v>Muži A</v>
      </c>
    </row>
    <row r="49" spans="1:13" hidden="1" x14ac:dyDescent="0.2">
      <c r="A49" s="33" t="s">
        <v>157</v>
      </c>
      <c r="B49" s="34" t="s">
        <v>155</v>
      </c>
      <c r="C49" s="34" t="s">
        <v>106</v>
      </c>
      <c r="D49" s="34" t="s">
        <v>156</v>
      </c>
      <c r="E49" s="34" t="s">
        <v>158</v>
      </c>
      <c r="F49" s="34">
        <v>-1600</v>
      </c>
      <c r="G49" s="34">
        <v>0</v>
      </c>
      <c r="H49" s="34">
        <f t="shared" si="0"/>
        <v>1600</v>
      </c>
      <c r="I49" s="34">
        <v>1011</v>
      </c>
      <c r="J49" s="34">
        <f t="shared" si="1"/>
        <v>1</v>
      </c>
      <c r="K49" s="34" t="s">
        <v>154</v>
      </c>
      <c r="L49" s="34" t="str">
        <f>I49 &amp; "-" &amp;VLOOKUP(I49,Střediska!$A$1:$B$40,2,FALSE)</f>
        <v>1011-Muži A</v>
      </c>
      <c r="M49" s="35" t="str">
        <f>VLOOKUP(Zdroj!$I49,Střediska!$A$1:$B$41,2,FALSE)</f>
        <v>Muži A</v>
      </c>
    </row>
    <row r="50" spans="1:13" hidden="1" x14ac:dyDescent="0.2">
      <c r="A50" s="36" t="s">
        <v>160</v>
      </c>
      <c r="B50" s="31" t="s">
        <v>159</v>
      </c>
      <c r="C50" s="31" t="s">
        <v>106</v>
      </c>
      <c r="D50" s="31" t="s">
        <v>156</v>
      </c>
      <c r="E50" s="31" t="s">
        <v>158</v>
      </c>
      <c r="F50" s="31">
        <v>36020</v>
      </c>
      <c r="G50" s="31">
        <v>0</v>
      </c>
      <c r="H50" s="31">
        <f t="shared" si="0"/>
        <v>-36020</v>
      </c>
      <c r="I50" s="31">
        <v>1011</v>
      </c>
      <c r="J50" s="31">
        <f t="shared" si="1"/>
        <v>1</v>
      </c>
      <c r="K50" s="31" t="s">
        <v>154</v>
      </c>
      <c r="L50" s="31" t="str">
        <f>I50 &amp; "-" &amp;VLOOKUP(I50,Střediska!$A$1:$B$40,2,FALSE)</f>
        <v>1011-Muži A</v>
      </c>
      <c r="M50" s="32" t="str">
        <f>VLOOKUP(Zdroj!$I50,Střediska!$A$1:$B$41,2,FALSE)</f>
        <v>Muži A</v>
      </c>
    </row>
    <row r="51" spans="1:13" hidden="1" x14ac:dyDescent="0.2">
      <c r="A51" s="33" t="s">
        <v>165</v>
      </c>
      <c r="B51" s="34" t="s">
        <v>163</v>
      </c>
      <c r="C51" s="34" t="s">
        <v>106</v>
      </c>
      <c r="D51" s="34" t="s">
        <v>164</v>
      </c>
      <c r="E51" s="34" t="s">
        <v>166</v>
      </c>
      <c r="F51" s="34">
        <v>12000</v>
      </c>
      <c r="G51" s="34">
        <v>0</v>
      </c>
      <c r="H51" s="34">
        <f t="shared" si="0"/>
        <v>-12000</v>
      </c>
      <c r="I51" s="34">
        <v>1011</v>
      </c>
      <c r="J51" s="34">
        <f t="shared" si="1"/>
        <v>1</v>
      </c>
      <c r="K51" s="34" t="s">
        <v>162</v>
      </c>
      <c r="L51" s="34" t="str">
        <f>I51 &amp; "-" &amp;VLOOKUP(I51,Střediska!$A$1:$B$40,2,FALSE)</f>
        <v>1011-Muži A</v>
      </c>
      <c r="M51" s="35" t="str">
        <f>VLOOKUP(Zdroj!$I51,Střediska!$A$1:$B$41,2,FALSE)</f>
        <v>Muži A</v>
      </c>
    </row>
    <row r="52" spans="1:13" hidden="1" x14ac:dyDescent="0.2">
      <c r="A52" s="36" t="s">
        <v>169</v>
      </c>
      <c r="B52" s="31" t="s">
        <v>167</v>
      </c>
      <c r="C52" s="31" t="s">
        <v>106</v>
      </c>
      <c r="D52" s="31" t="s">
        <v>168</v>
      </c>
      <c r="E52" s="31" t="s">
        <v>170</v>
      </c>
      <c r="F52" s="31">
        <v>10000</v>
      </c>
      <c r="G52" s="31">
        <v>0</v>
      </c>
      <c r="H52" s="31">
        <f t="shared" si="0"/>
        <v>-10000</v>
      </c>
      <c r="I52" s="31">
        <v>1011</v>
      </c>
      <c r="J52" s="31">
        <f t="shared" si="1"/>
        <v>1</v>
      </c>
      <c r="K52" s="31" t="s">
        <v>162</v>
      </c>
      <c r="L52" s="31" t="str">
        <f>I52 &amp; "-" &amp;VLOOKUP(I52,Střediska!$A$1:$B$40,2,FALSE)</f>
        <v>1011-Muži A</v>
      </c>
      <c r="M52" s="32" t="str">
        <f>VLOOKUP(Zdroj!$I52,Střediska!$A$1:$B$41,2,FALSE)</f>
        <v>Muži A</v>
      </c>
    </row>
    <row r="53" spans="1:13" hidden="1" x14ac:dyDescent="0.2">
      <c r="A53" s="33" t="s">
        <v>46</v>
      </c>
      <c r="B53" s="34" t="s">
        <v>171</v>
      </c>
      <c r="C53" s="34" t="s">
        <v>106</v>
      </c>
      <c r="D53" s="34" t="s">
        <v>172</v>
      </c>
      <c r="E53" s="34" t="s">
        <v>173</v>
      </c>
      <c r="F53" s="34">
        <v>10000</v>
      </c>
      <c r="G53" s="34">
        <v>0</v>
      </c>
      <c r="H53" s="34">
        <f t="shared" si="0"/>
        <v>-10000</v>
      </c>
      <c r="I53" s="34">
        <v>1011</v>
      </c>
      <c r="J53" s="34">
        <f t="shared" si="1"/>
        <v>1</v>
      </c>
      <c r="K53" s="34" t="s">
        <v>162</v>
      </c>
      <c r="L53" s="34" t="str">
        <f>I53 &amp; "-" &amp;VLOOKUP(I53,Střediska!$A$1:$B$40,2,FALSE)</f>
        <v>1011-Muži A</v>
      </c>
      <c r="M53" s="35" t="str">
        <f>VLOOKUP(Zdroj!$I53,Střediska!$A$1:$B$41,2,FALSE)</f>
        <v>Muži A</v>
      </c>
    </row>
    <row r="54" spans="1:13" hidden="1" x14ac:dyDescent="0.2">
      <c r="A54" s="36" t="s">
        <v>176</v>
      </c>
      <c r="B54" s="31" t="s">
        <v>174</v>
      </c>
      <c r="C54" s="31" t="s">
        <v>106</v>
      </c>
      <c r="D54" s="31" t="s">
        <v>175</v>
      </c>
      <c r="E54" s="31" t="s">
        <v>177</v>
      </c>
      <c r="F54" s="31">
        <v>5000</v>
      </c>
      <c r="G54" s="31">
        <v>0</v>
      </c>
      <c r="H54" s="31">
        <f t="shared" si="0"/>
        <v>-5000</v>
      </c>
      <c r="I54" s="31">
        <v>1011</v>
      </c>
      <c r="J54" s="31">
        <f t="shared" si="1"/>
        <v>1</v>
      </c>
      <c r="K54" s="31" t="s">
        <v>162</v>
      </c>
      <c r="L54" s="31" t="str">
        <f>I54 &amp; "-" &amp;VLOOKUP(I54,Střediska!$A$1:$B$40,2,FALSE)</f>
        <v>1011-Muži A</v>
      </c>
      <c r="M54" s="32" t="str">
        <f>VLOOKUP(Zdroj!$I54,Střediska!$A$1:$B$41,2,FALSE)</f>
        <v>Muži A</v>
      </c>
    </row>
    <row r="55" spans="1:13" hidden="1" x14ac:dyDescent="0.2">
      <c r="A55" s="33" t="s">
        <v>181</v>
      </c>
      <c r="B55" s="34" t="s">
        <v>180</v>
      </c>
      <c r="C55" s="34" t="s">
        <v>19</v>
      </c>
      <c r="D55" s="34"/>
      <c r="E55" s="34" t="s">
        <v>182</v>
      </c>
      <c r="F55" s="34">
        <v>1770</v>
      </c>
      <c r="G55" s="34">
        <v>0</v>
      </c>
      <c r="H55" s="34">
        <f t="shared" si="0"/>
        <v>-1770</v>
      </c>
      <c r="I55" s="34">
        <v>1011</v>
      </c>
      <c r="J55" s="34">
        <f t="shared" si="1"/>
        <v>1</v>
      </c>
      <c r="K55" s="34" t="s">
        <v>179</v>
      </c>
      <c r="L55" s="34" t="str">
        <f>I55 &amp; "-" &amp;VLOOKUP(I55,Střediska!$A$1:$B$40,2,FALSE)</f>
        <v>1011-Muži A</v>
      </c>
      <c r="M55" s="35" t="str">
        <f>VLOOKUP(Zdroj!$I55,Střediska!$A$1:$B$41,2,FALSE)</f>
        <v>Muži A</v>
      </c>
    </row>
    <row r="56" spans="1:13" hidden="1" x14ac:dyDescent="0.2">
      <c r="A56" s="36" t="s">
        <v>184</v>
      </c>
      <c r="B56" s="31" t="s">
        <v>183</v>
      </c>
      <c r="C56" s="31" t="s">
        <v>19</v>
      </c>
      <c r="D56" s="31"/>
      <c r="E56" s="31" t="s">
        <v>182</v>
      </c>
      <c r="F56" s="31">
        <v>1635</v>
      </c>
      <c r="G56" s="31">
        <v>0</v>
      </c>
      <c r="H56" s="31">
        <f t="shared" si="0"/>
        <v>-1635</v>
      </c>
      <c r="I56" s="31">
        <v>1011</v>
      </c>
      <c r="J56" s="31">
        <f t="shared" si="1"/>
        <v>1</v>
      </c>
      <c r="K56" s="31" t="s">
        <v>179</v>
      </c>
      <c r="L56" s="31" t="str">
        <f>I56 &amp; "-" &amp;VLOOKUP(I56,Střediska!$A$1:$B$40,2,FALSE)</f>
        <v>1011-Muži A</v>
      </c>
      <c r="M56" s="32" t="str">
        <f>VLOOKUP(Zdroj!$I56,Střediska!$A$1:$B$41,2,FALSE)</f>
        <v>Muži A</v>
      </c>
    </row>
    <row r="57" spans="1:13" hidden="1" x14ac:dyDescent="0.2">
      <c r="A57" s="33" t="s">
        <v>186</v>
      </c>
      <c r="B57" s="34" t="s">
        <v>185</v>
      </c>
      <c r="C57" s="34" t="s">
        <v>19</v>
      </c>
      <c r="D57" s="34"/>
      <c r="E57" s="34" t="s">
        <v>182</v>
      </c>
      <c r="F57" s="34">
        <v>1870</v>
      </c>
      <c r="G57" s="34">
        <v>0</v>
      </c>
      <c r="H57" s="34">
        <f t="shared" si="0"/>
        <v>-1870</v>
      </c>
      <c r="I57" s="34">
        <v>1011</v>
      </c>
      <c r="J57" s="34">
        <f t="shared" si="1"/>
        <v>1</v>
      </c>
      <c r="K57" s="34" t="s">
        <v>179</v>
      </c>
      <c r="L57" s="34" t="str">
        <f>I57 &amp; "-" &amp;VLOOKUP(I57,Střediska!$A$1:$B$40,2,FALSE)</f>
        <v>1011-Muži A</v>
      </c>
      <c r="M57" s="35" t="str">
        <f>VLOOKUP(Zdroj!$I57,Střediska!$A$1:$B$41,2,FALSE)</f>
        <v>Muži A</v>
      </c>
    </row>
    <row r="58" spans="1:13" hidden="1" x14ac:dyDescent="0.2">
      <c r="A58" s="36" t="s">
        <v>188</v>
      </c>
      <c r="B58" s="31" t="s">
        <v>187</v>
      </c>
      <c r="C58" s="31" t="s">
        <v>19</v>
      </c>
      <c r="D58" s="31"/>
      <c r="E58" s="31" t="s">
        <v>182</v>
      </c>
      <c r="F58" s="31">
        <v>1870</v>
      </c>
      <c r="G58" s="31">
        <v>0</v>
      </c>
      <c r="H58" s="31">
        <f t="shared" si="0"/>
        <v>-1870</v>
      </c>
      <c r="I58" s="31">
        <v>1011</v>
      </c>
      <c r="J58" s="31">
        <f t="shared" si="1"/>
        <v>1</v>
      </c>
      <c r="K58" s="31" t="s">
        <v>179</v>
      </c>
      <c r="L58" s="31" t="str">
        <f>I58 &amp; "-" &amp;VLOOKUP(I58,Střediska!$A$1:$B$40,2,FALSE)</f>
        <v>1011-Muži A</v>
      </c>
      <c r="M58" s="32" t="str">
        <f>VLOOKUP(Zdroj!$I58,Střediska!$A$1:$B$41,2,FALSE)</f>
        <v>Muži A</v>
      </c>
    </row>
    <row r="59" spans="1:13" hidden="1" x14ac:dyDescent="0.2">
      <c r="A59" s="33" t="s">
        <v>190</v>
      </c>
      <c r="B59" s="34" t="s">
        <v>189</v>
      </c>
      <c r="C59" s="34" t="s">
        <v>19</v>
      </c>
      <c r="D59" s="34"/>
      <c r="E59" s="34" t="s">
        <v>191</v>
      </c>
      <c r="F59" s="34">
        <v>10790</v>
      </c>
      <c r="G59" s="34">
        <v>0</v>
      </c>
      <c r="H59" s="34">
        <f t="shared" si="0"/>
        <v>-10790</v>
      </c>
      <c r="I59" s="34">
        <v>1011</v>
      </c>
      <c r="J59" s="34">
        <f t="shared" si="1"/>
        <v>1</v>
      </c>
      <c r="K59" s="34" t="s">
        <v>179</v>
      </c>
      <c r="L59" s="34" t="str">
        <f>I59 &amp; "-" &amp;VLOOKUP(I59,Střediska!$A$1:$B$40,2,FALSE)</f>
        <v>1011-Muži A</v>
      </c>
      <c r="M59" s="35" t="str">
        <f>VLOOKUP(Zdroj!$I59,Střediska!$A$1:$B$41,2,FALSE)</f>
        <v>Muži A</v>
      </c>
    </row>
    <row r="60" spans="1:13" hidden="1" x14ac:dyDescent="0.2">
      <c r="A60" s="36" t="s">
        <v>193</v>
      </c>
      <c r="B60" s="31" t="s">
        <v>192</v>
      </c>
      <c r="C60" s="31" t="s">
        <v>19</v>
      </c>
      <c r="D60" s="31"/>
      <c r="E60" s="31" t="s">
        <v>194</v>
      </c>
      <c r="F60" s="31">
        <v>1770</v>
      </c>
      <c r="G60" s="31">
        <v>0</v>
      </c>
      <c r="H60" s="31">
        <f t="shared" si="0"/>
        <v>-1770</v>
      </c>
      <c r="I60" s="31">
        <v>1011</v>
      </c>
      <c r="J60" s="31">
        <f t="shared" si="1"/>
        <v>1</v>
      </c>
      <c r="K60" s="31" t="s">
        <v>179</v>
      </c>
      <c r="L60" s="31" t="str">
        <f>I60 &amp; "-" &amp;VLOOKUP(I60,Střediska!$A$1:$B$40,2,FALSE)</f>
        <v>1011-Muži A</v>
      </c>
      <c r="M60" s="32" t="str">
        <f>VLOOKUP(Zdroj!$I60,Střediska!$A$1:$B$41,2,FALSE)</f>
        <v>Muži A</v>
      </c>
    </row>
    <row r="61" spans="1:13" hidden="1" x14ac:dyDescent="0.2">
      <c r="A61" s="33" t="s">
        <v>196</v>
      </c>
      <c r="B61" s="34" t="s">
        <v>195</v>
      </c>
      <c r="C61" s="34" t="s">
        <v>19</v>
      </c>
      <c r="D61" s="34"/>
      <c r="E61" s="34" t="s">
        <v>197</v>
      </c>
      <c r="F61" s="34">
        <v>1500</v>
      </c>
      <c r="G61" s="34">
        <v>0</v>
      </c>
      <c r="H61" s="34">
        <f t="shared" si="0"/>
        <v>-1500</v>
      </c>
      <c r="I61" s="34">
        <v>1011</v>
      </c>
      <c r="J61" s="34">
        <f t="shared" si="1"/>
        <v>1</v>
      </c>
      <c r="K61" s="34" t="s">
        <v>179</v>
      </c>
      <c r="L61" s="34" t="str">
        <f>I61 &amp; "-" &amp;VLOOKUP(I61,Střediska!$A$1:$B$40,2,FALSE)</f>
        <v>1011-Muži A</v>
      </c>
      <c r="M61" s="35" t="str">
        <f>VLOOKUP(Zdroj!$I61,Střediska!$A$1:$B$41,2,FALSE)</f>
        <v>Muži A</v>
      </c>
    </row>
    <row r="62" spans="1:13" hidden="1" x14ac:dyDescent="0.2">
      <c r="A62" s="36" t="s">
        <v>199</v>
      </c>
      <c r="B62" s="31" t="s">
        <v>198</v>
      </c>
      <c r="C62" s="31" t="s">
        <v>19</v>
      </c>
      <c r="D62" s="31"/>
      <c r="E62" s="31" t="s">
        <v>197</v>
      </c>
      <c r="F62" s="31">
        <v>1860</v>
      </c>
      <c r="G62" s="31">
        <v>0</v>
      </c>
      <c r="H62" s="31">
        <f t="shared" si="0"/>
        <v>-1860</v>
      </c>
      <c r="I62" s="31">
        <v>1011</v>
      </c>
      <c r="J62" s="31">
        <f t="shared" si="1"/>
        <v>1</v>
      </c>
      <c r="K62" s="31" t="s">
        <v>179</v>
      </c>
      <c r="L62" s="31" t="str">
        <f>I62 &amp; "-" &amp;VLOOKUP(I62,Střediska!$A$1:$B$40,2,FALSE)</f>
        <v>1011-Muži A</v>
      </c>
      <c r="M62" s="32" t="str">
        <f>VLOOKUP(Zdroj!$I62,Střediska!$A$1:$B$41,2,FALSE)</f>
        <v>Muži A</v>
      </c>
    </row>
    <row r="63" spans="1:13" hidden="1" x14ac:dyDescent="0.2">
      <c r="A63" s="33" t="s">
        <v>201</v>
      </c>
      <c r="B63" s="34" t="s">
        <v>200</v>
      </c>
      <c r="C63" s="34" t="s">
        <v>19</v>
      </c>
      <c r="D63" s="34"/>
      <c r="E63" s="34" t="s">
        <v>197</v>
      </c>
      <c r="F63" s="34">
        <v>1770</v>
      </c>
      <c r="G63" s="34">
        <v>0</v>
      </c>
      <c r="H63" s="34">
        <f t="shared" si="0"/>
        <v>-1770</v>
      </c>
      <c r="I63" s="34">
        <v>1011</v>
      </c>
      <c r="J63" s="34">
        <f t="shared" si="1"/>
        <v>1</v>
      </c>
      <c r="K63" s="34" t="s">
        <v>179</v>
      </c>
      <c r="L63" s="34" t="str">
        <f>I63 &amp; "-" &amp;VLOOKUP(I63,Střediska!$A$1:$B$40,2,FALSE)</f>
        <v>1011-Muži A</v>
      </c>
      <c r="M63" s="35" t="str">
        <f>VLOOKUP(Zdroj!$I63,Střediska!$A$1:$B$41,2,FALSE)</f>
        <v>Muži A</v>
      </c>
    </row>
    <row r="64" spans="1:13" hidden="1" x14ac:dyDescent="0.2">
      <c r="A64" s="36" t="s">
        <v>203</v>
      </c>
      <c r="B64" s="31" t="s">
        <v>202</v>
      </c>
      <c r="C64" s="31" t="s">
        <v>19</v>
      </c>
      <c r="D64" s="31"/>
      <c r="E64" s="31" t="s">
        <v>197</v>
      </c>
      <c r="F64" s="31">
        <v>1890</v>
      </c>
      <c r="G64" s="31">
        <v>0</v>
      </c>
      <c r="H64" s="31">
        <f t="shared" si="0"/>
        <v>-1890</v>
      </c>
      <c r="I64" s="31">
        <v>1011</v>
      </c>
      <c r="J64" s="31">
        <f t="shared" si="1"/>
        <v>1</v>
      </c>
      <c r="K64" s="31" t="s">
        <v>179</v>
      </c>
      <c r="L64" s="31" t="str">
        <f>I64 &amp; "-" &amp;VLOOKUP(I64,Střediska!$A$1:$B$40,2,FALSE)</f>
        <v>1011-Muži A</v>
      </c>
      <c r="M64" s="32" t="str">
        <f>VLOOKUP(Zdroj!$I64,Střediska!$A$1:$B$41,2,FALSE)</f>
        <v>Muži A</v>
      </c>
    </row>
    <row r="65" spans="1:13" hidden="1" x14ac:dyDescent="0.2">
      <c r="A65" s="33" t="s">
        <v>205</v>
      </c>
      <c r="B65" s="34" t="s">
        <v>204</v>
      </c>
      <c r="C65" s="34" t="s">
        <v>19</v>
      </c>
      <c r="D65" s="34"/>
      <c r="E65" s="34" t="s">
        <v>197</v>
      </c>
      <c r="F65" s="34">
        <v>1890</v>
      </c>
      <c r="G65" s="34">
        <v>0</v>
      </c>
      <c r="H65" s="34">
        <f t="shared" si="0"/>
        <v>-1890</v>
      </c>
      <c r="I65" s="34">
        <v>1011</v>
      </c>
      <c r="J65" s="34">
        <f t="shared" si="1"/>
        <v>1</v>
      </c>
      <c r="K65" s="34" t="s">
        <v>179</v>
      </c>
      <c r="L65" s="34" t="str">
        <f>I65 &amp; "-" &amp;VLOOKUP(I65,Střediska!$A$1:$B$40,2,FALSE)</f>
        <v>1011-Muži A</v>
      </c>
      <c r="M65" s="35" t="str">
        <f>VLOOKUP(Zdroj!$I65,Střediska!$A$1:$B$41,2,FALSE)</f>
        <v>Muži A</v>
      </c>
    </row>
    <row r="66" spans="1:13" hidden="1" x14ac:dyDescent="0.2">
      <c r="A66" s="36" t="s">
        <v>181</v>
      </c>
      <c r="B66" s="31" t="s">
        <v>208</v>
      </c>
      <c r="C66" s="31" t="s">
        <v>209</v>
      </c>
      <c r="D66" s="31"/>
      <c r="E66" s="31" t="s">
        <v>210</v>
      </c>
      <c r="F66" s="31">
        <v>1200</v>
      </c>
      <c r="G66" s="31">
        <v>0</v>
      </c>
      <c r="H66" s="31">
        <f t="shared" ref="H66:H129" si="2">-F66+G66</f>
        <v>-1200</v>
      </c>
      <c r="I66" s="31">
        <v>1011</v>
      </c>
      <c r="J66" s="31">
        <f t="shared" ref="J66:J129" si="3">VALUE(LEFT(I66,1))</f>
        <v>1</v>
      </c>
      <c r="K66" s="31" t="s">
        <v>207</v>
      </c>
      <c r="L66" s="31" t="str">
        <f>I66 &amp; "-" &amp;VLOOKUP(I66,Střediska!$A$1:$B$40,2,FALSE)</f>
        <v>1011-Muži A</v>
      </c>
      <c r="M66" s="32" t="str">
        <f>VLOOKUP(Zdroj!$I66,Střediska!$A$1:$B$41,2,FALSE)</f>
        <v>Muži A</v>
      </c>
    </row>
    <row r="67" spans="1:13" hidden="1" x14ac:dyDescent="0.2">
      <c r="A67" s="33" t="s">
        <v>184</v>
      </c>
      <c r="B67" s="34" t="s">
        <v>211</v>
      </c>
      <c r="C67" s="34" t="s">
        <v>209</v>
      </c>
      <c r="D67" s="34"/>
      <c r="E67" s="34" t="s">
        <v>210</v>
      </c>
      <c r="F67" s="34">
        <v>1200</v>
      </c>
      <c r="G67" s="34">
        <v>0</v>
      </c>
      <c r="H67" s="34">
        <f t="shared" si="2"/>
        <v>-1200</v>
      </c>
      <c r="I67" s="34">
        <v>1011</v>
      </c>
      <c r="J67" s="34">
        <f t="shared" si="3"/>
        <v>1</v>
      </c>
      <c r="K67" s="34" t="s">
        <v>207</v>
      </c>
      <c r="L67" s="34" t="str">
        <f>I67 &amp; "-" &amp;VLOOKUP(I67,Střediska!$A$1:$B$40,2,FALSE)</f>
        <v>1011-Muži A</v>
      </c>
      <c r="M67" s="35" t="str">
        <f>VLOOKUP(Zdroj!$I67,Střediska!$A$1:$B$41,2,FALSE)</f>
        <v>Muži A</v>
      </c>
    </row>
    <row r="68" spans="1:13" hidden="1" x14ac:dyDescent="0.2">
      <c r="A68" s="36" t="s">
        <v>214</v>
      </c>
      <c r="B68" s="31" t="s">
        <v>213</v>
      </c>
      <c r="C68" s="31" t="s">
        <v>209</v>
      </c>
      <c r="D68" s="31"/>
      <c r="E68" s="31" t="s">
        <v>210</v>
      </c>
      <c r="F68" s="31">
        <v>1200</v>
      </c>
      <c r="G68" s="31">
        <v>0</v>
      </c>
      <c r="H68" s="31">
        <f t="shared" si="2"/>
        <v>-1200</v>
      </c>
      <c r="I68" s="31">
        <v>1011</v>
      </c>
      <c r="J68" s="31">
        <f t="shared" si="3"/>
        <v>1</v>
      </c>
      <c r="K68" s="31" t="s">
        <v>207</v>
      </c>
      <c r="L68" s="31" t="str">
        <f>I68 &amp; "-" &amp;VLOOKUP(I68,Střediska!$A$1:$B$40,2,FALSE)</f>
        <v>1011-Muži A</v>
      </c>
      <c r="M68" s="32" t="str">
        <f>VLOOKUP(Zdroj!$I68,Střediska!$A$1:$B$41,2,FALSE)</f>
        <v>Muži A</v>
      </c>
    </row>
    <row r="69" spans="1:13" hidden="1" x14ac:dyDescent="0.2">
      <c r="A69" s="33" t="s">
        <v>186</v>
      </c>
      <c r="B69" s="34" t="s">
        <v>215</v>
      </c>
      <c r="C69" s="34" t="s">
        <v>209</v>
      </c>
      <c r="D69" s="34"/>
      <c r="E69" s="34" t="s">
        <v>210</v>
      </c>
      <c r="F69" s="34">
        <v>1200</v>
      </c>
      <c r="G69" s="34">
        <v>0</v>
      </c>
      <c r="H69" s="34">
        <f t="shared" si="2"/>
        <v>-1200</v>
      </c>
      <c r="I69" s="34">
        <v>1011</v>
      </c>
      <c r="J69" s="34">
        <f t="shared" si="3"/>
        <v>1</v>
      </c>
      <c r="K69" s="34" t="s">
        <v>207</v>
      </c>
      <c r="L69" s="34" t="str">
        <f>I69 &amp; "-" &amp;VLOOKUP(I69,Střediska!$A$1:$B$40,2,FALSE)</f>
        <v>1011-Muži A</v>
      </c>
      <c r="M69" s="35" t="str">
        <f>VLOOKUP(Zdroj!$I69,Střediska!$A$1:$B$41,2,FALSE)</f>
        <v>Muži A</v>
      </c>
    </row>
    <row r="70" spans="1:13" hidden="1" x14ac:dyDescent="0.2">
      <c r="A70" s="36" t="s">
        <v>188</v>
      </c>
      <c r="B70" s="31" t="s">
        <v>216</v>
      </c>
      <c r="C70" s="31" t="s">
        <v>209</v>
      </c>
      <c r="D70" s="31"/>
      <c r="E70" s="31" t="s">
        <v>210</v>
      </c>
      <c r="F70" s="31">
        <v>1200</v>
      </c>
      <c r="G70" s="31">
        <v>0</v>
      </c>
      <c r="H70" s="31">
        <f t="shared" si="2"/>
        <v>-1200</v>
      </c>
      <c r="I70" s="31">
        <v>1011</v>
      </c>
      <c r="J70" s="31">
        <f t="shared" si="3"/>
        <v>1</v>
      </c>
      <c r="K70" s="31" t="s">
        <v>207</v>
      </c>
      <c r="L70" s="31" t="str">
        <f>I70 &amp; "-" &amp;VLOOKUP(I70,Střediska!$A$1:$B$40,2,FALSE)</f>
        <v>1011-Muži A</v>
      </c>
      <c r="M70" s="32" t="str">
        <f>VLOOKUP(Zdroj!$I70,Střediska!$A$1:$B$41,2,FALSE)</f>
        <v>Muži A</v>
      </c>
    </row>
    <row r="71" spans="1:13" hidden="1" x14ac:dyDescent="0.2">
      <c r="A71" s="33" t="s">
        <v>218</v>
      </c>
      <c r="B71" s="34" t="s">
        <v>217</v>
      </c>
      <c r="C71" s="34" t="s">
        <v>209</v>
      </c>
      <c r="D71" s="34"/>
      <c r="E71" s="34" t="s">
        <v>210</v>
      </c>
      <c r="F71" s="34">
        <v>9000</v>
      </c>
      <c r="G71" s="34">
        <v>0</v>
      </c>
      <c r="H71" s="34">
        <f t="shared" si="2"/>
        <v>-9000</v>
      </c>
      <c r="I71" s="34">
        <v>1011</v>
      </c>
      <c r="J71" s="34">
        <f t="shared" si="3"/>
        <v>1</v>
      </c>
      <c r="K71" s="34" t="s">
        <v>207</v>
      </c>
      <c r="L71" s="34" t="str">
        <f>I71 &amp; "-" &amp;VLOOKUP(I71,Střediska!$A$1:$B$40,2,FALSE)</f>
        <v>1011-Muži A</v>
      </c>
      <c r="M71" s="35" t="str">
        <f>VLOOKUP(Zdroj!$I71,Střediska!$A$1:$B$41,2,FALSE)</f>
        <v>Muži A</v>
      </c>
    </row>
    <row r="72" spans="1:13" hidden="1" x14ac:dyDescent="0.2">
      <c r="A72" s="36" t="s">
        <v>220</v>
      </c>
      <c r="B72" s="31" t="s">
        <v>219</v>
      </c>
      <c r="C72" s="31" t="s">
        <v>209</v>
      </c>
      <c r="D72" s="31"/>
      <c r="E72" s="31" t="s">
        <v>210</v>
      </c>
      <c r="F72" s="31">
        <v>5250</v>
      </c>
      <c r="G72" s="31">
        <v>0</v>
      </c>
      <c r="H72" s="31">
        <f t="shared" si="2"/>
        <v>-5250</v>
      </c>
      <c r="I72" s="31">
        <v>1011</v>
      </c>
      <c r="J72" s="31">
        <f t="shared" si="3"/>
        <v>1</v>
      </c>
      <c r="K72" s="31" t="s">
        <v>207</v>
      </c>
      <c r="L72" s="31" t="str">
        <f>I72 &amp; "-" &amp;VLOOKUP(I72,Střediska!$A$1:$B$40,2,FALSE)</f>
        <v>1011-Muži A</v>
      </c>
      <c r="M72" s="32" t="str">
        <f>VLOOKUP(Zdroj!$I72,Střediska!$A$1:$B$41,2,FALSE)</f>
        <v>Muži A</v>
      </c>
    </row>
    <row r="73" spans="1:13" hidden="1" x14ac:dyDescent="0.2">
      <c r="A73" s="33" t="s">
        <v>196</v>
      </c>
      <c r="B73" s="34" t="s">
        <v>221</v>
      </c>
      <c r="C73" s="34" t="s">
        <v>209</v>
      </c>
      <c r="D73" s="34"/>
      <c r="E73" s="34" t="s">
        <v>210</v>
      </c>
      <c r="F73" s="34">
        <v>1200</v>
      </c>
      <c r="G73" s="34">
        <v>0</v>
      </c>
      <c r="H73" s="34">
        <f t="shared" si="2"/>
        <v>-1200</v>
      </c>
      <c r="I73" s="34">
        <v>1011</v>
      </c>
      <c r="J73" s="34">
        <f t="shared" si="3"/>
        <v>1</v>
      </c>
      <c r="K73" s="34" t="s">
        <v>207</v>
      </c>
      <c r="L73" s="34" t="str">
        <f>I73 &amp; "-" &amp;VLOOKUP(I73,Střediska!$A$1:$B$40,2,FALSE)</f>
        <v>1011-Muži A</v>
      </c>
      <c r="M73" s="35" t="str">
        <f>VLOOKUP(Zdroj!$I73,Střediska!$A$1:$B$41,2,FALSE)</f>
        <v>Muži A</v>
      </c>
    </row>
    <row r="74" spans="1:13" hidden="1" x14ac:dyDescent="0.2">
      <c r="A74" s="36" t="s">
        <v>201</v>
      </c>
      <c r="B74" s="31" t="s">
        <v>222</v>
      </c>
      <c r="C74" s="31" t="s">
        <v>209</v>
      </c>
      <c r="D74" s="31"/>
      <c r="E74" s="31" t="s">
        <v>210</v>
      </c>
      <c r="F74" s="31">
        <v>1200</v>
      </c>
      <c r="G74" s="31">
        <v>0</v>
      </c>
      <c r="H74" s="31">
        <f t="shared" si="2"/>
        <v>-1200</v>
      </c>
      <c r="I74" s="31">
        <v>1011</v>
      </c>
      <c r="J74" s="31">
        <f t="shared" si="3"/>
        <v>1</v>
      </c>
      <c r="K74" s="31" t="s">
        <v>207</v>
      </c>
      <c r="L74" s="31" t="str">
        <f>I74 &amp; "-" &amp;VLOOKUP(I74,Střediska!$A$1:$B$40,2,FALSE)</f>
        <v>1011-Muži A</v>
      </c>
      <c r="M74" s="32" t="str">
        <f>VLOOKUP(Zdroj!$I74,Střediska!$A$1:$B$41,2,FALSE)</f>
        <v>Muži A</v>
      </c>
    </row>
    <row r="75" spans="1:13" hidden="1" x14ac:dyDescent="0.2">
      <c r="A75" s="33" t="s">
        <v>203</v>
      </c>
      <c r="B75" s="34" t="s">
        <v>223</v>
      </c>
      <c r="C75" s="34" t="s">
        <v>209</v>
      </c>
      <c r="D75" s="34"/>
      <c r="E75" s="34" t="s">
        <v>210</v>
      </c>
      <c r="F75" s="34">
        <v>1200</v>
      </c>
      <c r="G75" s="34">
        <v>0</v>
      </c>
      <c r="H75" s="34">
        <f t="shared" si="2"/>
        <v>-1200</v>
      </c>
      <c r="I75" s="34">
        <v>1011</v>
      </c>
      <c r="J75" s="34">
        <f t="shared" si="3"/>
        <v>1</v>
      </c>
      <c r="K75" s="34" t="s">
        <v>207</v>
      </c>
      <c r="L75" s="34" t="str">
        <f>I75 &amp; "-" &amp;VLOOKUP(I75,Střediska!$A$1:$B$40,2,FALSE)</f>
        <v>1011-Muži A</v>
      </c>
      <c r="M75" s="35" t="str">
        <f>VLOOKUP(Zdroj!$I75,Střediska!$A$1:$B$41,2,FALSE)</f>
        <v>Muži A</v>
      </c>
    </row>
    <row r="76" spans="1:13" hidden="1" x14ac:dyDescent="0.2">
      <c r="A76" s="36" t="s">
        <v>205</v>
      </c>
      <c r="B76" s="31" t="s">
        <v>224</v>
      </c>
      <c r="C76" s="31" t="s">
        <v>209</v>
      </c>
      <c r="D76" s="31"/>
      <c r="E76" s="31" t="s">
        <v>210</v>
      </c>
      <c r="F76" s="31">
        <v>1200</v>
      </c>
      <c r="G76" s="31">
        <v>0</v>
      </c>
      <c r="H76" s="31">
        <f t="shared" si="2"/>
        <v>-1200</v>
      </c>
      <c r="I76" s="31">
        <v>1011</v>
      </c>
      <c r="J76" s="31">
        <f t="shared" si="3"/>
        <v>1</v>
      </c>
      <c r="K76" s="31" t="s">
        <v>207</v>
      </c>
      <c r="L76" s="31" t="str">
        <f>I76 &amp; "-" &amp;VLOOKUP(I76,Střediska!$A$1:$B$40,2,FALSE)</f>
        <v>1011-Muži A</v>
      </c>
      <c r="M76" s="32" t="str">
        <f>VLOOKUP(Zdroj!$I76,Střediska!$A$1:$B$41,2,FALSE)</f>
        <v>Muži A</v>
      </c>
    </row>
    <row r="77" spans="1:13" hidden="1" x14ac:dyDescent="0.2">
      <c r="A77" s="33" t="s">
        <v>160</v>
      </c>
      <c r="B77" s="34" t="s">
        <v>227</v>
      </c>
      <c r="C77" s="34" t="s">
        <v>87</v>
      </c>
      <c r="D77" s="34" t="s">
        <v>228</v>
      </c>
      <c r="E77" s="34" t="s">
        <v>229</v>
      </c>
      <c r="F77" s="34">
        <v>0</v>
      </c>
      <c r="G77" s="34">
        <v>2000</v>
      </c>
      <c r="H77" s="34">
        <f t="shared" si="2"/>
        <v>2000</v>
      </c>
      <c r="I77" s="34">
        <v>1011</v>
      </c>
      <c r="J77" s="34">
        <f t="shared" si="3"/>
        <v>1</v>
      </c>
      <c r="K77" s="34" t="s">
        <v>226</v>
      </c>
      <c r="L77" s="34" t="str">
        <f>I77 &amp; "-" &amp;VLOOKUP(I77,Střediska!$A$1:$B$40,2,FALSE)</f>
        <v>1011-Muži A</v>
      </c>
      <c r="M77" s="35" t="str">
        <f>VLOOKUP(Zdroj!$I77,Střediska!$A$1:$B$41,2,FALSE)</f>
        <v>Muži A</v>
      </c>
    </row>
    <row r="78" spans="1:13" hidden="1" x14ac:dyDescent="0.2">
      <c r="A78" s="36" t="s">
        <v>253</v>
      </c>
      <c r="B78" s="31" t="s">
        <v>251</v>
      </c>
      <c r="C78" s="31" t="s">
        <v>87</v>
      </c>
      <c r="D78" s="31" t="s">
        <v>252</v>
      </c>
      <c r="E78" s="31" t="s">
        <v>254</v>
      </c>
      <c r="F78" s="31">
        <v>0</v>
      </c>
      <c r="G78" s="31">
        <v>3000</v>
      </c>
      <c r="H78" s="31">
        <f t="shared" si="2"/>
        <v>3000</v>
      </c>
      <c r="I78" s="31">
        <v>1011</v>
      </c>
      <c r="J78" s="31">
        <f t="shared" si="3"/>
        <v>1</v>
      </c>
      <c r="K78" s="31" t="s">
        <v>226</v>
      </c>
      <c r="L78" s="31" t="str">
        <f>I78 &amp; "-" &amp;VLOOKUP(I78,Střediska!$A$1:$B$40,2,FALSE)</f>
        <v>1011-Muži A</v>
      </c>
      <c r="M78" s="32" t="str">
        <f>VLOOKUP(Zdroj!$I78,Střediska!$A$1:$B$41,2,FALSE)</f>
        <v>Muži A</v>
      </c>
    </row>
    <row r="79" spans="1:13" hidden="1" x14ac:dyDescent="0.2">
      <c r="A79" s="33" t="s">
        <v>232</v>
      </c>
      <c r="B79" s="34" t="s">
        <v>230</v>
      </c>
      <c r="C79" s="34" t="s">
        <v>87</v>
      </c>
      <c r="D79" s="34" t="s">
        <v>231</v>
      </c>
      <c r="E79" s="34" t="s">
        <v>233</v>
      </c>
      <c r="F79" s="34">
        <v>0</v>
      </c>
      <c r="G79" s="34">
        <v>3000</v>
      </c>
      <c r="H79" s="34">
        <f t="shared" si="2"/>
        <v>3000</v>
      </c>
      <c r="I79" s="34">
        <v>1011</v>
      </c>
      <c r="J79" s="34">
        <f t="shared" si="3"/>
        <v>1</v>
      </c>
      <c r="K79" s="34" t="s">
        <v>226</v>
      </c>
      <c r="L79" s="34" t="str">
        <f>I79 &amp; "-" &amp;VLOOKUP(I79,Střediska!$A$1:$B$40,2,FALSE)</f>
        <v>1011-Muži A</v>
      </c>
      <c r="M79" s="35" t="str">
        <f>VLOOKUP(Zdroj!$I79,Střediska!$A$1:$B$41,2,FALSE)</f>
        <v>Muži A</v>
      </c>
    </row>
    <row r="80" spans="1:13" hidden="1" x14ac:dyDescent="0.2">
      <c r="A80" s="36" t="s">
        <v>46</v>
      </c>
      <c r="B80" s="31" t="s">
        <v>236</v>
      </c>
      <c r="C80" s="31" t="s">
        <v>87</v>
      </c>
      <c r="D80" s="31" t="s">
        <v>237</v>
      </c>
      <c r="E80" s="31" t="s">
        <v>238</v>
      </c>
      <c r="F80" s="31">
        <v>0</v>
      </c>
      <c r="G80" s="31">
        <v>4000</v>
      </c>
      <c r="H80" s="31">
        <f t="shared" si="2"/>
        <v>4000</v>
      </c>
      <c r="I80" s="31">
        <v>1011</v>
      </c>
      <c r="J80" s="31">
        <f t="shared" si="3"/>
        <v>1</v>
      </c>
      <c r="K80" s="31" t="s">
        <v>235</v>
      </c>
      <c r="L80" s="31" t="str">
        <f>I80 &amp; "-" &amp;VLOOKUP(I80,Střediska!$A$1:$B$40,2,FALSE)</f>
        <v>1011-Muži A</v>
      </c>
      <c r="M80" s="32" t="str">
        <f>VLOOKUP(Zdroj!$I80,Střediska!$A$1:$B$41,2,FALSE)</f>
        <v>Muži A</v>
      </c>
    </row>
    <row r="81" spans="1:13" hidden="1" x14ac:dyDescent="0.2">
      <c r="A81" s="33" t="s">
        <v>46</v>
      </c>
      <c r="B81" s="34" t="s">
        <v>239</v>
      </c>
      <c r="C81" s="34" t="s">
        <v>87</v>
      </c>
      <c r="D81" s="34" t="s">
        <v>240</v>
      </c>
      <c r="E81" s="34" t="s">
        <v>238</v>
      </c>
      <c r="F81" s="34">
        <v>0</v>
      </c>
      <c r="G81" s="34">
        <v>4000</v>
      </c>
      <c r="H81" s="34">
        <f t="shared" si="2"/>
        <v>4000</v>
      </c>
      <c r="I81" s="34">
        <v>1011</v>
      </c>
      <c r="J81" s="34">
        <f t="shared" si="3"/>
        <v>1</v>
      </c>
      <c r="K81" s="34" t="s">
        <v>235</v>
      </c>
      <c r="L81" s="34" t="str">
        <f>I81 &amp; "-" &amp;VLOOKUP(I81,Střediska!$A$1:$B$40,2,FALSE)</f>
        <v>1011-Muži A</v>
      </c>
      <c r="M81" s="35" t="str">
        <f>VLOOKUP(Zdroj!$I81,Střediska!$A$1:$B$41,2,FALSE)</f>
        <v>Muži A</v>
      </c>
    </row>
    <row r="82" spans="1:13" hidden="1" x14ac:dyDescent="0.2">
      <c r="A82" s="36" t="s">
        <v>46</v>
      </c>
      <c r="B82" s="31" t="s">
        <v>241</v>
      </c>
      <c r="C82" s="31" t="s">
        <v>87</v>
      </c>
      <c r="D82" s="31" t="s">
        <v>242</v>
      </c>
      <c r="E82" s="31" t="s">
        <v>238</v>
      </c>
      <c r="F82" s="31">
        <v>0</v>
      </c>
      <c r="G82" s="31">
        <v>4000</v>
      </c>
      <c r="H82" s="31">
        <f t="shared" si="2"/>
        <v>4000</v>
      </c>
      <c r="I82" s="31">
        <v>1011</v>
      </c>
      <c r="J82" s="31">
        <f t="shared" si="3"/>
        <v>1</v>
      </c>
      <c r="K82" s="31" t="s">
        <v>235</v>
      </c>
      <c r="L82" s="31" t="str">
        <f>I82 &amp; "-" &amp;VLOOKUP(I82,Střediska!$A$1:$B$40,2,FALSE)</f>
        <v>1011-Muži A</v>
      </c>
      <c r="M82" s="32" t="str">
        <f>VLOOKUP(Zdroj!$I82,Střediska!$A$1:$B$41,2,FALSE)</f>
        <v>Muži A</v>
      </c>
    </row>
    <row r="83" spans="1:13" hidden="1" x14ac:dyDescent="0.2">
      <c r="A83" s="33" t="s">
        <v>46</v>
      </c>
      <c r="B83" s="34" t="s">
        <v>243</v>
      </c>
      <c r="C83" s="34" t="s">
        <v>87</v>
      </c>
      <c r="D83" s="34" t="s">
        <v>244</v>
      </c>
      <c r="E83" s="34" t="s">
        <v>238</v>
      </c>
      <c r="F83" s="34">
        <v>0</v>
      </c>
      <c r="G83" s="34">
        <v>4000</v>
      </c>
      <c r="H83" s="34">
        <f t="shared" si="2"/>
        <v>4000</v>
      </c>
      <c r="I83" s="34">
        <v>1011</v>
      </c>
      <c r="J83" s="34">
        <f t="shared" si="3"/>
        <v>1</v>
      </c>
      <c r="K83" s="34" t="s">
        <v>235</v>
      </c>
      <c r="L83" s="34" t="str">
        <f>I83 &amp; "-" &amp;VLOOKUP(I83,Střediska!$A$1:$B$40,2,FALSE)</f>
        <v>1011-Muži A</v>
      </c>
      <c r="M83" s="35" t="str">
        <f>VLOOKUP(Zdroj!$I83,Střediska!$A$1:$B$41,2,FALSE)</f>
        <v>Muži A</v>
      </c>
    </row>
    <row r="84" spans="1:13" hidden="1" x14ac:dyDescent="0.2">
      <c r="A84" s="36" t="s">
        <v>34</v>
      </c>
      <c r="B84" s="31" t="s">
        <v>247</v>
      </c>
      <c r="C84" s="31" t="s">
        <v>19</v>
      </c>
      <c r="D84" s="31"/>
      <c r="E84" s="31" t="s">
        <v>248</v>
      </c>
      <c r="F84" s="31">
        <v>0</v>
      </c>
      <c r="G84" s="31">
        <v>1650</v>
      </c>
      <c r="H84" s="31">
        <f t="shared" si="2"/>
        <v>1650</v>
      </c>
      <c r="I84" s="31">
        <v>1011</v>
      </c>
      <c r="J84" s="31">
        <f t="shared" si="3"/>
        <v>1</v>
      </c>
      <c r="K84" s="31" t="s">
        <v>246</v>
      </c>
      <c r="L84" s="31" t="str">
        <f>I84 &amp; "-" &amp;VLOOKUP(I84,Střediska!$A$1:$B$40,2,FALSE)</f>
        <v>1011-Muži A</v>
      </c>
      <c r="M84" s="32" t="str">
        <f>VLOOKUP(Zdroj!$I84,Střediska!$A$1:$B$41,2,FALSE)</f>
        <v>Muži A</v>
      </c>
    </row>
    <row r="85" spans="1:13" hidden="1" x14ac:dyDescent="0.2">
      <c r="A85" s="33" t="s">
        <v>43</v>
      </c>
      <c r="B85" s="34" t="s">
        <v>249</v>
      </c>
      <c r="C85" s="34" t="s">
        <v>19</v>
      </c>
      <c r="D85" s="34"/>
      <c r="E85" s="34" t="s">
        <v>250</v>
      </c>
      <c r="F85" s="34">
        <v>0</v>
      </c>
      <c r="G85" s="34">
        <v>44900</v>
      </c>
      <c r="H85" s="34">
        <f t="shared" si="2"/>
        <v>44900</v>
      </c>
      <c r="I85" s="34">
        <v>1011</v>
      </c>
      <c r="J85" s="34">
        <f t="shared" si="3"/>
        <v>1</v>
      </c>
      <c r="K85" s="34" t="s">
        <v>246</v>
      </c>
      <c r="L85" s="34" t="str">
        <f>I85 &amp; "-" &amp;VLOOKUP(I85,Střediska!$A$1:$B$40,2,FALSE)</f>
        <v>1011-Muži A</v>
      </c>
      <c r="M85" s="35" t="str">
        <f>VLOOKUP(Zdroj!$I85,Střediska!$A$1:$B$41,2,FALSE)</f>
        <v>Muži A</v>
      </c>
    </row>
    <row r="86" spans="1:13" hidden="1" x14ac:dyDescent="0.2">
      <c r="A86" s="36" t="s">
        <v>256</v>
      </c>
      <c r="B86" s="31" t="s">
        <v>255</v>
      </c>
      <c r="C86" s="31" t="s">
        <v>64</v>
      </c>
      <c r="D86" s="31"/>
      <c r="E86" s="31" t="s">
        <v>257</v>
      </c>
      <c r="F86" s="31">
        <v>0</v>
      </c>
      <c r="G86" s="31">
        <v>4400</v>
      </c>
      <c r="H86" s="31">
        <f t="shared" si="2"/>
        <v>4400</v>
      </c>
      <c r="I86" s="31">
        <v>1011</v>
      </c>
      <c r="J86" s="31">
        <f t="shared" si="3"/>
        <v>1</v>
      </c>
      <c r="K86" s="31" t="s">
        <v>90</v>
      </c>
      <c r="L86" s="31" t="str">
        <f>I86 &amp; "-" &amp;VLOOKUP(I86,Střediska!$A$1:$B$40,2,FALSE)</f>
        <v>1011-Muži A</v>
      </c>
      <c r="M86" s="32" t="str">
        <f>VLOOKUP(Zdroj!$I86,Střediska!$A$1:$B$41,2,FALSE)</f>
        <v>Muži A</v>
      </c>
    </row>
    <row r="87" spans="1:13" hidden="1" x14ac:dyDescent="0.2">
      <c r="A87" s="33" t="s">
        <v>256</v>
      </c>
      <c r="B87" s="34" t="s">
        <v>258</v>
      </c>
      <c r="C87" s="34" t="s">
        <v>64</v>
      </c>
      <c r="D87" s="34"/>
      <c r="E87" s="34" t="s">
        <v>259</v>
      </c>
      <c r="F87" s="34">
        <v>0</v>
      </c>
      <c r="G87" s="34">
        <v>4400</v>
      </c>
      <c r="H87" s="34">
        <f t="shared" si="2"/>
        <v>4400</v>
      </c>
      <c r="I87" s="34">
        <v>1011</v>
      </c>
      <c r="J87" s="34">
        <f t="shared" si="3"/>
        <v>1</v>
      </c>
      <c r="K87" s="34" t="s">
        <v>90</v>
      </c>
      <c r="L87" s="34" t="str">
        <f>I87 &amp; "-" &amp;VLOOKUP(I87,Střediska!$A$1:$B$40,2,FALSE)</f>
        <v>1011-Muži A</v>
      </c>
      <c r="M87" s="35" t="str">
        <f>VLOOKUP(Zdroj!$I87,Střediska!$A$1:$B$41,2,FALSE)</f>
        <v>Muži A</v>
      </c>
    </row>
    <row r="88" spans="1:13" hidden="1" x14ac:dyDescent="0.2">
      <c r="A88" s="36" t="s">
        <v>261</v>
      </c>
      <c r="B88" s="31" t="s">
        <v>260</v>
      </c>
      <c r="C88" s="31" t="s">
        <v>64</v>
      </c>
      <c r="D88" s="31"/>
      <c r="E88" s="31" t="s">
        <v>262</v>
      </c>
      <c r="F88" s="31">
        <v>0</v>
      </c>
      <c r="G88" s="31">
        <v>4400</v>
      </c>
      <c r="H88" s="31">
        <f t="shared" si="2"/>
        <v>4400</v>
      </c>
      <c r="I88" s="31">
        <v>1011</v>
      </c>
      <c r="J88" s="31">
        <f t="shared" si="3"/>
        <v>1</v>
      </c>
      <c r="K88" s="31" t="s">
        <v>90</v>
      </c>
      <c r="L88" s="31" t="str">
        <f>I88 &amp; "-" &amp;VLOOKUP(I88,Střediska!$A$1:$B$40,2,FALSE)</f>
        <v>1011-Muži A</v>
      </c>
      <c r="M88" s="32" t="str">
        <f>VLOOKUP(Zdroj!$I88,Střediska!$A$1:$B$41,2,FALSE)</f>
        <v>Muži A</v>
      </c>
    </row>
    <row r="89" spans="1:13" hidden="1" x14ac:dyDescent="0.2">
      <c r="A89" s="33" t="s">
        <v>264</v>
      </c>
      <c r="B89" s="34" t="s">
        <v>263</v>
      </c>
      <c r="C89" s="34" t="s">
        <v>64</v>
      </c>
      <c r="D89" s="34"/>
      <c r="E89" s="34" t="s">
        <v>265</v>
      </c>
      <c r="F89" s="34">
        <v>0</v>
      </c>
      <c r="G89" s="34">
        <v>4400</v>
      </c>
      <c r="H89" s="34">
        <f t="shared" si="2"/>
        <v>4400</v>
      </c>
      <c r="I89" s="34">
        <v>1011</v>
      </c>
      <c r="J89" s="34">
        <f t="shared" si="3"/>
        <v>1</v>
      </c>
      <c r="K89" s="34" t="s">
        <v>90</v>
      </c>
      <c r="L89" s="34" t="str">
        <f>I89 &amp; "-" &amp;VLOOKUP(I89,Střediska!$A$1:$B$40,2,FALSE)</f>
        <v>1011-Muži A</v>
      </c>
      <c r="M89" s="35" t="str">
        <f>VLOOKUP(Zdroj!$I89,Střediska!$A$1:$B$41,2,FALSE)</f>
        <v>Muži A</v>
      </c>
    </row>
    <row r="90" spans="1:13" hidden="1" x14ac:dyDescent="0.2">
      <c r="A90" s="36" t="s">
        <v>267</v>
      </c>
      <c r="B90" s="31" t="s">
        <v>266</v>
      </c>
      <c r="C90" s="31" t="s">
        <v>64</v>
      </c>
      <c r="D90" s="31"/>
      <c r="E90" s="31" t="s">
        <v>268</v>
      </c>
      <c r="F90" s="31">
        <v>0</v>
      </c>
      <c r="G90" s="31">
        <v>2200</v>
      </c>
      <c r="H90" s="31">
        <f t="shared" si="2"/>
        <v>2200</v>
      </c>
      <c r="I90" s="31">
        <v>1011</v>
      </c>
      <c r="J90" s="31">
        <f t="shared" si="3"/>
        <v>1</v>
      </c>
      <c r="K90" s="31" t="s">
        <v>90</v>
      </c>
      <c r="L90" s="31" t="str">
        <f>I90 &amp; "-" &amp;VLOOKUP(I90,Střediska!$A$1:$B$40,2,FALSE)</f>
        <v>1011-Muži A</v>
      </c>
      <c r="M90" s="32" t="str">
        <f>VLOOKUP(Zdroj!$I90,Střediska!$A$1:$B$41,2,FALSE)</f>
        <v>Muži A</v>
      </c>
    </row>
    <row r="91" spans="1:13" hidden="1" x14ac:dyDescent="0.2">
      <c r="A91" s="33" t="s">
        <v>49</v>
      </c>
      <c r="B91" s="34" t="s">
        <v>91</v>
      </c>
      <c r="C91" s="34" t="s">
        <v>19</v>
      </c>
      <c r="D91" s="34"/>
      <c r="E91" s="34" t="s">
        <v>93</v>
      </c>
      <c r="F91" s="34">
        <v>0</v>
      </c>
      <c r="G91" s="34">
        <v>13372.55</v>
      </c>
      <c r="H91" s="34">
        <f t="shared" si="2"/>
        <v>13372.55</v>
      </c>
      <c r="I91" s="34">
        <v>1011</v>
      </c>
      <c r="J91" s="34">
        <f t="shared" si="3"/>
        <v>1</v>
      </c>
      <c r="K91" s="34" t="s">
        <v>90</v>
      </c>
      <c r="L91" s="34" t="str">
        <f>I91 &amp; "-" &amp;VLOOKUP(I91,Střediska!$A$1:$B$40,2,FALSE)</f>
        <v>1011-Muži A</v>
      </c>
      <c r="M91" s="35" t="str">
        <f>VLOOKUP(Zdroj!$I91,Střediska!$A$1:$B$41,2,FALSE)</f>
        <v>Muži A</v>
      </c>
    </row>
    <row r="92" spans="1:13" hidden="1" x14ac:dyDescent="0.2">
      <c r="A92" s="36" t="s">
        <v>270</v>
      </c>
      <c r="B92" s="31" t="s">
        <v>269</v>
      </c>
      <c r="C92" s="31" t="s">
        <v>64</v>
      </c>
      <c r="D92" s="31"/>
      <c r="E92" s="31" t="s">
        <v>271</v>
      </c>
      <c r="F92" s="31">
        <v>0</v>
      </c>
      <c r="G92" s="31">
        <v>4400</v>
      </c>
      <c r="H92" s="31">
        <f t="shared" si="2"/>
        <v>4400</v>
      </c>
      <c r="I92" s="31">
        <v>1011</v>
      </c>
      <c r="J92" s="31">
        <f t="shared" si="3"/>
        <v>1</v>
      </c>
      <c r="K92" s="31" t="s">
        <v>90</v>
      </c>
      <c r="L92" s="31" t="str">
        <f>I92 &amp; "-" &amp;VLOOKUP(I92,Střediska!$A$1:$B$40,2,FALSE)</f>
        <v>1011-Muži A</v>
      </c>
      <c r="M92" s="32" t="str">
        <f>VLOOKUP(Zdroj!$I92,Střediska!$A$1:$B$41,2,FALSE)</f>
        <v>Muži A</v>
      </c>
    </row>
    <row r="93" spans="1:13" hidden="1" x14ac:dyDescent="0.2">
      <c r="A93" s="33" t="s">
        <v>270</v>
      </c>
      <c r="B93" s="34" t="s">
        <v>272</v>
      </c>
      <c r="C93" s="34" t="s">
        <v>64</v>
      </c>
      <c r="D93" s="34"/>
      <c r="E93" s="34" t="s">
        <v>268</v>
      </c>
      <c r="F93" s="34">
        <v>0</v>
      </c>
      <c r="G93" s="34">
        <v>2200</v>
      </c>
      <c r="H93" s="34">
        <f t="shared" si="2"/>
        <v>2200</v>
      </c>
      <c r="I93" s="34">
        <v>1011</v>
      </c>
      <c r="J93" s="34">
        <f t="shared" si="3"/>
        <v>1</v>
      </c>
      <c r="K93" s="34" t="s">
        <v>90</v>
      </c>
      <c r="L93" s="34" t="str">
        <f>I93 &amp; "-" &amp;VLOOKUP(I93,Střediska!$A$1:$B$40,2,FALSE)</f>
        <v>1011-Muži A</v>
      </c>
      <c r="M93" s="35" t="str">
        <f>VLOOKUP(Zdroj!$I93,Střediska!$A$1:$B$41,2,FALSE)</f>
        <v>Muži A</v>
      </c>
    </row>
    <row r="94" spans="1:13" hidden="1" x14ac:dyDescent="0.2">
      <c r="A94" s="36" t="s">
        <v>274</v>
      </c>
      <c r="B94" s="31" t="s">
        <v>273</v>
      </c>
      <c r="C94" s="31" t="s">
        <v>64</v>
      </c>
      <c r="D94" s="31"/>
      <c r="E94" s="31" t="s">
        <v>275</v>
      </c>
      <c r="F94" s="31">
        <v>0</v>
      </c>
      <c r="G94" s="31">
        <v>4400</v>
      </c>
      <c r="H94" s="31">
        <f t="shared" si="2"/>
        <v>4400</v>
      </c>
      <c r="I94" s="31">
        <v>1011</v>
      </c>
      <c r="J94" s="31">
        <f t="shared" si="3"/>
        <v>1</v>
      </c>
      <c r="K94" s="31" t="s">
        <v>90</v>
      </c>
      <c r="L94" s="31" t="str">
        <f>I94 &amp; "-" &amp;VLOOKUP(I94,Střediska!$A$1:$B$40,2,FALSE)</f>
        <v>1011-Muži A</v>
      </c>
      <c r="M94" s="32" t="str">
        <f>VLOOKUP(Zdroj!$I94,Střediska!$A$1:$B$41,2,FALSE)</f>
        <v>Muži A</v>
      </c>
    </row>
    <row r="95" spans="1:13" hidden="1" x14ac:dyDescent="0.2">
      <c r="A95" s="33" t="s">
        <v>277</v>
      </c>
      <c r="B95" s="34" t="s">
        <v>276</v>
      </c>
      <c r="C95" s="34" t="s">
        <v>64</v>
      </c>
      <c r="D95" s="34"/>
      <c r="E95" s="34" t="s">
        <v>278</v>
      </c>
      <c r="F95" s="34">
        <v>0</v>
      </c>
      <c r="G95" s="34">
        <v>750</v>
      </c>
      <c r="H95" s="34">
        <f t="shared" si="2"/>
        <v>750</v>
      </c>
      <c r="I95" s="34">
        <v>1011</v>
      </c>
      <c r="J95" s="34">
        <f t="shared" si="3"/>
        <v>1</v>
      </c>
      <c r="K95" s="34" t="s">
        <v>90</v>
      </c>
      <c r="L95" s="34" t="str">
        <f>I95 &amp; "-" &amp;VLOOKUP(I95,Střediska!$A$1:$B$40,2,FALSE)</f>
        <v>1011-Muži A</v>
      </c>
      <c r="M95" s="35" t="str">
        <f>VLOOKUP(Zdroj!$I95,Střediska!$A$1:$B$41,2,FALSE)</f>
        <v>Muži A</v>
      </c>
    </row>
    <row r="96" spans="1:13" hidden="1" x14ac:dyDescent="0.2">
      <c r="A96" s="36" t="s">
        <v>277</v>
      </c>
      <c r="B96" s="31" t="s">
        <v>279</v>
      </c>
      <c r="C96" s="31" t="s">
        <v>64</v>
      </c>
      <c r="D96" s="31"/>
      <c r="E96" s="31" t="s">
        <v>280</v>
      </c>
      <c r="F96" s="31">
        <v>0</v>
      </c>
      <c r="G96" s="31">
        <v>750</v>
      </c>
      <c r="H96" s="31">
        <f t="shared" si="2"/>
        <v>750</v>
      </c>
      <c r="I96" s="31">
        <v>1011</v>
      </c>
      <c r="J96" s="31">
        <f t="shared" si="3"/>
        <v>1</v>
      </c>
      <c r="K96" s="31" t="s">
        <v>90</v>
      </c>
      <c r="L96" s="31" t="str">
        <f>I96 &amp; "-" &amp;VLOOKUP(I96,Střediska!$A$1:$B$40,2,FALSE)</f>
        <v>1011-Muži A</v>
      </c>
      <c r="M96" s="32" t="str">
        <f>VLOOKUP(Zdroj!$I96,Střediska!$A$1:$B$41,2,FALSE)</f>
        <v>Muži A</v>
      </c>
    </row>
    <row r="97" spans="1:13" hidden="1" x14ac:dyDescent="0.2">
      <c r="A97" s="33" t="s">
        <v>282</v>
      </c>
      <c r="B97" s="34" t="s">
        <v>281</v>
      </c>
      <c r="C97" s="34" t="s">
        <v>64</v>
      </c>
      <c r="D97" s="34"/>
      <c r="E97" s="34" t="s">
        <v>283</v>
      </c>
      <c r="F97" s="34">
        <v>0</v>
      </c>
      <c r="G97" s="34">
        <v>4400</v>
      </c>
      <c r="H97" s="34">
        <f t="shared" si="2"/>
        <v>4400</v>
      </c>
      <c r="I97" s="34">
        <v>1011</v>
      </c>
      <c r="J97" s="34">
        <f t="shared" si="3"/>
        <v>1</v>
      </c>
      <c r="K97" s="34" t="s">
        <v>90</v>
      </c>
      <c r="L97" s="34" t="str">
        <f>I97 &amp; "-" &amp;VLOOKUP(I97,Střediska!$A$1:$B$40,2,FALSE)</f>
        <v>1011-Muži A</v>
      </c>
      <c r="M97" s="35" t="str">
        <f>VLOOKUP(Zdroj!$I97,Střediska!$A$1:$B$41,2,FALSE)</f>
        <v>Muži A</v>
      </c>
    </row>
    <row r="98" spans="1:13" hidden="1" x14ac:dyDescent="0.2">
      <c r="A98" s="36" t="s">
        <v>282</v>
      </c>
      <c r="B98" s="31" t="s">
        <v>284</v>
      </c>
      <c r="C98" s="31" t="s">
        <v>64</v>
      </c>
      <c r="D98" s="31"/>
      <c r="E98" s="31" t="s">
        <v>285</v>
      </c>
      <c r="F98" s="31">
        <v>0</v>
      </c>
      <c r="G98" s="31">
        <v>750</v>
      </c>
      <c r="H98" s="31">
        <f t="shared" si="2"/>
        <v>750</v>
      </c>
      <c r="I98" s="31">
        <v>1011</v>
      </c>
      <c r="J98" s="31">
        <f t="shared" si="3"/>
        <v>1</v>
      </c>
      <c r="K98" s="31" t="s">
        <v>90</v>
      </c>
      <c r="L98" s="31" t="str">
        <f>I98 &amp; "-" &amp;VLOOKUP(I98,Střediska!$A$1:$B$40,2,FALSE)</f>
        <v>1011-Muži A</v>
      </c>
      <c r="M98" s="32" t="str">
        <f>VLOOKUP(Zdroj!$I98,Střediska!$A$1:$B$41,2,FALSE)</f>
        <v>Muži A</v>
      </c>
    </row>
    <row r="99" spans="1:13" hidden="1" x14ac:dyDescent="0.2">
      <c r="A99" s="33" t="s">
        <v>287</v>
      </c>
      <c r="B99" s="34" t="s">
        <v>286</v>
      </c>
      <c r="C99" s="34" t="s">
        <v>64</v>
      </c>
      <c r="D99" s="34"/>
      <c r="E99" s="34" t="s">
        <v>288</v>
      </c>
      <c r="F99" s="34">
        <v>0</v>
      </c>
      <c r="G99" s="34">
        <v>750</v>
      </c>
      <c r="H99" s="34">
        <f t="shared" si="2"/>
        <v>750</v>
      </c>
      <c r="I99" s="34">
        <v>1011</v>
      </c>
      <c r="J99" s="34">
        <f t="shared" si="3"/>
        <v>1</v>
      </c>
      <c r="K99" s="34" t="s">
        <v>90</v>
      </c>
      <c r="L99" s="34" t="str">
        <f>I99 &amp; "-" &amp;VLOOKUP(I99,Střediska!$A$1:$B$40,2,FALSE)</f>
        <v>1011-Muži A</v>
      </c>
      <c r="M99" s="35" t="str">
        <f>VLOOKUP(Zdroj!$I99,Střediska!$A$1:$B$41,2,FALSE)</f>
        <v>Muži A</v>
      </c>
    </row>
    <row r="100" spans="1:13" hidden="1" x14ac:dyDescent="0.2">
      <c r="A100" s="36" t="s">
        <v>290</v>
      </c>
      <c r="B100" s="31" t="s">
        <v>289</v>
      </c>
      <c r="C100" s="31" t="s">
        <v>64</v>
      </c>
      <c r="D100" s="31"/>
      <c r="E100" s="31" t="s">
        <v>291</v>
      </c>
      <c r="F100" s="31">
        <v>0</v>
      </c>
      <c r="G100" s="31">
        <v>750</v>
      </c>
      <c r="H100" s="31">
        <f t="shared" si="2"/>
        <v>750</v>
      </c>
      <c r="I100" s="31">
        <v>1011</v>
      </c>
      <c r="J100" s="31">
        <f t="shared" si="3"/>
        <v>1</v>
      </c>
      <c r="K100" s="31" t="s">
        <v>90</v>
      </c>
      <c r="L100" s="31" t="str">
        <f>I100 &amp; "-" &amp;VLOOKUP(I100,Střediska!$A$1:$B$40,2,FALSE)</f>
        <v>1011-Muži A</v>
      </c>
      <c r="M100" s="32" t="str">
        <f>VLOOKUP(Zdroj!$I100,Střediska!$A$1:$B$41,2,FALSE)</f>
        <v>Muži A</v>
      </c>
    </row>
    <row r="101" spans="1:13" hidden="1" x14ac:dyDescent="0.2">
      <c r="A101" s="33" t="s">
        <v>293</v>
      </c>
      <c r="B101" s="34" t="s">
        <v>292</v>
      </c>
      <c r="C101" s="34" t="s">
        <v>64</v>
      </c>
      <c r="D101" s="34"/>
      <c r="E101" s="34" t="s">
        <v>294</v>
      </c>
      <c r="F101" s="34">
        <v>0</v>
      </c>
      <c r="G101" s="34">
        <v>750</v>
      </c>
      <c r="H101" s="34">
        <f t="shared" si="2"/>
        <v>750</v>
      </c>
      <c r="I101" s="34">
        <v>1011</v>
      </c>
      <c r="J101" s="34">
        <f t="shared" si="3"/>
        <v>1</v>
      </c>
      <c r="K101" s="34" t="s">
        <v>90</v>
      </c>
      <c r="L101" s="34" t="str">
        <f>I101 &amp; "-" &amp;VLOOKUP(I101,Střediska!$A$1:$B$40,2,FALSE)</f>
        <v>1011-Muži A</v>
      </c>
      <c r="M101" s="35" t="str">
        <f>VLOOKUP(Zdroj!$I101,Střediska!$A$1:$B$41,2,FALSE)</f>
        <v>Muži A</v>
      </c>
    </row>
    <row r="102" spans="1:13" hidden="1" x14ac:dyDescent="0.2">
      <c r="A102" s="36" t="s">
        <v>296</v>
      </c>
      <c r="B102" s="31" t="s">
        <v>295</v>
      </c>
      <c r="C102" s="31" t="s">
        <v>64</v>
      </c>
      <c r="D102" s="31"/>
      <c r="E102" s="31" t="s">
        <v>297</v>
      </c>
      <c r="F102" s="31">
        <v>0</v>
      </c>
      <c r="G102" s="31">
        <v>4400</v>
      </c>
      <c r="H102" s="31">
        <f t="shared" si="2"/>
        <v>4400</v>
      </c>
      <c r="I102" s="31">
        <v>1011</v>
      </c>
      <c r="J102" s="31">
        <f t="shared" si="3"/>
        <v>1</v>
      </c>
      <c r="K102" s="31" t="s">
        <v>90</v>
      </c>
      <c r="L102" s="31" t="str">
        <f>I102 &amp; "-" &amp;VLOOKUP(I102,Střediska!$A$1:$B$40,2,FALSE)</f>
        <v>1011-Muži A</v>
      </c>
      <c r="M102" s="32" t="str">
        <f>VLOOKUP(Zdroj!$I102,Střediska!$A$1:$B$41,2,FALSE)</f>
        <v>Muži A</v>
      </c>
    </row>
    <row r="103" spans="1:13" hidden="1" x14ac:dyDescent="0.2">
      <c r="A103" s="33" t="s">
        <v>299</v>
      </c>
      <c r="B103" s="34" t="s">
        <v>298</v>
      </c>
      <c r="C103" s="34" t="s">
        <v>64</v>
      </c>
      <c r="D103" s="34"/>
      <c r="E103" s="34" t="s">
        <v>300</v>
      </c>
      <c r="F103" s="34">
        <v>0</v>
      </c>
      <c r="G103" s="34">
        <v>3000</v>
      </c>
      <c r="H103" s="34">
        <f t="shared" si="2"/>
        <v>3000</v>
      </c>
      <c r="I103" s="34">
        <v>1011</v>
      </c>
      <c r="J103" s="34">
        <f t="shared" si="3"/>
        <v>1</v>
      </c>
      <c r="K103" s="34" t="s">
        <v>90</v>
      </c>
      <c r="L103" s="34" t="str">
        <f>I103 &amp; "-" &amp;VLOOKUP(I103,Střediska!$A$1:$B$40,2,FALSE)</f>
        <v>1011-Muži A</v>
      </c>
      <c r="M103" s="35" t="str">
        <f>VLOOKUP(Zdroj!$I103,Střediska!$A$1:$B$41,2,FALSE)</f>
        <v>Muži A</v>
      </c>
    </row>
    <row r="104" spans="1:13" hidden="1" x14ac:dyDescent="0.2">
      <c r="A104" s="36" t="s">
        <v>299</v>
      </c>
      <c r="B104" s="31" t="s">
        <v>301</v>
      </c>
      <c r="C104" s="31" t="s">
        <v>64</v>
      </c>
      <c r="D104" s="31"/>
      <c r="E104" s="31" t="s">
        <v>302</v>
      </c>
      <c r="F104" s="31">
        <v>0</v>
      </c>
      <c r="G104" s="31">
        <v>750</v>
      </c>
      <c r="H104" s="31">
        <f t="shared" si="2"/>
        <v>750</v>
      </c>
      <c r="I104" s="31">
        <v>1011</v>
      </c>
      <c r="J104" s="31">
        <f t="shared" si="3"/>
        <v>1</v>
      </c>
      <c r="K104" s="31" t="s">
        <v>90</v>
      </c>
      <c r="L104" s="31" t="str">
        <f>I104 &amp; "-" &amp;VLOOKUP(I104,Střediska!$A$1:$B$40,2,FALSE)</f>
        <v>1011-Muži A</v>
      </c>
      <c r="M104" s="32" t="str">
        <f>VLOOKUP(Zdroj!$I104,Střediska!$A$1:$B$41,2,FALSE)</f>
        <v>Muži A</v>
      </c>
    </row>
    <row r="105" spans="1:13" hidden="1" x14ac:dyDescent="0.2">
      <c r="A105" s="33" t="s">
        <v>304</v>
      </c>
      <c r="B105" s="34" t="s">
        <v>303</v>
      </c>
      <c r="C105" s="34" t="s">
        <v>64</v>
      </c>
      <c r="D105" s="34"/>
      <c r="E105" s="34" t="s">
        <v>305</v>
      </c>
      <c r="F105" s="34">
        <v>0</v>
      </c>
      <c r="G105" s="34">
        <v>4400</v>
      </c>
      <c r="H105" s="34">
        <f t="shared" si="2"/>
        <v>4400</v>
      </c>
      <c r="I105" s="34">
        <v>1011</v>
      </c>
      <c r="J105" s="34">
        <f t="shared" si="3"/>
        <v>1</v>
      </c>
      <c r="K105" s="34" t="s">
        <v>90</v>
      </c>
      <c r="L105" s="34" t="str">
        <f>I105 &amp; "-" &amp;VLOOKUP(I105,Střediska!$A$1:$B$40,2,FALSE)</f>
        <v>1011-Muži A</v>
      </c>
      <c r="M105" s="35" t="str">
        <f>VLOOKUP(Zdroj!$I105,Střediska!$A$1:$B$41,2,FALSE)</f>
        <v>Muži A</v>
      </c>
    </row>
    <row r="106" spans="1:13" hidden="1" x14ac:dyDescent="0.2">
      <c r="A106" s="36" t="s">
        <v>307</v>
      </c>
      <c r="B106" s="31" t="s">
        <v>306</v>
      </c>
      <c r="C106" s="31" t="s">
        <v>64</v>
      </c>
      <c r="D106" s="31"/>
      <c r="E106" s="31" t="s">
        <v>308</v>
      </c>
      <c r="F106" s="31">
        <v>0</v>
      </c>
      <c r="G106" s="31">
        <v>4400</v>
      </c>
      <c r="H106" s="31">
        <f t="shared" si="2"/>
        <v>4400</v>
      </c>
      <c r="I106" s="31">
        <v>1011</v>
      </c>
      <c r="J106" s="31">
        <f t="shared" si="3"/>
        <v>1</v>
      </c>
      <c r="K106" s="31" t="s">
        <v>90</v>
      </c>
      <c r="L106" s="31" t="str">
        <f>I106 &amp; "-" &amp;VLOOKUP(I106,Střediska!$A$1:$B$40,2,FALSE)</f>
        <v>1011-Muži A</v>
      </c>
      <c r="M106" s="32" t="str">
        <f>VLOOKUP(Zdroj!$I106,Střediska!$A$1:$B$41,2,FALSE)</f>
        <v>Muži A</v>
      </c>
    </row>
    <row r="107" spans="1:13" hidden="1" x14ac:dyDescent="0.2">
      <c r="A107" s="33" t="s">
        <v>201</v>
      </c>
      <c r="B107" s="34" t="s">
        <v>309</v>
      </c>
      <c r="C107" s="34" t="s">
        <v>64</v>
      </c>
      <c r="D107" s="34"/>
      <c r="E107" s="34" t="s">
        <v>95</v>
      </c>
      <c r="F107" s="34">
        <v>0</v>
      </c>
      <c r="G107" s="34">
        <v>2500</v>
      </c>
      <c r="H107" s="34">
        <f t="shared" si="2"/>
        <v>2500</v>
      </c>
      <c r="I107" s="34">
        <v>1011</v>
      </c>
      <c r="J107" s="34">
        <f t="shared" si="3"/>
        <v>1</v>
      </c>
      <c r="K107" s="34" t="s">
        <v>90</v>
      </c>
      <c r="L107" s="34" t="str">
        <f>I107 &amp; "-" &amp;VLOOKUP(I107,Střediska!$A$1:$B$40,2,FALSE)</f>
        <v>1011-Muži A</v>
      </c>
      <c r="M107" s="35" t="str">
        <f>VLOOKUP(Zdroj!$I107,Střediska!$A$1:$B$41,2,FALSE)</f>
        <v>Muži A</v>
      </c>
    </row>
    <row r="108" spans="1:13" hidden="1" x14ac:dyDescent="0.2">
      <c r="A108" s="36" t="s">
        <v>311</v>
      </c>
      <c r="B108" s="31" t="s">
        <v>310</v>
      </c>
      <c r="C108" s="31" t="s">
        <v>64</v>
      </c>
      <c r="D108" s="31"/>
      <c r="E108" s="31" t="s">
        <v>312</v>
      </c>
      <c r="F108" s="31">
        <v>0</v>
      </c>
      <c r="G108" s="31">
        <v>750</v>
      </c>
      <c r="H108" s="31">
        <f t="shared" si="2"/>
        <v>750</v>
      </c>
      <c r="I108" s="31">
        <v>1011</v>
      </c>
      <c r="J108" s="31">
        <f t="shared" si="3"/>
        <v>1</v>
      </c>
      <c r="K108" s="31" t="s">
        <v>90</v>
      </c>
      <c r="L108" s="31" t="str">
        <f>I108 &amp; "-" &amp;VLOOKUP(I108,Střediska!$A$1:$B$40,2,FALSE)</f>
        <v>1011-Muži A</v>
      </c>
      <c r="M108" s="32" t="str">
        <f>VLOOKUP(Zdroj!$I108,Střediska!$A$1:$B$41,2,FALSE)</f>
        <v>Muži A</v>
      </c>
    </row>
    <row r="109" spans="1:13" hidden="1" x14ac:dyDescent="0.2">
      <c r="A109" s="33" t="s">
        <v>311</v>
      </c>
      <c r="B109" s="34" t="s">
        <v>313</v>
      </c>
      <c r="C109" s="34" t="s">
        <v>64</v>
      </c>
      <c r="D109" s="34"/>
      <c r="E109" s="34" t="s">
        <v>314</v>
      </c>
      <c r="F109" s="34">
        <v>0</v>
      </c>
      <c r="G109" s="34">
        <v>750</v>
      </c>
      <c r="H109" s="34">
        <f t="shared" si="2"/>
        <v>750</v>
      </c>
      <c r="I109" s="34">
        <v>1011</v>
      </c>
      <c r="J109" s="34">
        <f t="shared" si="3"/>
        <v>1</v>
      </c>
      <c r="K109" s="34" t="s">
        <v>90</v>
      </c>
      <c r="L109" s="34" t="str">
        <f>I109 &amp; "-" &amp;VLOOKUP(I109,Střediska!$A$1:$B$40,2,FALSE)</f>
        <v>1011-Muži A</v>
      </c>
      <c r="M109" s="35" t="str">
        <f>VLOOKUP(Zdroj!$I109,Střediska!$A$1:$B$41,2,FALSE)</f>
        <v>Muži A</v>
      </c>
    </row>
    <row r="110" spans="1:13" hidden="1" x14ac:dyDescent="0.2">
      <c r="A110" s="36" t="s">
        <v>311</v>
      </c>
      <c r="B110" s="31" t="s">
        <v>315</v>
      </c>
      <c r="C110" s="31" t="s">
        <v>64</v>
      </c>
      <c r="D110" s="31"/>
      <c r="E110" s="31" t="s">
        <v>316</v>
      </c>
      <c r="F110" s="31">
        <v>0</v>
      </c>
      <c r="G110" s="31">
        <v>750</v>
      </c>
      <c r="H110" s="31">
        <f t="shared" si="2"/>
        <v>750</v>
      </c>
      <c r="I110" s="31">
        <v>1011</v>
      </c>
      <c r="J110" s="31">
        <f t="shared" si="3"/>
        <v>1</v>
      </c>
      <c r="K110" s="31" t="s">
        <v>90</v>
      </c>
      <c r="L110" s="31" t="str">
        <f>I110 &amp; "-" &amp;VLOOKUP(I110,Střediska!$A$1:$B$40,2,FALSE)</f>
        <v>1011-Muži A</v>
      </c>
      <c r="M110" s="32" t="str">
        <f>VLOOKUP(Zdroj!$I110,Střediska!$A$1:$B$41,2,FALSE)</f>
        <v>Muži A</v>
      </c>
    </row>
    <row r="111" spans="1:13" hidden="1" x14ac:dyDescent="0.2">
      <c r="A111" s="33" t="s">
        <v>318</v>
      </c>
      <c r="B111" s="34" t="s">
        <v>317</v>
      </c>
      <c r="C111" s="34" t="s">
        <v>64</v>
      </c>
      <c r="D111" s="34"/>
      <c r="E111" s="34" t="s">
        <v>319</v>
      </c>
      <c r="F111" s="34">
        <v>0</v>
      </c>
      <c r="G111" s="34">
        <v>750</v>
      </c>
      <c r="H111" s="34">
        <f t="shared" si="2"/>
        <v>750</v>
      </c>
      <c r="I111" s="34">
        <v>1011</v>
      </c>
      <c r="J111" s="34">
        <f t="shared" si="3"/>
        <v>1</v>
      </c>
      <c r="K111" s="34" t="s">
        <v>90</v>
      </c>
      <c r="L111" s="34" t="str">
        <f>I111 &amp; "-" &amp;VLOOKUP(I111,Střediska!$A$1:$B$40,2,FALSE)</f>
        <v>1011-Muži A</v>
      </c>
      <c r="M111" s="35" t="str">
        <f>VLOOKUP(Zdroj!$I111,Střediska!$A$1:$B$41,2,FALSE)</f>
        <v>Muži A</v>
      </c>
    </row>
    <row r="112" spans="1:13" hidden="1" x14ac:dyDescent="0.2">
      <c r="A112" s="36" t="s">
        <v>318</v>
      </c>
      <c r="B112" s="31" t="s">
        <v>320</v>
      </c>
      <c r="C112" s="31" t="s">
        <v>64</v>
      </c>
      <c r="D112" s="31"/>
      <c r="E112" s="31" t="s">
        <v>321</v>
      </c>
      <c r="F112" s="31">
        <v>0</v>
      </c>
      <c r="G112" s="31">
        <v>4400</v>
      </c>
      <c r="H112" s="31">
        <f t="shared" si="2"/>
        <v>4400</v>
      </c>
      <c r="I112" s="31">
        <v>1011</v>
      </c>
      <c r="J112" s="31">
        <f t="shared" si="3"/>
        <v>1</v>
      </c>
      <c r="K112" s="31" t="s">
        <v>90</v>
      </c>
      <c r="L112" s="31" t="str">
        <f>I112 &amp; "-" &amp;VLOOKUP(I112,Střediska!$A$1:$B$40,2,FALSE)</f>
        <v>1011-Muži A</v>
      </c>
      <c r="M112" s="32" t="str">
        <f>VLOOKUP(Zdroj!$I112,Střediska!$A$1:$B$41,2,FALSE)</f>
        <v>Muži A</v>
      </c>
    </row>
    <row r="113" spans="1:13" hidden="1" x14ac:dyDescent="0.2">
      <c r="A113" s="33" t="s">
        <v>318</v>
      </c>
      <c r="B113" s="34" t="s">
        <v>322</v>
      </c>
      <c r="C113" s="34" t="s">
        <v>64</v>
      </c>
      <c r="D113" s="34"/>
      <c r="E113" s="34" t="s">
        <v>323</v>
      </c>
      <c r="F113" s="34">
        <v>0</v>
      </c>
      <c r="G113" s="34">
        <v>4400</v>
      </c>
      <c r="H113" s="34">
        <f t="shared" si="2"/>
        <v>4400</v>
      </c>
      <c r="I113" s="34">
        <v>1011</v>
      </c>
      <c r="J113" s="34">
        <f t="shared" si="3"/>
        <v>1</v>
      </c>
      <c r="K113" s="34" t="s">
        <v>90</v>
      </c>
      <c r="L113" s="34" t="str">
        <f>I113 &amp; "-" &amp;VLOOKUP(I113,Střediska!$A$1:$B$40,2,FALSE)</f>
        <v>1011-Muži A</v>
      </c>
      <c r="M113" s="35" t="str">
        <f>VLOOKUP(Zdroj!$I113,Střediska!$A$1:$B$41,2,FALSE)</f>
        <v>Muži A</v>
      </c>
    </row>
    <row r="114" spans="1:13" hidden="1" x14ac:dyDescent="0.2">
      <c r="A114" s="36" t="s">
        <v>318</v>
      </c>
      <c r="B114" s="31" t="s">
        <v>324</v>
      </c>
      <c r="C114" s="31" t="s">
        <v>64</v>
      </c>
      <c r="D114" s="31"/>
      <c r="E114" s="31" t="s">
        <v>325</v>
      </c>
      <c r="F114" s="31">
        <v>0</v>
      </c>
      <c r="G114" s="31">
        <v>750</v>
      </c>
      <c r="H114" s="31">
        <f t="shared" si="2"/>
        <v>750</v>
      </c>
      <c r="I114" s="31">
        <v>1011</v>
      </c>
      <c r="J114" s="31">
        <f t="shared" si="3"/>
        <v>1</v>
      </c>
      <c r="K114" s="31" t="s">
        <v>90</v>
      </c>
      <c r="L114" s="31" t="str">
        <f>I114 &amp; "-" &amp;VLOOKUP(I114,Střediska!$A$1:$B$40,2,FALSE)</f>
        <v>1011-Muži A</v>
      </c>
      <c r="M114" s="32" t="str">
        <f>VLOOKUP(Zdroj!$I114,Střediska!$A$1:$B$41,2,FALSE)</f>
        <v>Muži A</v>
      </c>
    </row>
    <row r="115" spans="1:13" hidden="1" x14ac:dyDescent="0.2">
      <c r="A115" s="33" t="s">
        <v>318</v>
      </c>
      <c r="B115" s="34" t="s">
        <v>326</v>
      </c>
      <c r="C115" s="34" t="s">
        <v>64</v>
      </c>
      <c r="D115" s="34"/>
      <c r="E115" s="34" t="s">
        <v>327</v>
      </c>
      <c r="F115" s="34">
        <v>0</v>
      </c>
      <c r="G115" s="34">
        <v>4400</v>
      </c>
      <c r="H115" s="34">
        <f t="shared" si="2"/>
        <v>4400</v>
      </c>
      <c r="I115" s="34">
        <v>1011</v>
      </c>
      <c r="J115" s="34">
        <f t="shared" si="3"/>
        <v>1</v>
      </c>
      <c r="K115" s="34" t="s">
        <v>90</v>
      </c>
      <c r="L115" s="34" t="str">
        <f>I115 &amp; "-" &amp;VLOOKUP(I115,Střediska!$A$1:$B$40,2,FALSE)</f>
        <v>1011-Muži A</v>
      </c>
      <c r="M115" s="35" t="str">
        <f>VLOOKUP(Zdroj!$I115,Střediska!$A$1:$B$41,2,FALSE)</f>
        <v>Muži A</v>
      </c>
    </row>
    <row r="116" spans="1:13" hidden="1" x14ac:dyDescent="0.2">
      <c r="A116" s="36" t="s">
        <v>318</v>
      </c>
      <c r="B116" s="31" t="s">
        <v>329</v>
      </c>
      <c r="C116" s="31" t="s">
        <v>64</v>
      </c>
      <c r="D116" s="31"/>
      <c r="E116" s="31" t="s">
        <v>330</v>
      </c>
      <c r="F116" s="31">
        <v>0</v>
      </c>
      <c r="G116" s="31">
        <v>750</v>
      </c>
      <c r="H116" s="31">
        <f t="shared" si="2"/>
        <v>750</v>
      </c>
      <c r="I116" s="31">
        <v>1011</v>
      </c>
      <c r="J116" s="31">
        <f t="shared" si="3"/>
        <v>1</v>
      </c>
      <c r="K116" s="31" t="s">
        <v>90</v>
      </c>
      <c r="L116" s="31" t="str">
        <f>I116 &amp; "-" &amp;VLOOKUP(I116,Střediska!$A$1:$B$40,2,FALSE)</f>
        <v>1011-Muži A</v>
      </c>
      <c r="M116" s="32" t="str">
        <f>VLOOKUP(Zdroj!$I116,Střediska!$A$1:$B$41,2,FALSE)</f>
        <v>Muži A</v>
      </c>
    </row>
    <row r="117" spans="1:13" hidden="1" x14ac:dyDescent="0.2">
      <c r="A117" s="33" t="s">
        <v>55</v>
      </c>
      <c r="B117" s="34" t="s">
        <v>331</v>
      </c>
      <c r="C117" s="34" t="s">
        <v>64</v>
      </c>
      <c r="D117" s="34"/>
      <c r="E117" s="34" t="s">
        <v>332</v>
      </c>
      <c r="F117" s="34">
        <v>0</v>
      </c>
      <c r="G117" s="34">
        <v>2200</v>
      </c>
      <c r="H117" s="34">
        <f t="shared" si="2"/>
        <v>2200</v>
      </c>
      <c r="I117" s="34">
        <v>1011</v>
      </c>
      <c r="J117" s="34">
        <f t="shared" si="3"/>
        <v>1</v>
      </c>
      <c r="K117" s="34" t="s">
        <v>90</v>
      </c>
      <c r="L117" s="34" t="str">
        <f>I117 &amp; "-" &amp;VLOOKUP(I117,Střediska!$A$1:$B$40,2,FALSE)</f>
        <v>1011-Muži A</v>
      </c>
      <c r="M117" s="35" t="str">
        <f>VLOOKUP(Zdroj!$I117,Střediska!$A$1:$B$41,2,FALSE)</f>
        <v>Muži A</v>
      </c>
    </row>
    <row r="118" spans="1:13" hidden="1" x14ac:dyDescent="0.2">
      <c r="A118" s="36" t="s">
        <v>334</v>
      </c>
      <c r="B118" s="31" t="s">
        <v>333</v>
      </c>
      <c r="C118" s="31" t="s">
        <v>64</v>
      </c>
      <c r="D118" s="31"/>
      <c r="E118" s="31" t="s">
        <v>335</v>
      </c>
      <c r="F118" s="31">
        <v>0</v>
      </c>
      <c r="G118" s="31">
        <v>750</v>
      </c>
      <c r="H118" s="31">
        <f t="shared" si="2"/>
        <v>750</v>
      </c>
      <c r="I118" s="31">
        <v>1011</v>
      </c>
      <c r="J118" s="31">
        <f t="shared" si="3"/>
        <v>1</v>
      </c>
      <c r="K118" s="31" t="s">
        <v>90</v>
      </c>
      <c r="L118" s="31" t="str">
        <f>I118 &amp; "-" &amp;VLOOKUP(I118,Střediska!$A$1:$B$40,2,FALSE)</f>
        <v>1011-Muži A</v>
      </c>
      <c r="M118" s="32" t="str">
        <f>VLOOKUP(Zdroj!$I118,Střediska!$A$1:$B$41,2,FALSE)</f>
        <v>Muži A</v>
      </c>
    </row>
    <row r="119" spans="1:13" hidden="1" x14ac:dyDescent="0.2">
      <c r="A119" s="33" t="s">
        <v>232</v>
      </c>
      <c r="B119" s="34" t="s">
        <v>336</v>
      </c>
      <c r="C119" s="34" t="s">
        <v>64</v>
      </c>
      <c r="D119" s="34"/>
      <c r="E119" s="34" t="s">
        <v>337</v>
      </c>
      <c r="F119" s="34">
        <v>0</v>
      </c>
      <c r="G119" s="34">
        <v>750</v>
      </c>
      <c r="H119" s="34">
        <f t="shared" si="2"/>
        <v>750</v>
      </c>
      <c r="I119" s="34">
        <v>1011</v>
      </c>
      <c r="J119" s="34">
        <f t="shared" si="3"/>
        <v>1</v>
      </c>
      <c r="K119" s="34" t="s">
        <v>90</v>
      </c>
      <c r="L119" s="34" t="str">
        <f>I119 &amp; "-" &amp;VLOOKUP(I119,Střediska!$A$1:$B$40,2,FALSE)</f>
        <v>1011-Muži A</v>
      </c>
      <c r="M119" s="35" t="str">
        <f>VLOOKUP(Zdroj!$I119,Střediska!$A$1:$B$41,2,FALSE)</f>
        <v>Muži A</v>
      </c>
    </row>
    <row r="120" spans="1:13" hidden="1" x14ac:dyDescent="0.2">
      <c r="A120" s="36" t="s">
        <v>20</v>
      </c>
      <c r="B120" s="31" t="s">
        <v>338</v>
      </c>
      <c r="C120" s="31" t="s">
        <v>19</v>
      </c>
      <c r="D120" s="31"/>
      <c r="E120" s="31" t="s">
        <v>339</v>
      </c>
      <c r="F120" s="31">
        <v>0</v>
      </c>
      <c r="G120" s="31">
        <v>-16320.59</v>
      </c>
      <c r="H120" s="31">
        <f t="shared" si="2"/>
        <v>-16320.59</v>
      </c>
      <c r="I120" s="31">
        <v>1011</v>
      </c>
      <c r="J120" s="31">
        <f t="shared" si="3"/>
        <v>1</v>
      </c>
      <c r="K120" s="31" t="s">
        <v>90</v>
      </c>
      <c r="L120" s="31" t="str">
        <f>I120 &amp; "-" &amp;VLOOKUP(I120,Střediska!$A$1:$B$40,2,FALSE)</f>
        <v>1011-Muži A</v>
      </c>
      <c r="M120" s="32" t="str">
        <f>VLOOKUP(Zdroj!$I120,Střediska!$A$1:$B$41,2,FALSE)</f>
        <v>Muži A</v>
      </c>
    </row>
    <row r="121" spans="1:13" hidden="1" x14ac:dyDescent="0.2">
      <c r="A121" s="33" t="s">
        <v>343</v>
      </c>
      <c r="B121" s="34" t="s">
        <v>342</v>
      </c>
      <c r="C121" s="34" t="s">
        <v>19</v>
      </c>
      <c r="D121" s="34"/>
      <c r="E121" s="34" t="s">
        <v>344</v>
      </c>
      <c r="F121" s="34">
        <v>3160</v>
      </c>
      <c r="G121" s="34">
        <v>0</v>
      </c>
      <c r="H121" s="34">
        <f t="shared" si="2"/>
        <v>-3160</v>
      </c>
      <c r="I121" s="34">
        <v>1012</v>
      </c>
      <c r="J121" s="34">
        <f t="shared" si="3"/>
        <v>1</v>
      </c>
      <c r="K121" s="34" t="s">
        <v>179</v>
      </c>
      <c r="L121" s="34" t="str">
        <f>I121 &amp; "-" &amp;VLOOKUP(I121,Střediska!$A$1:$B$40,2,FALSE)</f>
        <v>1012-Muži B</v>
      </c>
      <c r="M121" s="35" t="str">
        <f>VLOOKUP(Zdroj!$I121,Střediska!$A$1:$B$41,2,FALSE)</f>
        <v>Muži B</v>
      </c>
    </row>
    <row r="122" spans="1:13" hidden="1" x14ac:dyDescent="0.2">
      <c r="A122" s="36" t="s">
        <v>203</v>
      </c>
      <c r="B122" s="31" t="s">
        <v>345</v>
      </c>
      <c r="C122" s="31" t="s">
        <v>19</v>
      </c>
      <c r="D122" s="31"/>
      <c r="E122" s="31" t="s">
        <v>344</v>
      </c>
      <c r="F122" s="31">
        <v>4625</v>
      </c>
      <c r="G122" s="31">
        <v>0</v>
      </c>
      <c r="H122" s="31">
        <f t="shared" si="2"/>
        <v>-4625</v>
      </c>
      <c r="I122" s="31">
        <v>1012</v>
      </c>
      <c r="J122" s="31">
        <f t="shared" si="3"/>
        <v>1</v>
      </c>
      <c r="K122" s="31" t="s">
        <v>179</v>
      </c>
      <c r="L122" s="31" t="str">
        <f>I122 &amp; "-" &amp;VLOOKUP(I122,Střediska!$A$1:$B$40,2,FALSE)</f>
        <v>1012-Muži B</v>
      </c>
      <c r="M122" s="32" t="str">
        <f>VLOOKUP(Zdroj!$I122,Střediska!$A$1:$B$41,2,FALSE)</f>
        <v>Muži B</v>
      </c>
    </row>
    <row r="123" spans="1:13" hidden="1" x14ac:dyDescent="0.2">
      <c r="A123" s="33" t="s">
        <v>261</v>
      </c>
      <c r="B123" s="34" t="s">
        <v>346</v>
      </c>
      <c r="C123" s="34" t="s">
        <v>64</v>
      </c>
      <c r="D123" s="34"/>
      <c r="E123" s="34" t="s">
        <v>347</v>
      </c>
      <c r="F123" s="34">
        <v>0</v>
      </c>
      <c r="G123" s="34">
        <v>750</v>
      </c>
      <c r="H123" s="34">
        <f t="shared" si="2"/>
        <v>750</v>
      </c>
      <c r="I123" s="34">
        <v>1012</v>
      </c>
      <c r="J123" s="34">
        <f t="shared" si="3"/>
        <v>1</v>
      </c>
      <c r="K123" s="34" t="s">
        <v>90</v>
      </c>
      <c r="L123" s="34" t="str">
        <f>I123 &amp; "-" &amp;VLOOKUP(I123,Střediska!$A$1:$B$40,2,FALSE)</f>
        <v>1012-Muži B</v>
      </c>
      <c r="M123" s="35" t="str">
        <f>VLOOKUP(Zdroj!$I123,Střediska!$A$1:$B$41,2,FALSE)</f>
        <v>Muži B</v>
      </c>
    </row>
    <row r="124" spans="1:13" hidden="1" x14ac:dyDescent="0.2">
      <c r="A124" s="36" t="s">
        <v>49</v>
      </c>
      <c r="B124" s="31" t="s">
        <v>91</v>
      </c>
      <c r="C124" s="31" t="s">
        <v>19</v>
      </c>
      <c r="D124" s="31"/>
      <c r="E124" s="31" t="s">
        <v>93</v>
      </c>
      <c r="F124" s="31">
        <v>0</v>
      </c>
      <c r="G124" s="31">
        <v>6584.9699999999993</v>
      </c>
      <c r="H124" s="31">
        <f t="shared" si="2"/>
        <v>6584.9699999999993</v>
      </c>
      <c r="I124" s="31">
        <v>1012</v>
      </c>
      <c r="J124" s="31">
        <f t="shared" si="3"/>
        <v>1</v>
      </c>
      <c r="K124" s="31" t="s">
        <v>90</v>
      </c>
      <c r="L124" s="31" t="str">
        <f>I124 &amp; "-" &amp;VLOOKUP(I124,Střediska!$A$1:$B$40,2,FALSE)</f>
        <v>1012-Muži B</v>
      </c>
      <c r="M124" s="32" t="str">
        <f>VLOOKUP(Zdroj!$I124,Střediska!$A$1:$B$41,2,FALSE)</f>
        <v>Muži B</v>
      </c>
    </row>
    <row r="125" spans="1:13" hidden="1" x14ac:dyDescent="0.2">
      <c r="A125" s="33" t="s">
        <v>349</v>
      </c>
      <c r="B125" s="34" t="s">
        <v>348</v>
      </c>
      <c r="C125" s="34" t="s">
        <v>64</v>
      </c>
      <c r="D125" s="34"/>
      <c r="E125" s="34" t="s">
        <v>350</v>
      </c>
      <c r="F125" s="34">
        <v>0</v>
      </c>
      <c r="G125" s="34">
        <v>750</v>
      </c>
      <c r="H125" s="34">
        <f t="shared" si="2"/>
        <v>750</v>
      </c>
      <c r="I125" s="34">
        <v>1012</v>
      </c>
      <c r="J125" s="34">
        <f t="shared" si="3"/>
        <v>1</v>
      </c>
      <c r="K125" s="34" t="s">
        <v>90</v>
      </c>
      <c r="L125" s="34" t="str">
        <f>I125 &amp; "-" &amp;VLOOKUP(I125,Střediska!$A$1:$B$40,2,FALSE)</f>
        <v>1012-Muži B</v>
      </c>
      <c r="M125" s="35" t="str">
        <f>VLOOKUP(Zdroj!$I125,Střediska!$A$1:$B$41,2,FALSE)</f>
        <v>Muži B</v>
      </c>
    </row>
    <row r="126" spans="1:13" hidden="1" x14ac:dyDescent="0.2">
      <c r="A126" s="36" t="s">
        <v>352</v>
      </c>
      <c r="B126" s="31" t="s">
        <v>351</v>
      </c>
      <c r="C126" s="31" t="s">
        <v>64</v>
      </c>
      <c r="D126" s="31"/>
      <c r="E126" s="31" t="s">
        <v>353</v>
      </c>
      <c r="F126" s="31">
        <v>0</v>
      </c>
      <c r="G126" s="31">
        <v>35000</v>
      </c>
      <c r="H126" s="31">
        <f t="shared" si="2"/>
        <v>35000</v>
      </c>
      <c r="I126" s="31">
        <v>1012</v>
      </c>
      <c r="J126" s="31">
        <f t="shared" si="3"/>
        <v>1</v>
      </c>
      <c r="K126" s="31" t="s">
        <v>90</v>
      </c>
      <c r="L126" s="31" t="str">
        <f>I126 &amp; "-" &amp;VLOOKUP(I126,Střediska!$A$1:$B$40,2,FALSE)</f>
        <v>1012-Muži B</v>
      </c>
      <c r="M126" s="32" t="str">
        <f>VLOOKUP(Zdroj!$I126,Střediska!$A$1:$B$41,2,FALSE)</f>
        <v>Muži B</v>
      </c>
    </row>
    <row r="127" spans="1:13" hidden="1" x14ac:dyDescent="0.2">
      <c r="A127" s="33" t="s">
        <v>20</v>
      </c>
      <c r="B127" s="34" t="s">
        <v>338</v>
      </c>
      <c r="C127" s="34" t="s">
        <v>19</v>
      </c>
      <c r="D127" s="34"/>
      <c r="E127" s="34" t="s">
        <v>339</v>
      </c>
      <c r="F127" s="34">
        <v>0</v>
      </c>
      <c r="G127" s="34">
        <v>-7395.42</v>
      </c>
      <c r="H127" s="34">
        <f t="shared" si="2"/>
        <v>-7395.42</v>
      </c>
      <c r="I127" s="34">
        <v>1012</v>
      </c>
      <c r="J127" s="34">
        <f t="shared" si="3"/>
        <v>1</v>
      </c>
      <c r="K127" s="34" t="s">
        <v>90</v>
      </c>
      <c r="L127" s="34" t="str">
        <f>I127 &amp; "-" &amp;VLOOKUP(I127,Střediska!$A$1:$B$40,2,FALSE)</f>
        <v>1012-Muži B</v>
      </c>
      <c r="M127" s="35" t="str">
        <f>VLOOKUP(Zdroj!$I127,Střediska!$A$1:$B$41,2,FALSE)</f>
        <v>Muži B</v>
      </c>
    </row>
    <row r="128" spans="1:13" hidden="1" x14ac:dyDescent="0.2">
      <c r="A128" s="36" t="s">
        <v>357</v>
      </c>
      <c r="B128" s="31" t="s">
        <v>356</v>
      </c>
      <c r="C128" s="31" t="s">
        <v>209</v>
      </c>
      <c r="D128" s="31"/>
      <c r="E128" s="31" t="s">
        <v>358</v>
      </c>
      <c r="F128" s="31">
        <v>3300</v>
      </c>
      <c r="G128" s="31">
        <v>0</v>
      </c>
      <c r="H128" s="31">
        <f t="shared" si="2"/>
        <v>-3300</v>
      </c>
      <c r="I128" s="31">
        <v>1021</v>
      </c>
      <c r="J128" s="31">
        <f t="shared" si="3"/>
        <v>1</v>
      </c>
      <c r="K128" s="31" t="s">
        <v>103</v>
      </c>
      <c r="L128" s="31" t="str">
        <f>I128 &amp; "-" &amp;VLOOKUP(I128,Střediska!$A$1:$B$40,2,FALSE)</f>
        <v>1021-Junioři</v>
      </c>
      <c r="M128" s="32" t="str">
        <f>VLOOKUP(Zdroj!$I128,Střediska!$A$1:$B$41,2,FALSE)</f>
        <v>Junioři</v>
      </c>
    </row>
    <row r="129" spans="1:13" hidden="1" x14ac:dyDescent="0.2">
      <c r="A129" s="33" t="s">
        <v>25</v>
      </c>
      <c r="B129" s="34" t="s">
        <v>359</v>
      </c>
      <c r="C129" s="34" t="s">
        <v>106</v>
      </c>
      <c r="D129" s="34" t="s">
        <v>360</v>
      </c>
      <c r="E129" s="34" t="s">
        <v>361</v>
      </c>
      <c r="F129" s="34">
        <v>7000</v>
      </c>
      <c r="G129" s="34">
        <v>0</v>
      </c>
      <c r="H129" s="34">
        <f t="shared" si="2"/>
        <v>-7000</v>
      </c>
      <c r="I129" s="34">
        <v>1021</v>
      </c>
      <c r="J129" s="34">
        <f t="shared" si="3"/>
        <v>1</v>
      </c>
      <c r="K129" s="34" t="s">
        <v>110</v>
      </c>
      <c r="L129" s="34" t="str">
        <f>I129 &amp; "-" &amp;VLOOKUP(I129,Střediska!$A$1:$B$40,2,FALSE)</f>
        <v>1021-Junioři</v>
      </c>
      <c r="M129" s="35" t="str">
        <f>VLOOKUP(Zdroj!$I129,Střediska!$A$1:$B$41,2,FALSE)</f>
        <v>Junioři</v>
      </c>
    </row>
    <row r="130" spans="1:13" hidden="1" x14ac:dyDescent="0.2">
      <c r="A130" s="36" t="s">
        <v>28</v>
      </c>
      <c r="B130" s="31" t="s">
        <v>362</v>
      </c>
      <c r="C130" s="31" t="s">
        <v>106</v>
      </c>
      <c r="D130" s="31" t="s">
        <v>360</v>
      </c>
      <c r="E130" s="31" t="s">
        <v>363</v>
      </c>
      <c r="F130" s="31">
        <v>7000</v>
      </c>
      <c r="G130" s="31">
        <v>0</v>
      </c>
      <c r="H130" s="31">
        <f t="shared" ref="H130:H193" si="4">-F130+G130</f>
        <v>-7000</v>
      </c>
      <c r="I130" s="31">
        <v>1021</v>
      </c>
      <c r="J130" s="31">
        <f t="shared" ref="J130:J193" si="5">VALUE(LEFT(I130,1))</f>
        <v>1</v>
      </c>
      <c r="K130" s="31" t="s">
        <v>110</v>
      </c>
      <c r="L130" s="31" t="str">
        <f>I130 &amp; "-" &amp;VLOOKUP(I130,Střediska!$A$1:$B$40,2,FALSE)</f>
        <v>1021-Junioři</v>
      </c>
      <c r="M130" s="32" t="str">
        <f>VLOOKUP(Zdroj!$I130,Střediska!$A$1:$B$41,2,FALSE)</f>
        <v>Junioři</v>
      </c>
    </row>
    <row r="131" spans="1:13" hidden="1" x14ac:dyDescent="0.2">
      <c r="A131" s="33" t="s">
        <v>31</v>
      </c>
      <c r="B131" s="34" t="s">
        <v>364</v>
      </c>
      <c r="C131" s="34" t="s">
        <v>106</v>
      </c>
      <c r="D131" s="34" t="s">
        <v>360</v>
      </c>
      <c r="E131" s="34" t="s">
        <v>365</v>
      </c>
      <c r="F131" s="34">
        <v>7000</v>
      </c>
      <c r="G131" s="34">
        <v>0</v>
      </c>
      <c r="H131" s="34">
        <f t="shared" si="4"/>
        <v>-7000</v>
      </c>
      <c r="I131" s="34">
        <v>1021</v>
      </c>
      <c r="J131" s="34">
        <f t="shared" si="5"/>
        <v>1</v>
      </c>
      <c r="K131" s="34" t="s">
        <v>110</v>
      </c>
      <c r="L131" s="34" t="str">
        <f>I131 &amp; "-" &amp;VLOOKUP(I131,Střediska!$A$1:$B$40,2,FALSE)</f>
        <v>1021-Junioři</v>
      </c>
      <c r="M131" s="35" t="str">
        <f>VLOOKUP(Zdroj!$I131,Střediska!$A$1:$B$41,2,FALSE)</f>
        <v>Junioři</v>
      </c>
    </row>
    <row r="132" spans="1:13" hidden="1" x14ac:dyDescent="0.2">
      <c r="A132" s="36" t="s">
        <v>34</v>
      </c>
      <c r="B132" s="31" t="s">
        <v>366</v>
      </c>
      <c r="C132" s="31" t="s">
        <v>106</v>
      </c>
      <c r="D132" s="31" t="s">
        <v>360</v>
      </c>
      <c r="E132" s="31" t="s">
        <v>367</v>
      </c>
      <c r="F132" s="31">
        <v>7000</v>
      </c>
      <c r="G132" s="31">
        <v>0</v>
      </c>
      <c r="H132" s="31">
        <f t="shared" si="4"/>
        <v>-7000</v>
      </c>
      <c r="I132" s="31">
        <v>1021</v>
      </c>
      <c r="J132" s="31">
        <f t="shared" si="5"/>
        <v>1</v>
      </c>
      <c r="K132" s="31" t="s">
        <v>110</v>
      </c>
      <c r="L132" s="31" t="str">
        <f>I132 &amp; "-" &amp;VLOOKUP(I132,Střediska!$A$1:$B$40,2,FALSE)</f>
        <v>1021-Junioři</v>
      </c>
      <c r="M132" s="32" t="str">
        <f>VLOOKUP(Zdroj!$I132,Střediska!$A$1:$B$41,2,FALSE)</f>
        <v>Junioři</v>
      </c>
    </row>
    <row r="133" spans="1:13" hidden="1" x14ac:dyDescent="0.2">
      <c r="A133" s="33" t="s">
        <v>37</v>
      </c>
      <c r="B133" s="34" t="s">
        <v>368</v>
      </c>
      <c r="C133" s="34" t="s">
        <v>106</v>
      </c>
      <c r="D133" s="34" t="s">
        <v>360</v>
      </c>
      <c r="E133" s="34" t="s">
        <v>369</v>
      </c>
      <c r="F133" s="34">
        <v>7000</v>
      </c>
      <c r="G133" s="34">
        <v>0</v>
      </c>
      <c r="H133" s="34">
        <f t="shared" si="4"/>
        <v>-7000</v>
      </c>
      <c r="I133" s="34">
        <v>1021</v>
      </c>
      <c r="J133" s="34">
        <f t="shared" si="5"/>
        <v>1</v>
      </c>
      <c r="K133" s="34" t="s">
        <v>110</v>
      </c>
      <c r="L133" s="34" t="str">
        <f>I133 &amp; "-" &amp;VLOOKUP(I133,Střediska!$A$1:$B$40,2,FALSE)</f>
        <v>1021-Junioři</v>
      </c>
      <c r="M133" s="35" t="str">
        <f>VLOOKUP(Zdroj!$I133,Střediska!$A$1:$B$41,2,FALSE)</f>
        <v>Junioři</v>
      </c>
    </row>
    <row r="134" spans="1:13" hidden="1" x14ac:dyDescent="0.2">
      <c r="A134" s="36" t="s">
        <v>371</v>
      </c>
      <c r="B134" s="31" t="s">
        <v>370</v>
      </c>
      <c r="C134" s="31" t="s">
        <v>106</v>
      </c>
      <c r="D134" s="31" t="s">
        <v>360</v>
      </c>
      <c r="E134" s="31" t="s">
        <v>372</v>
      </c>
      <c r="F134" s="31">
        <v>5500</v>
      </c>
      <c r="G134" s="31">
        <v>0</v>
      </c>
      <c r="H134" s="31">
        <f t="shared" si="4"/>
        <v>-5500</v>
      </c>
      <c r="I134" s="31">
        <v>1021</v>
      </c>
      <c r="J134" s="31">
        <f t="shared" si="5"/>
        <v>1</v>
      </c>
      <c r="K134" s="31" t="s">
        <v>110</v>
      </c>
      <c r="L134" s="31" t="str">
        <f>I134 &amp; "-" &amp;VLOOKUP(I134,Střediska!$A$1:$B$40,2,FALSE)</f>
        <v>1021-Junioři</v>
      </c>
      <c r="M134" s="32" t="str">
        <f>VLOOKUP(Zdroj!$I134,Střediska!$A$1:$B$41,2,FALSE)</f>
        <v>Junioři</v>
      </c>
    </row>
    <row r="135" spans="1:13" hidden="1" x14ac:dyDescent="0.2">
      <c r="A135" s="33" t="s">
        <v>40</v>
      </c>
      <c r="B135" s="34" t="s">
        <v>373</v>
      </c>
      <c r="C135" s="34" t="s">
        <v>106</v>
      </c>
      <c r="D135" s="34" t="s">
        <v>360</v>
      </c>
      <c r="E135" s="34" t="s">
        <v>374</v>
      </c>
      <c r="F135" s="34">
        <v>5000</v>
      </c>
      <c r="G135" s="34">
        <v>0</v>
      </c>
      <c r="H135" s="34">
        <f t="shared" si="4"/>
        <v>-5000</v>
      </c>
      <c r="I135" s="34">
        <v>1021</v>
      </c>
      <c r="J135" s="34">
        <f t="shared" si="5"/>
        <v>1</v>
      </c>
      <c r="K135" s="34" t="s">
        <v>110</v>
      </c>
      <c r="L135" s="34" t="str">
        <f>I135 &amp; "-" &amp;VLOOKUP(I135,Střediska!$A$1:$B$40,2,FALSE)</f>
        <v>1021-Junioři</v>
      </c>
      <c r="M135" s="35" t="str">
        <f>VLOOKUP(Zdroj!$I135,Střediska!$A$1:$B$41,2,FALSE)</f>
        <v>Junioři</v>
      </c>
    </row>
    <row r="136" spans="1:13" hidden="1" x14ac:dyDescent="0.2">
      <c r="A136" s="36" t="s">
        <v>20</v>
      </c>
      <c r="B136" s="31" t="s">
        <v>18</v>
      </c>
      <c r="C136" s="31" t="s">
        <v>19</v>
      </c>
      <c r="D136" s="31"/>
      <c r="E136" s="31" t="s">
        <v>21</v>
      </c>
      <c r="F136" s="31">
        <v>120839.23</v>
      </c>
      <c r="G136" s="31">
        <v>0</v>
      </c>
      <c r="H136" s="31">
        <f t="shared" si="4"/>
        <v>-120839.23</v>
      </c>
      <c r="I136" s="31">
        <v>1021</v>
      </c>
      <c r="J136" s="31">
        <f t="shared" si="5"/>
        <v>1</v>
      </c>
      <c r="K136" s="31" t="s">
        <v>17</v>
      </c>
      <c r="L136" s="31" t="str">
        <f>I136 &amp; "-" &amp;VLOOKUP(I136,Střediska!$A$1:$B$40,2,FALSE)</f>
        <v>1021-Junioři</v>
      </c>
      <c r="M136" s="32" t="str">
        <f>VLOOKUP(Zdroj!$I136,Střediska!$A$1:$B$41,2,FALSE)</f>
        <v>Junioři</v>
      </c>
    </row>
    <row r="137" spans="1:13" hidden="1" x14ac:dyDescent="0.2">
      <c r="A137" s="33" t="s">
        <v>376</v>
      </c>
      <c r="B137" s="34" t="s">
        <v>375</v>
      </c>
      <c r="C137" s="34" t="s">
        <v>19</v>
      </c>
      <c r="D137" s="34"/>
      <c r="E137" s="34" t="s">
        <v>377</v>
      </c>
      <c r="F137" s="34">
        <v>2120</v>
      </c>
      <c r="G137" s="34">
        <v>0</v>
      </c>
      <c r="H137" s="34">
        <f t="shared" si="4"/>
        <v>-2120</v>
      </c>
      <c r="I137" s="34">
        <v>1021</v>
      </c>
      <c r="J137" s="34">
        <f t="shared" si="5"/>
        <v>1</v>
      </c>
      <c r="K137" s="34" t="s">
        <v>179</v>
      </c>
      <c r="L137" s="34" t="str">
        <f>I137 &amp; "-" &amp;VLOOKUP(I137,Střediska!$A$1:$B$40,2,FALSE)</f>
        <v>1021-Junioři</v>
      </c>
      <c r="M137" s="35" t="str">
        <f>VLOOKUP(Zdroj!$I137,Střediska!$A$1:$B$41,2,FALSE)</f>
        <v>Junioři</v>
      </c>
    </row>
    <row r="138" spans="1:13" hidden="1" x14ac:dyDescent="0.2">
      <c r="A138" s="36" t="s">
        <v>379</v>
      </c>
      <c r="B138" s="31" t="s">
        <v>378</v>
      </c>
      <c r="C138" s="31" t="s">
        <v>19</v>
      </c>
      <c r="D138" s="31"/>
      <c r="E138" s="31" t="s">
        <v>377</v>
      </c>
      <c r="F138" s="31">
        <v>2345</v>
      </c>
      <c r="G138" s="31">
        <v>0</v>
      </c>
      <c r="H138" s="31">
        <f t="shared" si="4"/>
        <v>-2345</v>
      </c>
      <c r="I138" s="31">
        <v>1021</v>
      </c>
      <c r="J138" s="31">
        <f t="shared" si="5"/>
        <v>1</v>
      </c>
      <c r="K138" s="31" t="s">
        <v>179</v>
      </c>
      <c r="L138" s="31" t="str">
        <f>I138 &amp; "-" &amp;VLOOKUP(I138,Střediska!$A$1:$B$40,2,FALSE)</f>
        <v>1021-Junioři</v>
      </c>
      <c r="M138" s="32" t="str">
        <f>VLOOKUP(Zdroj!$I138,Střediska!$A$1:$B$41,2,FALSE)</f>
        <v>Junioři</v>
      </c>
    </row>
    <row r="139" spans="1:13" hidden="1" x14ac:dyDescent="0.2">
      <c r="A139" s="33" t="s">
        <v>381</v>
      </c>
      <c r="B139" s="34" t="s">
        <v>380</v>
      </c>
      <c r="C139" s="34" t="s">
        <v>19</v>
      </c>
      <c r="D139" s="34"/>
      <c r="E139" s="34" t="s">
        <v>377</v>
      </c>
      <c r="F139" s="34">
        <v>1675</v>
      </c>
      <c r="G139" s="34">
        <v>0</v>
      </c>
      <c r="H139" s="34">
        <f t="shared" si="4"/>
        <v>-1675</v>
      </c>
      <c r="I139" s="34">
        <v>1021</v>
      </c>
      <c r="J139" s="34">
        <f t="shared" si="5"/>
        <v>1</v>
      </c>
      <c r="K139" s="34" t="s">
        <v>179</v>
      </c>
      <c r="L139" s="34" t="str">
        <f>I139 &amp; "-" &amp;VLOOKUP(I139,Střediska!$A$1:$B$40,2,FALSE)</f>
        <v>1021-Junioři</v>
      </c>
      <c r="M139" s="35" t="str">
        <f>VLOOKUP(Zdroj!$I139,Střediska!$A$1:$B$41,2,FALSE)</f>
        <v>Junioři</v>
      </c>
    </row>
    <row r="140" spans="1:13" hidden="1" x14ac:dyDescent="0.2">
      <c r="A140" s="36" t="s">
        <v>383</v>
      </c>
      <c r="B140" s="31" t="s">
        <v>382</v>
      </c>
      <c r="C140" s="31" t="s">
        <v>19</v>
      </c>
      <c r="D140" s="31"/>
      <c r="E140" s="31" t="s">
        <v>377</v>
      </c>
      <c r="F140" s="31">
        <v>2205</v>
      </c>
      <c r="G140" s="31">
        <v>0</v>
      </c>
      <c r="H140" s="31">
        <f t="shared" si="4"/>
        <v>-2205</v>
      </c>
      <c r="I140" s="31">
        <v>1021</v>
      </c>
      <c r="J140" s="31">
        <f t="shared" si="5"/>
        <v>1</v>
      </c>
      <c r="K140" s="31" t="s">
        <v>179</v>
      </c>
      <c r="L140" s="31" t="str">
        <f>I140 &amp; "-" &amp;VLOOKUP(I140,Střediska!$A$1:$B$40,2,FALSE)</f>
        <v>1021-Junioři</v>
      </c>
      <c r="M140" s="32" t="str">
        <f>VLOOKUP(Zdroj!$I140,Střediska!$A$1:$B$41,2,FALSE)</f>
        <v>Junioři</v>
      </c>
    </row>
    <row r="141" spans="1:13" hidden="1" x14ac:dyDescent="0.2">
      <c r="A141" s="33" t="s">
        <v>385</v>
      </c>
      <c r="B141" s="34" t="s">
        <v>384</v>
      </c>
      <c r="C141" s="34" t="s">
        <v>19</v>
      </c>
      <c r="D141" s="34"/>
      <c r="E141" s="34" t="s">
        <v>377</v>
      </c>
      <c r="F141" s="34">
        <v>2305</v>
      </c>
      <c r="G141" s="34">
        <v>0</v>
      </c>
      <c r="H141" s="34">
        <f t="shared" si="4"/>
        <v>-2305</v>
      </c>
      <c r="I141" s="34">
        <v>1021</v>
      </c>
      <c r="J141" s="34">
        <f t="shared" si="5"/>
        <v>1</v>
      </c>
      <c r="K141" s="34" t="s">
        <v>179</v>
      </c>
      <c r="L141" s="34" t="str">
        <f>I141 &amp; "-" &amp;VLOOKUP(I141,Střediska!$A$1:$B$40,2,FALSE)</f>
        <v>1021-Junioři</v>
      </c>
      <c r="M141" s="35" t="str">
        <f>VLOOKUP(Zdroj!$I141,Střediska!$A$1:$B$41,2,FALSE)</f>
        <v>Junioři</v>
      </c>
    </row>
    <row r="142" spans="1:13" hidden="1" x14ac:dyDescent="0.2">
      <c r="A142" s="36" t="s">
        <v>387</v>
      </c>
      <c r="B142" s="31" t="s">
        <v>386</v>
      </c>
      <c r="C142" s="31" t="s">
        <v>19</v>
      </c>
      <c r="D142" s="31"/>
      <c r="E142" s="31" t="s">
        <v>377</v>
      </c>
      <c r="F142" s="31">
        <v>1760</v>
      </c>
      <c r="G142" s="31">
        <v>0</v>
      </c>
      <c r="H142" s="31">
        <f t="shared" si="4"/>
        <v>-1760</v>
      </c>
      <c r="I142" s="31">
        <v>1021</v>
      </c>
      <c r="J142" s="31">
        <f t="shared" si="5"/>
        <v>1</v>
      </c>
      <c r="K142" s="31" t="s">
        <v>179</v>
      </c>
      <c r="L142" s="31" t="str">
        <f>I142 &amp; "-" &amp;VLOOKUP(I142,Střediska!$A$1:$B$40,2,FALSE)</f>
        <v>1021-Junioři</v>
      </c>
      <c r="M142" s="32" t="str">
        <f>VLOOKUP(Zdroj!$I142,Střediska!$A$1:$B$41,2,FALSE)</f>
        <v>Junioři</v>
      </c>
    </row>
    <row r="143" spans="1:13" hidden="1" x14ac:dyDescent="0.2">
      <c r="A143" s="33" t="s">
        <v>389</v>
      </c>
      <c r="B143" s="34" t="s">
        <v>388</v>
      </c>
      <c r="C143" s="34" t="s">
        <v>19</v>
      </c>
      <c r="D143" s="34"/>
      <c r="E143" s="34" t="s">
        <v>377</v>
      </c>
      <c r="F143" s="34">
        <v>5320</v>
      </c>
      <c r="G143" s="34">
        <v>0</v>
      </c>
      <c r="H143" s="34">
        <f t="shared" si="4"/>
        <v>-5320</v>
      </c>
      <c r="I143" s="34">
        <v>1021</v>
      </c>
      <c r="J143" s="34">
        <f t="shared" si="5"/>
        <v>1</v>
      </c>
      <c r="K143" s="34" t="s">
        <v>179</v>
      </c>
      <c r="L143" s="34" t="str">
        <f>I143 &amp; "-" &amp;VLOOKUP(I143,Střediska!$A$1:$B$40,2,FALSE)</f>
        <v>1021-Junioři</v>
      </c>
      <c r="M143" s="35" t="str">
        <f>VLOOKUP(Zdroj!$I143,Střediska!$A$1:$B$41,2,FALSE)</f>
        <v>Junioři</v>
      </c>
    </row>
    <row r="144" spans="1:13" hidden="1" x14ac:dyDescent="0.2">
      <c r="A144" s="36" t="s">
        <v>391</v>
      </c>
      <c r="B144" s="31" t="s">
        <v>390</v>
      </c>
      <c r="C144" s="31" t="s">
        <v>209</v>
      </c>
      <c r="D144" s="31"/>
      <c r="E144" s="31" t="s">
        <v>210</v>
      </c>
      <c r="F144" s="31">
        <v>1200</v>
      </c>
      <c r="G144" s="31">
        <v>0</v>
      </c>
      <c r="H144" s="31">
        <f t="shared" si="4"/>
        <v>-1200</v>
      </c>
      <c r="I144" s="31">
        <v>1021</v>
      </c>
      <c r="J144" s="31">
        <f t="shared" si="5"/>
        <v>1</v>
      </c>
      <c r="K144" s="31" t="s">
        <v>207</v>
      </c>
      <c r="L144" s="31" t="str">
        <f>I144 &amp; "-" &amp;VLOOKUP(I144,Střediska!$A$1:$B$40,2,FALSE)</f>
        <v>1021-Junioři</v>
      </c>
      <c r="M144" s="32" t="str">
        <f>VLOOKUP(Zdroj!$I144,Střediska!$A$1:$B$41,2,FALSE)</f>
        <v>Junioři</v>
      </c>
    </row>
    <row r="145" spans="1:13" hidden="1" x14ac:dyDescent="0.2">
      <c r="A145" s="33" t="s">
        <v>376</v>
      </c>
      <c r="B145" s="34" t="s">
        <v>392</v>
      </c>
      <c r="C145" s="34" t="s">
        <v>209</v>
      </c>
      <c r="D145" s="34"/>
      <c r="E145" s="34" t="s">
        <v>210</v>
      </c>
      <c r="F145" s="34">
        <v>1200</v>
      </c>
      <c r="G145" s="34">
        <v>0</v>
      </c>
      <c r="H145" s="34">
        <f t="shared" si="4"/>
        <v>-1200</v>
      </c>
      <c r="I145" s="34">
        <v>1021</v>
      </c>
      <c r="J145" s="34">
        <f t="shared" si="5"/>
        <v>1</v>
      </c>
      <c r="K145" s="34" t="s">
        <v>207</v>
      </c>
      <c r="L145" s="34" t="str">
        <f>I145 &amp; "-" &amp;VLOOKUP(I145,Střediska!$A$1:$B$40,2,FALSE)</f>
        <v>1021-Junioři</v>
      </c>
      <c r="M145" s="35" t="str">
        <f>VLOOKUP(Zdroj!$I145,Střediska!$A$1:$B$41,2,FALSE)</f>
        <v>Junioři</v>
      </c>
    </row>
    <row r="146" spans="1:13" hidden="1" x14ac:dyDescent="0.2">
      <c r="A146" s="36" t="s">
        <v>379</v>
      </c>
      <c r="B146" s="31" t="s">
        <v>393</v>
      </c>
      <c r="C146" s="31" t="s">
        <v>209</v>
      </c>
      <c r="D146" s="31"/>
      <c r="E146" s="31" t="s">
        <v>210</v>
      </c>
      <c r="F146" s="31">
        <v>1200</v>
      </c>
      <c r="G146" s="31">
        <v>0</v>
      </c>
      <c r="H146" s="31">
        <f t="shared" si="4"/>
        <v>-1200</v>
      </c>
      <c r="I146" s="31">
        <v>1021</v>
      </c>
      <c r="J146" s="31">
        <f t="shared" si="5"/>
        <v>1</v>
      </c>
      <c r="K146" s="31" t="s">
        <v>207</v>
      </c>
      <c r="L146" s="31" t="str">
        <f>I146 &amp; "-" &amp;VLOOKUP(I146,Střediska!$A$1:$B$40,2,FALSE)</f>
        <v>1021-Junioři</v>
      </c>
      <c r="M146" s="32" t="str">
        <f>VLOOKUP(Zdroj!$I146,Střediska!$A$1:$B$41,2,FALSE)</f>
        <v>Junioři</v>
      </c>
    </row>
    <row r="147" spans="1:13" hidden="1" x14ac:dyDescent="0.2">
      <c r="A147" s="33" t="s">
        <v>381</v>
      </c>
      <c r="B147" s="34" t="s">
        <v>394</v>
      </c>
      <c r="C147" s="34" t="s">
        <v>209</v>
      </c>
      <c r="D147" s="34"/>
      <c r="E147" s="34" t="s">
        <v>210</v>
      </c>
      <c r="F147" s="34">
        <v>1200</v>
      </c>
      <c r="G147" s="34">
        <v>0</v>
      </c>
      <c r="H147" s="34">
        <f t="shared" si="4"/>
        <v>-1200</v>
      </c>
      <c r="I147" s="34">
        <v>1021</v>
      </c>
      <c r="J147" s="34">
        <f t="shared" si="5"/>
        <v>1</v>
      </c>
      <c r="K147" s="34" t="s">
        <v>207</v>
      </c>
      <c r="L147" s="34" t="str">
        <f>I147 &amp; "-" &amp;VLOOKUP(I147,Střediska!$A$1:$B$40,2,FALSE)</f>
        <v>1021-Junioři</v>
      </c>
      <c r="M147" s="35" t="str">
        <f>VLOOKUP(Zdroj!$I147,Střediska!$A$1:$B$41,2,FALSE)</f>
        <v>Junioři</v>
      </c>
    </row>
    <row r="148" spans="1:13" hidden="1" x14ac:dyDescent="0.2">
      <c r="A148" s="36" t="s">
        <v>383</v>
      </c>
      <c r="B148" s="31" t="s">
        <v>395</v>
      </c>
      <c r="C148" s="31" t="s">
        <v>209</v>
      </c>
      <c r="D148" s="31"/>
      <c r="E148" s="31" t="s">
        <v>210</v>
      </c>
      <c r="F148" s="31">
        <v>1200</v>
      </c>
      <c r="G148" s="31">
        <v>0</v>
      </c>
      <c r="H148" s="31">
        <f t="shared" si="4"/>
        <v>-1200</v>
      </c>
      <c r="I148" s="31">
        <v>1021</v>
      </c>
      <c r="J148" s="31">
        <f t="shared" si="5"/>
        <v>1</v>
      </c>
      <c r="K148" s="31" t="s">
        <v>207</v>
      </c>
      <c r="L148" s="31" t="str">
        <f>I148 &amp; "-" &amp;VLOOKUP(I148,Střediska!$A$1:$B$40,2,FALSE)</f>
        <v>1021-Junioři</v>
      </c>
      <c r="M148" s="32" t="str">
        <f>VLOOKUP(Zdroj!$I148,Střediska!$A$1:$B$41,2,FALSE)</f>
        <v>Junioři</v>
      </c>
    </row>
    <row r="149" spans="1:13" hidden="1" x14ac:dyDescent="0.2">
      <c r="A149" s="33" t="s">
        <v>385</v>
      </c>
      <c r="B149" s="34" t="s">
        <v>396</v>
      </c>
      <c r="C149" s="34" t="s">
        <v>209</v>
      </c>
      <c r="D149" s="34"/>
      <c r="E149" s="34" t="s">
        <v>210</v>
      </c>
      <c r="F149" s="34">
        <v>1200</v>
      </c>
      <c r="G149" s="34">
        <v>0</v>
      </c>
      <c r="H149" s="34">
        <f t="shared" si="4"/>
        <v>-1200</v>
      </c>
      <c r="I149" s="34">
        <v>1021</v>
      </c>
      <c r="J149" s="34">
        <f t="shared" si="5"/>
        <v>1</v>
      </c>
      <c r="K149" s="34" t="s">
        <v>207</v>
      </c>
      <c r="L149" s="34" t="str">
        <f>I149 &amp; "-" &amp;VLOOKUP(I149,Střediska!$A$1:$B$40,2,FALSE)</f>
        <v>1021-Junioři</v>
      </c>
      <c r="M149" s="35" t="str">
        <f>VLOOKUP(Zdroj!$I149,Střediska!$A$1:$B$41,2,FALSE)</f>
        <v>Junioři</v>
      </c>
    </row>
    <row r="150" spans="1:13" hidden="1" x14ac:dyDescent="0.2">
      <c r="A150" s="36" t="s">
        <v>387</v>
      </c>
      <c r="B150" s="31" t="s">
        <v>397</v>
      </c>
      <c r="C150" s="31" t="s">
        <v>209</v>
      </c>
      <c r="D150" s="31"/>
      <c r="E150" s="31" t="s">
        <v>210</v>
      </c>
      <c r="F150" s="31">
        <v>1200</v>
      </c>
      <c r="G150" s="31">
        <v>0</v>
      </c>
      <c r="H150" s="31">
        <f t="shared" si="4"/>
        <v>-1200</v>
      </c>
      <c r="I150" s="31">
        <v>1021</v>
      </c>
      <c r="J150" s="31">
        <f t="shared" si="5"/>
        <v>1</v>
      </c>
      <c r="K150" s="31" t="s">
        <v>207</v>
      </c>
      <c r="L150" s="31" t="str">
        <f>I150 &amp; "-" &amp;VLOOKUP(I150,Střediska!$A$1:$B$40,2,FALSE)</f>
        <v>1021-Junioři</v>
      </c>
      <c r="M150" s="32" t="str">
        <f>VLOOKUP(Zdroj!$I150,Střediska!$A$1:$B$41,2,FALSE)</f>
        <v>Junioři</v>
      </c>
    </row>
    <row r="151" spans="1:13" hidden="1" x14ac:dyDescent="0.2">
      <c r="A151" s="33" t="s">
        <v>20</v>
      </c>
      <c r="B151" s="34" t="s">
        <v>59</v>
      </c>
      <c r="C151" s="34" t="s">
        <v>19</v>
      </c>
      <c r="D151" s="34"/>
      <c r="E151" s="34" t="s">
        <v>60</v>
      </c>
      <c r="F151" s="34">
        <v>35855</v>
      </c>
      <c r="G151" s="34">
        <v>0</v>
      </c>
      <c r="H151" s="34">
        <f t="shared" si="4"/>
        <v>-35855</v>
      </c>
      <c r="I151" s="34">
        <v>1021</v>
      </c>
      <c r="J151" s="34">
        <f t="shared" si="5"/>
        <v>1</v>
      </c>
      <c r="K151" s="34" t="s">
        <v>23</v>
      </c>
      <c r="L151" s="34" t="str">
        <f>I151 &amp; "-" &amp;VLOOKUP(I151,Střediska!$A$1:$B$40,2,FALSE)</f>
        <v>1021-Junioři</v>
      </c>
      <c r="M151" s="35" t="str">
        <f>VLOOKUP(Zdroj!$I151,Střediska!$A$1:$B$41,2,FALSE)</f>
        <v>Junioři</v>
      </c>
    </row>
    <row r="152" spans="1:13" hidden="1" x14ac:dyDescent="0.2">
      <c r="A152" s="36" t="s">
        <v>399</v>
      </c>
      <c r="B152" s="31" t="s">
        <v>398</v>
      </c>
      <c r="C152" s="31" t="s">
        <v>64</v>
      </c>
      <c r="D152" s="31"/>
      <c r="E152" s="31" t="s">
        <v>400</v>
      </c>
      <c r="F152" s="31">
        <v>0</v>
      </c>
      <c r="G152" s="31">
        <v>4600</v>
      </c>
      <c r="H152" s="31">
        <f t="shared" si="4"/>
        <v>4600</v>
      </c>
      <c r="I152" s="31">
        <v>1021</v>
      </c>
      <c r="J152" s="31">
        <f t="shared" si="5"/>
        <v>1</v>
      </c>
      <c r="K152" s="31" t="s">
        <v>90</v>
      </c>
      <c r="L152" s="31" t="str">
        <f>I152 &amp; "-" &amp;VLOOKUP(I152,Střediska!$A$1:$B$40,2,FALSE)</f>
        <v>1021-Junioři</v>
      </c>
      <c r="M152" s="32" t="str">
        <f>VLOOKUP(Zdroj!$I152,Střediska!$A$1:$B$41,2,FALSE)</f>
        <v>Junioři</v>
      </c>
    </row>
    <row r="153" spans="1:13" hidden="1" x14ac:dyDescent="0.2">
      <c r="A153" s="33" t="s">
        <v>399</v>
      </c>
      <c r="B153" s="34" t="s">
        <v>401</v>
      </c>
      <c r="C153" s="34" t="s">
        <v>64</v>
      </c>
      <c r="D153" s="34"/>
      <c r="E153" s="34" t="s">
        <v>402</v>
      </c>
      <c r="F153" s="34">
        <v>0</v>
      </c>
      <c r="G153" s="34">
        <v>4600</v>
      </c>
      <c r="H153" s="34">
        <f t="shared" si="4"/>
        <v>4600</v>
      </c>
      <c r="I153" s="34">
        <v>1021</v>
      </c>
      <c r="J153" s="34">
        <f t="shared" si="5"/>
        <v>1</v>
      </c>
      <c r="K153" s="34" t="s">
        <v>90</v>
      </c>
      <c r="L153" s="34" t="str">
        <f>I153 &amp; "-" &amp;VLOOKUP(I153,Střediska!$A$1:$B$40,2,FALSE)</f>
        <v>1021-Junioři</v>
      </c>
      <c r="M153" s="35" t="str">
        <f>VLOOKUP(Zdroj!$I153,Střediska!$A$1:$B$41,2,FALSE)</f>
        <v>Junioři</v>
      </c>
    </row>
    <row r="154" spans="1:13" hidden="1" x14ac:dyDescent="0.2">
      <c r="A154" s="36" t="s">
        <v>404</v>
      </c>
      <c r="B154" s="31" t="s">
        <v>403</v>
      </c>
      <c r="C154" s="31" t="s">
        <v>64</v>
      </c>
      <c r="D154" s="31"/>
      <c r="E154" s="31" t="s">
        <v>405</v>
      </c>
      <c r="F154" s="31">
        <v>0</v>
      </c>
      <c r="G154" s="31">
        <v>4600</v>
      </c>
      <c r="H154" s="31">
        <f t="shared" si="4"/>
        <v>4600</v>
      </c>
      <c r="I154" s="31">
        <v>1021</v>
      </c>
      <c r="J154" s="31">
        <f t="shared" si="5"/>
        <v>1</v>
      </c>
      <c r="K154" s="31" t="s">
        <v>90</v>
      </c>
      <c r="L154" s="31" t="str">
        <f>I154 &amp; "-" &amp;VLOOKUP(I154,Střediska!$A$1:$B$40,2,FALSE)</f>
        <v>1021-Junioři</v>
      </c>
      <c r="M154" s="32" t="str">
        <f>VLOOKUP(Zdroj!$I154,Střediska!$A$1:$B$41,2,FALSE)</f>
        <v>Junioři</v>
      </c>
    </row>
    <row r="155" spans="1:13" hidden="1" x14ac:dyDescent="0.2">
      <c r="A155" s="33" t="s">
        <v>407</v>
      </c>
      <c r="B155" s="34" t="s">
        <v>406</v>
      </c>
      <c r="C155" s="34" t="s">
        <v>64</v>
      </c>
      <c r="D155" s="34"/>
      <c r="E155" s="34" t="s">
        <v>408</v>
      </c>
      <c r="F155" s="34">
        <v>0</v>
      </c>
      <c r="G155" s="34">
        <v>4600</v>
      </c>
      <c r="H155" s="34">
        <f t="shared" si="4"/>
        <v>4600</v>
      </c>
      <c r="I155" s="34">
        <v>1021</v>
      </c>
      <c r="J155" s="34">
        <f t="shared" si="5"/>
        <v>1</v>
      </c>
      <c r="K155" s="34" t="s">
        <v>90</v>
      </c>
      <c r="L155" s="34" t="str">
        <f>I155 &amp; "-" &amp;VLOOKUP(I155,Střediska!$A$1:$B$40,2,FALSE)</f>
        <v>1021-Junioři</v>
      </c>
      <c r="M155" s="35" t="str">
        <f>VLOOKUP(Zdroj!$I155,Střediska!$A$1:$B$41,2,FALSE)</f>
        <v>Junioři</v>
      </c>
    </row>
    <row r="156" spans="1:13" hidden="1" x14ac:dyDescent="0.2">
      <c r="A156" s="36" t="s">
        <v>410</v>
      </c>
      <c r="B156" s="31" t="s">
        <v>409</v>
      </c>
      <c r="C156" s="31" t="s">
        <v>64</v>
      </c>
      <c r="D156" s="31"/>
      <c r="E156" s="31" t="s">
        <v>411</v>
      </c>
      <c r="F156" s="31">
        <v>0</v>
      </c>
      <c r="G156" s="31">
        <v>4600</v>
      </c>
      <c r="H156" s="31">
        <f t="shared" si="4"/>
        <v>4600</v>
      </c>
      <c r="I156" s="31">
        <v>1021</v>
      </c>
      <c r="J156" s="31">
        <f t="shared" si="5"/>
        <v>1</v>
      </c>
      <c r="K156" s="31" t="s">
        <v>90</v>
      </c>
      <c r="L156" s="31" t="str">
        <f>I156 &amp; "-" &amp;VLOOKUP(I156,Střediska!$A$1:$B$40,2,FALSE)</f>
        <v>1021-Junioři</v>
      </c>
      <c r="M156" s="32" t="str">
        <f>VLOOKUP(Zdroj!$I156,Střediska!$A$1:$B$41,2,FALSE)</f>
        <v>Junioři</v>
      </c>
    </row>
    <row r="157" spans="1:13" hidden="1" x14ac:dyDescent="0.2">
      <c r="A157" s="33" t="s">
        <v>413</v>
      </c>
      <c r="B157" s="34" t="s">
        <v>412</v>
      </c>
      <c r="C157" s="34" t="s">
        <v>64</v>
      </c>
      <c r="D157" s="34"/>
      <c r="E157" s="34" t="s">
        <v>95</v>
      </c>
      <c r="F157" s="34">
        <v>0</v>
      </c>
      <c r="G157" s="34">
        <v>2300</v>
      </c>
      <c r="H157" s="34">
        <f t="shared" si="4"/>
        <v>2300</v>
      </c>
      <c r="I157" s="34">
        <v>1021</v>
      </c>
      <c r="J157" s="34">
        <f t="shared" si="5"/>
        <v>1</v>
      </c>
      <c r="K157" s="34" t="s">
        <v>90</v>
      </c>
      <c r="L157" s="34" t="str">
        <f>I157 &amp; "-" &amp;VLOOKUP(I157,Střediska!$A$1:$B$40,2,FALSE)</f>
        <v>1021-Junioři</v>
      </c>
      <c r="M157" s="35" t="str">
        <f>VLOOKUP(Zdroj!$I157,Střediska!$A$1:$B$41,2,FALSE)</f>
        <v>Junioři</v>
      </c>
    </row>
    <row r="158" spans="1:13" hidden="1" x14ac:dyDescent="0.2">
      <c r="A158" s="36" t="s">
        <v>415</v>
      </c>
      <c r="B158" s="31" t="s">
        <v>414</v>
      </c>
      <c r="C158" s="31" t="s">
        <v>64</v>
      </c>
      <c r="D158" s="31"/>
      <c r="E158" s="31" t="s">
        <v>416</v>
      </c>
      <c r="F158" s="31">
        <v>0</v>
      </c>
      <c r="G158" s="31">
        <v>1000</v>
      </c>
      <c r="H158" s="31">
        <f t="shared" si="4"/>
        <v>1000</v>
      </c>
      <c r="I158" s="31">
        <v>1021</v>
      </c>
      <c r="J158" s="31">
        <f t="shared" si="5"/>
        <v>1</v>
      </c>
      <c r="K158" s="31" t="s">
        <v>90</v>
      </c>
      <c r="L158" s="31" t="str">
        <f>I158 &amp; "-" &amp;VLOOKUP(I158,Střediska!$A$1:$B$40,2,FALSE)</f>
        <v>1021-Junioři</v>
      </c>
      <c r="M158" s="32" t="str">
        <f>VLOOKUP(Zdroj!$I158,Střediska!$A$1:$B$41,2,FALSE)</f>
        <v>Junioři</v>
      </c>
    </row>
    <row r="159" spans="1:13" hidden="1" x14ac:dyDescent="0.2">
      <c r="A159" s="33" t="s">
        <v>418</v>
      </c>
      <c r="B159" s="34" t="s">
        <v>417</v>
      </c>
      <c r="C159" s="34" t="s">
        <v>64</v>
      </c>
      <c r="D159" s="34"/>
      <c r="E159" s="34" t="s">
        <v>419</v>
      </c>
      <c r="F159" s="34">
        <v>0</v>
      </c>
      <c r="G159" s="34">
        <v>2300</v>
      </c>
      <c r="H159" s="34">
        <f t="shared" si="4"/>
        <v>2300</v>
      </c>
      <c r="I159" s="34">
        <v>1021</v>
      </c>
      <c r="J159" s="34">
        <f t="shared" si="5"/>
        <v>1</v>
      </c>
      <c r="K159" s="34" t="s">
        <v>90</v>
      </c>
      <c r="L159" s="34" t="str">
        <f>I159 &amp; "-" &amp;VLOOKUP(I159,Střediska!$A$1:$B$40,2,FALSE)</f>
        <v>1021-Junioři</v>
      </c>
      <c r="M159" s="35" t="str">
        <f>VLOOKUP(Zdroj!$I159,Střediska!$A$1:$B$41,2,FALSE)</f>
        <v>Junioři</v>
      </c>
    </row>
    <row r="160" spans="1:13" hidden="1" x14ac:dyDescent="0.2">
      <c r="A160" s="36" t="s">
        <v>421</v>
      </c>
      <c r="B160" s="31" t="s">
        <v>420</v>
      </c>
      <c r="C160" s="31" t="s">
        <v>64</v>
      </c>
      <c r="D160" s="31"/>
      <c r="E160" s="31" t="s">
        <v>95</v>
      </c>
      <c r="F160" s="31">
        <v>0</v>
      </c>
      <c r="G160" s="31">
        <v>2600</v>
      </c>
      <c r="H160" s="31">
        <f t="shared" si="4"/>
        <v>2600</v>
      </c>
      <c r="I160" s="31">
        <v>1021</v>
      </c>
      <c r="J160" s="31">
        <f t="shared" si="5"/>
        <v>1</v>
      </c>
      <c r="K160" s="31" t="s">
        <v>90</v>
      </c>
      <c r="L160" s="31" t="str">
        <f>I160 &amp; "-" &amp;VLOOKUP(I160,Střediska!$A$1:$B$40,2,FALSE)</f>
        <v>1021-Junioři</v>
      </c>
      <c r="M160" s="32" t="str">
        <f>VLOOKUP(Zdroj!$I160,Střediska!$A$1:$B$41,2,FALSE)</f>
        <v>Junioři</v>
      </c>
    </row>
    <row r="161" spans="1:13" hidden="1" x14ac:dyDescent="0.2">
      <c r="A161" s="33" t="s">
        <v>423</v>
      </c>
      <c r="B161" s="34" t="s">
        <v>422</v>
      </c>
      <c r="C161" s="34" t="s">
        <v>64</v>
      </c>
      <c r="D161" s="34"/>
      <c r="E161" s="34" t="s">
        <v>95</v>
      </c>
      <c r="F161" s="34">
        <v>0</v>
      </c>
      <c r="G161" s="34">
        <v>1000</v>
      </c>
      <c r="H161" s="34">
        <f t="shared" si="4"/>
        <v>1000</v>
      </c>
      <c r="I161" s="34">
        <v>1021</v>
      </c>
      <c r="J161" s="34">
        <f t="shared" si="5"/>
        <v>1</v>
      </c>
      <c r="K161" s="34" t="s">
        <v>90</v>
      </c>
      <c r="L161" s="34" t="str">
        <f>I161 &amp; "-" &amp;VLOOKUP(I161,Střediska!$A$1:$B$40,2,FALSE)</f>
        <v>1021-Junioři</v>
      </c>
      <c r="M161" s="35" t="str">
        <f>VLOOKUP(Zdroj!$I161,Střediska!$A$1:$B$41,2,FALSE)</f>
        <v>Junioři</v>
      </c>
    </row>
    <row r="162" spans="1:13" hidden="1" x14ac:dyDescent="0.2">
      <c r="A162" s="36" t="s">
        <v>425</v>
      </c>
      <c r="B162" s="31" t="s">
        <v>424</v>
      </c>
      <c r="C162" s="31" t="s">
        <v>64</v>
      </c>
      <c r="D162" s="31"/>
      <c r="E162" s="31" t="s">
        <v>426</v>
      </c>
      <c r="F162" s="31">
        <v>0</v>
      </c>
      <c r="G162" s="31">
        <v>4600</v>
      </c>
      <c r="H162" s="31">
        <f t="shared" si="4"/>
        <v>4600</v>
      </c>
      <c r="I162" s="31">
        <v>1021</v>
      </c>
      <c r="J162" s="31">
        <f t="shared" si="5"/>
        <v>1</v>
      </c>
      <c r="K162" s="31" t="s">
        <v>90</v>
      </c>
      <c r="L162" s="31" t="str">
        <f>I162 &amp; "-" &amp;VLOOKUP(I162,Střediska!$A$1:$B$40,2,FALSE)</f>
        <v>1021-Junioři</v>
      </c>
      <c r="M162" s="32" t="str">
        <f>VLOOKUP(Zdroj!$I162,Střediska!$A$1:$B$41,2,FALSE)</f>
        <v>Junioři</v>
      </c>
    </row>
    <row r="163" spans="1:13" hidden="1" x14ac:dyDescent="0.2">
      <c r="A163" s="33" t="s">
        <v>425</v>
      </c>
      <c r="B163" s="34" t="s">
        <v>427</v>
      </c>
      <c r="C163" s="34" t="s">
        <v>64</v>
      </c>
      <c r="D163" s="34"/>
      <c r="E163" s="34" t="s">
        <v>428</v>
      </c>
      <c r="F163" s="34">
        <v>0</v>
      </c>
      <c r="G163" s="34">
        <v>500</v>
      </c>
      <c r="H163" s="34">
        <f t="shared" si="4"/>
        <v>500</v>
      </c>
      <c r="I163" s="34">
        <v>1021</v>
      </c>
      <c r="J163" s="34">
        <f t="shared" si="5"/>
        <v>1</v>
      </c>
      <c r="K163" s="34" t="s">
        <v>90</v>
      </c>
      <c r="L163" s="34" t="str">
        <f>I163 &amp; "-" &amp;VLOOKUP(I163,Střediska!$A$1:$B$40,2,FALSE)</f>
        <v>1021-Junioři</v>
      </c>
      <c r="M163" s="35" t="str">
        <f>VLOOKUP(Zdroj!$I163,Střediska!$A$1:$B$41,2,FALSE)</f>
        <v>Junioři</v>
      </c>
    </row>
    <row r="164" spans="1:13" hidden="1" x14ac:dyDescent="0.2">
      <c r="A164" s="36" t="s">
        <v>256</v>
      </c>
      <c r="B164" s="31" t="s">
        <v>430</v>
      </c>
      <c r="C164" s="31" t="s">
        <v>64</v>
      </c>
      <c r="D164" s="31"/>
      <c r="E164" s="31" t="s">
        <v>431</v>
      </c>
      <c r="F164" s="31">
        <v>0</v>
      </c>
      <c r="G164" s="31">
        <v>5300</v>
      </c>
      <c r="H164" s="31">
        <f t="shared" si="4"/>
        <v>5300</v>
      </c>
      <c r="I164" s="31">
        <v>1021</v>
      </c>
      <c r="J164" s="31">
        <f t="shared" si="5"/>
        <v>1</v>
      </c>
      <c r="K164" s="31" t="s">
        <v>90</v>
      </c>
      <c r="L164" s="31" t="str">
        <f>I164 &amp; "-" &amp;VLOOKUP(I164,Střediska!$A$1:$B$40,2,FALSE)</f>
        <v>1021-Junioři</v>
      </c>
      <c r="M164" s="32" t="str">
        <f>VLOOKUP(Zdroj!$I164,Střediska!$A$1:$B$41,2,FALSE)</f>
        <v>Junioři</v>
      </c>
    </row>
    <row r="165" spans="1:13" hidden="1" x14ac:dyDescent="0.2">
      <c r="A165" s="33" t="s">
        <v>433</v>
      </c>
      <c r="B165" s="34" t="s">
        <v>432</v>
      </c>
      <c r="C165" s="34" t="s">
        <v>64</v>
      </c>
      <c r="D165" s="34"/>
      <c r="E165" s="34" t="s">
        <v>434</v>
      </c>
      <c r="F165" s="34">
        <v>0</v>
      </c>
      <c r="G165" s="34">
        <v>5300</v>
      </c>
      <c r="H165" s="34">
        <f t="shared" si="4"/>
        <v>5300</v>
      </c>
      <c r="I165" s="34">
        <v>1021</v>
      </c>
      <c r="J165" s="34">
        <f t="shared" si="5"/>
        <v>1</v>
      </c>
      <c r="K165" s="34" t="s">
        <v>90</v>
      </c>
      <c r="L165" s="34" t="str">
        <f>I165 &amp; "-" &amp;VLOOKUP(I165,Střediska!$A$1:$B$40,2,FALSE)</f>
        <v>1021-Junioři</v>
      </c>
      <c r="M165" s="35" t="str">
        <f>VLOOKUP(Zdroj!$I165,Střediska!$A$1:$B$41,2,FALSE)</f>
        <v>Junioři</v>
      </c>
    </row>
    <row r="166" spans="1:13" hidden="1" x14ac:dyDescent="0.2">
      <c r="A166" s="36" t="s">
        <v>264</v>
      </c>
      <c r="B166" s="31" t="s">
        <v>435</v>
      </c>
      <c r="C166" s="31" t="s">
        <v>64</v>
      </c>
      <c r="D166" s="31"/>
      <c r="E166" s="31" t="s">
        <v>436</v>
      </c>
      <c r="F166" s="31">
        <v>0</v>
      </c>
      <c r="G166" s="31">
        <v>5300</v>
      </c>
      <c r="H166" s="31">
        <f t="shared" si="4"/>
        <v>5300</v>
      </c>
      <c r="I166" s="31">
        <v>1021</v>
      </c>
      <c r="J166" s="31">
        <f t="shared" si="5"/>
        <v>1</v>
      </c>
      <c r="K166" s="31" t="s">
        <v>90</v>
      </c>
      <c r="L166" s="31" t="str">
        <f>I166 &amp; "-" &amp;VLOOKUP(I166,Střediska!$A$1:$B$40,2,FALSE)</f>
        <v>1021-Junioři</v>
      </c>
      <c r="M166" s="32" t="str">
        <f>VLOOKUP(Zdroj!$I166,Střediska!$A$1:$B$41,2,FALSE)</f>
        <v>Junioři</v>
      </c>
    </row>
    <row r="167" spans="1:13" hidden="1" x14ac:dyDescent="0.2">
      <c r="A167" s="33" t="s">
        <v>264</v>
      </c>
      <c r="B167" s="34" t="s">
        <v>437</v>
      </c>
      <c r="C167" s="34" t="s">
        <v>64</v>
      </c>
      <c r="D167" s="34"/>
      <c r="E167" s="34" t="s">
        <v>438</v>
      </c>
      <c r="F167" s="34">
        <v>0</v>
      </c>
      <c r="G167" s="34">
        <v>5300</v>
      </c>
      <c r="H167" s="34">
        <f t="shared" si="4"/>
        <v>5300</v>
      </c>
      <c r="I167" s="34">
        <v>1021</v>
      </c>
      <c r="J167" s="34">
        <f t="shared" si="5"/>
        <v>1</v>
      </c>
      <c r="K167" s="34" t="s">
        <v>90</v>
      </c>
      <c r="L167" s="34" t="str">
        <f>I167 &amp; "-" &amp;VLOOKUP(I167,Střediska!$A$1:$B$40,2,FALSE)</f>
        <v>1021-Junioři</v>
      </c>
      <c r="M167" s="35" t="str">
        <f>VLOOKUP(Zdroj!$I167,Střediska!$A$1:$B$41,2,FALSE)</f>
        <v>Junioři</v>
      </c>
    </row>
    <row r="168" spans="1:13" hidden="1" x14ac:dyDescent="0.2">
      <c r="A168" s="36" t="s">
        <v>267</v>
      </c>
      <c r="B168" s="31" t="s">
        <v>439</v>
      </c>
      <c r="C168" s="31" t="s">
        <v>64</v>
      </c>
      <c r="D168" s="31"/>
      <c r="E168" s="31" t="s">
        <v>440</v>
      </c>
      <c r="F168" s="31">
        <v>0</v>
      </c>
      <c r="G168" s="31">
        <v>5300</v>
      </c>
      <c r="H168" s="31">
        <f t="shared" si="4"/>
        <v>5300</v>
      </c>
      <c r="I168" s="31">
        <v>1021</v>
      </c>
      <c r="J168" s="31">
        <f t="shared" si="5"/>
        <v>1</v>
      </c>
      <c r="K168" s="31" t="s">
        <v>90</v>
      </c>
      <c r="L168" s="31" t="str">
        <f>I168 &amp; "-" &amp;VLOOKUP(I168,Střediska!$A$1:$B$40,2,FALSE)</f>
        <v>1021-Junioři</v>
      </c>
      <c r="M168" s="32" t="str">
        <f>VLOOKUP(Zdroj!$I168,Střediska!$A$1:$B$41,2,FALSE)</f>
        <v>Junioři</v>
      </c>
    </row>
    <row r="169" spans="1:13" hidden="1" x14ac:dyDescent="0.2">
      <c r="A169" s="33" t="s">
        <v>267</v>
      </c>
      <c r="B169" s="34" t="s">
        <v>441</v>
      </c>
      <c r="C169" s="34" t="s">
        <v>64</v>
      </c>
      <c r="D169" s="34"/>
      <c r="E169" s="34" t="s">
        <v>442</v>
      </c>
      <c r="F169" s="34">
        <v>0</v>
      </c>
      <c r="G169" s="34">
        <v>5300</v>
      </c>
      <c r="H169" s="34">
        <f t="shared" si="4"/>
        <v>5300</v>
      </c>
      <c r="I169" s="34">
        <v>1021</v>
      </c>
      <c r="J169" s="34">
        <f t="shared" si="5"/>
        <v>1</v>
      </c>
      <c r="K169" s="34" t="s">
        <v>90</v>
      </c>
      <c r="L169" s="34" t="str">
        <f>I169 &amp; "-" &amp;VLOOKUP(I169,Střediska!$A$1:$B$40,2,FALSE)</f>
        <v>1021-Junioři</v>
      </c>
      <c r="M169" s="35" t="str">
        <f>VLOOKUP(Zdroj!$I169,Střediska!$A$1:$B$41,2,FALSE)</f>
        <v>Junioři</v>
      </c>
    </row>
    <row r="170" spans="1:13" hidden="1" x14ac:dyDescent="0.2">
      <c r="A170" s="36" t="s">
        <v>444</v>
      </c>
      <c r="B170" s="31" t="s">
        <v>443</v>
      </c>
      <c r="C170" s="31" t="s">
        <v>64</v>
      </c>
      <c r="D170" s="31"/>
      <c r="E170" s="31" t="s">
        <v>445</v>
      </c>
      <c r="F170" s="31">
        <v>0</v>
      </c>
      <c r="G170" s="31">
        <v>5300</v>
      </c>
      <c r="H170" s="31">
        <f t="shared" si="4"/>
        <v>5300</v>
      </c>
      <c r="I170" s="31">
        <v>1021</v>
      </c>
      <c r="J170" s="31">
        <f t="shared" si="5"/>
        <v>1</v>
      </c>
      <c r="K170" s="31" t="s">
        <v>90</v>
      </c>
      <c r="L170" s="31" t="str">
        <f>I170 &amp; "-" &amp;VLOOKUP(I170,Střediska!$A$1:$B$40,2,FALSE)</f>
        <v>1021-Junioři</v>
      </c>
      <c r="M170" s="32" t="str">
        <f>VLOOKUP(Zdroj!$I170,Střediska!$A$1:$B$41,2,FALSE)</f>
        <v>Junioři</v>
      </c>
    </row>
    <row r="171" spans="1:13" hidden="1" x14ac:dyDescent="0.2">
      <c r="A171" s="33" t="s">
        <v>49</v>
      </c>
      <c r="B171" s="34" t="s">
        <v>91</v>
      </c>
      <c r="C171" s="34" t="s">
        <v>19</v>
      </c>
      <c r="D171" s="34"/>
      <c r="E171" s="34" t="s">
        <v>93</v>
      </c>
      <c r="F171" s="34">
        <v>0</v>
      </c>
      <c r="G171" s="34">
        <v>11143.79</v>
      </c>
      <c r="H171" s="34">
        <f t="shared" si="4"/>
        <v>11143.79</v>
      </c>
      <c r="I171" s="34">
        <v>1021</v>
      </c>
      <c r="J171" s="34">
        <f t="shared" si="5"/>
        <v>1</v>
      </c>
      <c r="K171" s="34" t="s">
        <v>90</v>
      </c>
      <c r="L171" s="34" t="str">
        <f>I171 &amp; "-" &amp;VLOOKUP(I171,Střediska!$A$1:$B$40,2,FALSE)</f>
        <v>1021-Junioři</v>
      </c>
      <c r="M171" s="35" t="str">
        <f>VLOOKUP(Zdroj!$I171,Střediska!$A$1:$B$41,2,FALSE)</f>
        <v>Junioři</v>
      </c>
    </row>
    <row r="172" spans="1:13" hidden="1" x14ac:dyDescent="0.2">
      <c r="A172" s="36" t="s">
        <v>49</v>
      </c>
      <c r="B172" s="31" t="s">
        <v>446</v>
      </c>
      <c r="C172" s="31" t="s">
        <v>64</v>
      </c>
      <c r="D172" s="31"/>
      <c r="E172" s="31" t="s">
        <v>447</v>
      </c>
      <c r="F172" s="31">
        <v>0</v>
      </c>
      <c r="G172" s="31">
        <v>5300</v>
      </c>
      <c r="H172" s="31">
        <f t="shared" si="4"/>
        <v>5300</v>
      </c>
      <c r="I172" s="31">
        <v>1021</v>
      </c>
      <c r="J172" s="31">
        <f t="shared" si="5"/>
        <v>1</v>
      </c>
      <c r="K172" s="31" t="s">
        <v>90</v>
      </c>
      <c r="L172" s="31" t="str">
        <f>I172 &amp; "-" &amp;VLOOKUP(I172,Střediska!$A$1:$B$40,2,FALSE)</f>
        <v>1021-Junioři</v>
      </c>
      <c r="M172" s="32" t="str">
        <f>VLOOKUP(Zdroj!$I172,Střediska!$A$1:$B$41,2,FALSE)</f>
        <v>Junioři</v>
      </c>
    </row>
    <row r="173" spans="1:13" hidden="1" x14ac:dyDescent="0.2">
      <c r="A173" s="33" t="s">
        <v>349</v>
      </c>
      <c r="B173" s="34" t="s">
        <v>448</v>
      </c>
      <c r="C173" s="34" t="s">
        <v>64</v>
      </c>
      <c r="D173" s="34"/>
      <c r="E173" s="34" t="s">
        <v>449</v>
      </c>
      <c r="F173" s="34">
        <v>0</v>
      </c>
      <c r="G173" s="34">
        <v>3500</v>
      </c>
      <c r="H173" s="34">
        <f t="shared" si="4"/>
        <v>3500</v>
      </c>
      <c r="I173" s="34">
        <v>1021</v>
      </c>
      <c r="J173" s="34">
        <f t="shared" si="5"/>
        <v>1</v>
      </c>
      <c r="K173" s="34" t="s">
        <v>90</v>
      </c>
      <c r="L173" s="34" t="str">
        <f>I173 &amp; "-" &amp;VLOOKUP(I173,Střediska!$A$1:$B$40,2,FALSE)</f>
        <v>1021-Junioři</v>
      </c>
      <c r="M173" s="35" t="str">
        <f>VLOOKUP(Zdroj!$I173,Střediska!$A$1:$B$41,2,FALSE)</f>
        <v>Junioři</v>
      </c>
    </row>
    <row r="174" spans="1:13" hidden="1" x14ac:dyDescent="0.2">
      <c r="A174" s="36" t="s">
        <v>451</v>
      </c>
      <c r="B174" s="31" t="s">
        <v>450</v>
      </c>
      <c r="C174" s="31" t="s">
        <v>64</v>
      </c>
      <c r="D174" s="31"/>
      <c r="E174" s="31" t="s">
        <v>452</v>
      </c>
      <c r="F174" s="31">
        <v>0</v>
      </c>
      <c r="G174" s="31">
        <v>5300</v>
      </c>
      <c r="H174" s="31">
        <f t="shared" si="4"/>
        <v>5300</v>
      </c>
      <c r="I174" s="31">
        <v>1021</v>
      </c>
      <c r="J174" s="31">
        <f t="shared" si="5"/>
        <v>1</v>
      </c>
      <c r="K174" s="31" t="s">
        <v>90</v>
      </c>
      <c r="L174" s="31" t="str">
        <f>I174 &amp; "-" &amp;VLOOKUP(I174,Střediska!$A$1:$B$40,2,FALSE)</f>
        <v>1021-Junioři</v>
      </c>
      <c r="M174" s="32" t="str">
        <f>VLOOKUP(Zdroj!$I174,Střediska!$A$1:$B$41,2,FALSE)</f>
        <v>Junioři</v>
      </c>
    </row>
    <row r="175" spans="1:13" hidden="1" x14ac:dyDescent="0.2">
      <c r="A175" s="33" t="s">
        <v>282</v>
      </c>
      <c r="B175" s="34" t="s">
        <v>453</v>
      </c>
      <c r="C175" s="34" t="s">
        <v>64</v>
      </c>
      <c r="D175" s="34"/>
      <c r="E175" s="34" t="s">
        <v>95</v>
      </c>
      <c r="F175" s="34">
        <v>0</v>
      </c>
      <c r="G175" s="34">
        <v>5300</v>
      </c>
      <c r="H175" s="34">
        <f t="shared" si="4"/>
        <v>5300</v>
      </c>
      <c r="I175" s="34">
        <v>1021</v>
      </c>
      <c r="J175" s="34">
        <f t="shared" si="5"/>
        <v>1</v>
      </c>
      <c r="K175" s="34" t="s">
        <v>90</v>
      </c>
      <c r="L175" s="34" t="str">
        <f>I175 &amp; "-" &amp;VLOOKUP(I175,Střediska!$A$1:$B$40,2,FALSE)</f>
        <v>1021-Junioři</v>
      </c>
      <c r="M175" s="35" t="str">
        <f>VLOOKUP(Zdroj!$I175,Střediska!$A$1:$B$41,2,FALSE)</f>
        <v>Junioři</v>
      </c>
    </row>
    <row r="176" spans="1:13" hidden="1" x14ac:dyDescent="0.2">
      <c r="A176" s="36" t="s">
        <v>455</v>
      </c>
      <c r="B176" s="31" t="s">
        <v>454</v>
      </c>
      <c r="C176" s="31" t="s">
        <v>64</v>
      </c>
      <c r="D176" s="31"/>
      <c r="E176" s="31" t="s">
        <v>456</v>
      </c>
      <c r="F176" s="31">
        <v>0</v>
      </c>
      <c r="G176" s="31">
        <v>750</v>
      </c>
      <c r="H176" s="31">
        <f t="shared" si="4"/>
        <v>750</v>
      </c>
      <c r="I176" s="31">
        <v>1021</v>
      </c>
      <c r="J176" s="31">
        <f t="shared" si="5"/>
        <v>1</v>
      </c>
      <c r="K176" s="31" t="s">
        <v>90</v>
      </c>
      <c r="L176" s="31" t="str">
        <f>I176 &amp; "-" &amp;VLOOKUP(I176,Střediska!$A$1:$B$40,2,FALSE)</f>
        <v>1021-Junioři</v>
      </c>
      <c r="M176" s="32" t="str">
        <f>VLOOKUP(Zdroj!$I176,Střediska!$A$1:$B$41,2,FALSE)</f>
        <v>Junioři</v>
      </c>
    </row>
    <row r="177" spans="1:13" hidden="1" x14ac:dyDescent="0.2">
      <c r="A177" s="33" t="s">
        <v>293</v>
      </c>
      <c r="B177" s="34" t="s">
        <v>457</v>
      </c>
      <c r="C177" s="34" t="s">
        <v>64</v>
      </c>
      <c r="D177" s="34"/>
      <c r="E177" s="34" t="s">
        <v>95</v>
      </c>
      <c r="F177" s="34">
        <v>0</v>
      </c>
      <c r="G177" s="34">
        <v>5300</v>
      </c>
      <c r="H177" s="34">
        <f t="shared" si="4"/>
        <v>5300</v>
      </c>
      <c r="I177" s="34">
        <v>1021</v>
      </c>
      <c r="J177" s="34">
        <f t="shared" si="5"/>
        <v>1</v>
      </c>
      <c r="K177" s="34" t="s">
        <v>90</v>
      </c>
      <c r="L177" s="34" t="str">
        <f>I177 &amp; "-" &amp;VLOOKUP(I177,Střediska!$A$1:$B$40,2,FALSE)</f>
        <v>1021-Junioři</v>
      </c>
      <c r="M177" s="35" t="str">
        <f>VLOOKUP(Zdroj!$I177,Střediska!$A$1:$B$41,2,FALSE)</f>
        <v>Junioři</v>
      </c>
    </row>
    <row r="178" spans="1:13" hidden="1" x14ac:dyDescent="0.2">
      <c r="A178" s="36" t="s">
        <v>459</v>
      </c>
      <c r="B178" s="31" t="s">
        <v>458</v>
      </c>
      <c r="C178" s="31" t="s">
        <v>64</v>
      </c>
      <c r="D178" s="31"/>
      <c r="E178" s="31" t="s">
        <v>460</v>
      </c>
      <c r="F178" s="31">
        <v>0</v>
      </c>
      <c r="G178" s="31">
        <v>750</v>
      </c>
      <c r="H178" s="31">
        <f t="shared" si="4"/>
        <v>750</v>
      </c>
      <c r="I178" s="31">
        <v>1021</v>
      </c>
      <c r="J178" s="31">
        <f t="shared" si="5"/>
        <v>1</v>
      </c>
      <c r="K178" s="31" t="s">
        <v>90</v>
      </c>
      <c r="L178" s="31" t="str">
        <f>I178 &amp; "-" &amp;VLOOKUP(I178,Střediska!$A$1:$B$40,2,FALSE)</f>
        <v>1021-Junioři</v>
      </c>
      <c r="M178" s="32" t="str">
        <f>VLOOKUP(Zdroj!$I178,Střediska!$A$1:$B$41,2,FALSE)</f>
        <v>Junioři</v>
      </c>
    </row>
    <row r="179" spans="1:13" hidden="1" x14ac:dyDescent="0.2">
      <c r="A179" s="33" t="s">
        <v>462</v>
      </c>
      <c r="B179" s="34" t="s">
        <v>461</v>
      </c>
      <c r="C179" s="34" t="s">
        <v>64</v>
      </c>
      <c r="D179" s="34"/>
      <c r="E179" s="34" t="s">
        <v>463</v>
      </c>
      <c r="F179" s="34">
        <v>0</v>
      </c>
      <c r="G179" s="34">
        <v>2000</v>
      </c>
      <c r="H179" s="34">
        <f t="shared" si="4"/>
        <v>2000</v>
      </c>
      <c r="I179" s="34">
        <v>1021</v>
      </c>
      <c r="J179" s="34">
        <f t="shared" si="5"/>
        <v>1</v>
      </c>
      <c r="K179" s="34" t="s">
        <v>90</v>
      </c>
      <c r="L179" s="34" t="str">
        <f>I179 &amp; "-" &amp;VLOOKUP(I179,Střediska!$A$1:$B$40,2,FALSE)</f>
        <v>1021-Junioři</v>
      </c>
      <c r="M179" s="35" t="str">
        <f>VLOOKUP(Zdroj!$I179,Střediska!$A$1:$B$41,2,FALSE)</f>
        <v>Junioři</v>
      </c>
    </row>
    <row r="180" spans="1:13" hidden="1" x14ac:dyDescent="0.2">
      <c r="A180" s="36" t="s">
        <v>462</v>
      </c>
      <c r="B180" s="31" t="s">
        <v>464</v>
      </c>
      <c r="C180" s="31" t="s">
        <v>64</v>
      </c>
      <c r="D180" s="31"/>
      <c r="E180" s="31" t="s">
        <v>465</v>
      </c>
      <c r="F180" s="31">
        <v>0</v>
      </c>
      <c r="G180" s="31">
        <v>750</v>
      </c>
      <c r="H180" s="31">
        <f t="shared" si="4"/>
        <v>750</v>
      </c>
      <c r="I180" s="31">
        <v>1021</v>
      </c>
      <c r="J180" s="31">
        <f t="shared" si="5"/>
        <v>1</v>
      </c>
      <c r="K180" s="31" t="s">
        <v>90</v>
      </c>
      <c r="L180" s="31" t="str">
        <f>I180 &amp; "-" &amp;VLOOKUP(I180,Střediska!$A$1:$B$40,2,FALSE)</f>
        <v>1021-Junioři</v>
      </c>
      <c r="M180" s="32" t="str">
        <f>VLOOKUP(Zdroj!$I180,Střediska!$A$1:$B$41,2,FALSE)</f>
        <v>Junioři</v>
      </c>
    </row>
    <row r="181" spans="1:13" hidden="1" x14ac:dyDescent="0.2">
      <c r="A181" s="33" t="s">
        <v>467</v>
      </c>
      <c r="B181" s="34" t="s">
        <v>466</v>
      </c>
      <c r="C181" s="34" t="s">
        <v>64</v>
      </c>
      <c r="D181" s="34"/>
      <c r="E181" s="34" t="s">
        <v>95</v>
      </c>
      <c r="F181" s="34">
        <v>0</v>
      </c>
      <c r="G181" s="34">
        <v>750</v>
      </c>
      <c r="H181" s="34">
        <f t="shared" si="4"/>
        <v>750</v>
      </c>
      <c r="I181" s="34">
        <v>1021</v>
      </c>
      <c r="J181" s="34">
        <f t="shared" si="5"/>
        <v>1</v>
      </c>
      <c r="K181" s="34" t="s">
        <v>90</v>
      </c>
      <c r="L181" s="34" t="str">
        <f>I181 &amp; "-" &amp;VLOOKUP(I181,Střediska!$A$1:$B$40,2,FALSE)</f>
        <v>1021-Junioři</v>
      </c>
      <c r="M181" s="35" t="str">
        <f>VLOOKUP(Zdroj!$I181,Střediska!$A$1:$B$41,2,FALSE)</f>
        <v>Junioři</v>
      </c>
    </row>
    <row r="182" spans="1:13" hidden="1" x14ac:dyDescent="0.2">
      <c r="A182" s="36" t="s">
        <v>20</v>
      </c>
      <c r="B182" s="31" t="s">
        <v>338</v>
      </c>
      <c r="C182" s="31" t="s">
        <v>19</v>
      </c>
      <c r="D182" s="31"/>
      <c r="E182" s="31" t="s">
        <v>339</v>
      </c>
      <c r="F182" s="31">
        <v>0</v>
      </c>
      <c r="G182" s="31">
        <v>-13635.949999999999</v>
      </c>
      <c r="H182" s="31">
        <f t="shared" si="4"/>
        <v>-13635.949999999999</v>
      </c>
      <c r="I182" s="31">
        <v>1021</v>
      </c>
      <c r="J182" s="31">
        <f t="shared" si="5"/>
        <v>1</v>
      </c>
      <c r="K182" s="31" t="s">
        <v>90</v>
      </c>
      <c r="L182" s="31" t="str">
        <f>I182 &amp; "-" &amp;VLOOKUP(I182,Střediska!$A$1:$B$40,2,FALSE)</f>
        <v>1021-Junioři</v>
      </c>
      <c r="M182" s="32" t="str">
        <f>VLOOKUP(Zdroj!$I182,Střediska!$A$1:$B$41,2,FALSE)</f>
        <v>Junioři</v>
      </c>
    </row>
    <row r="183" spans="1:13" hidden="1" x14ac:dyDescent="0.2">
      <c r="A183" s="33" t="s">
        <v>472</v>
      </c>
      <c r="B183" s="34" t="s">
        <v>470</v>
      </c>
      <c r="C183" s="34" t="s">
        <v>106</v>
      </c>
      <c r="D183" s="34" t="s">
        <v>471</v>
      </c>
      <c r="E183" s="34" t="s">
        <v>473</v>
      </c>
      <c r="F183" s="34">
        <v>1800</v>
      </c>
      <c r="G183" s="34">
        <v>0</v>
      </c>
      <c r="H183" s="34">
        <f t="shared" si="4"/>
        <v>-1800</v>
      </c>
      <c r="I183" s="34">
        <v>1031</v>
      </c>
      <c r="J183" s="34">
        <f t="shared" si="5"/>
        <v>1</v>
      </c>
      <c r="K183" s="34" t="s">
        <v>148</v>
      </c>
      <c r="L183" s="34" t="str">
        <f>I183 &amp; "-" &amp;VLOOKUP(I183,Střediska!$A$1:$B$40,2,FALSE)</f>
        <v>1031-Dorostenci</v>
      </c>
      <c r="M183" s="35" t="str">
        <f>VLOOKUP(Zdroj!$I183,Střediska!$A$1:$B$41,2,FALSE)</f>
        <v>Dorostenci</v>
      </c>
    </row>
    <row r="184" spans="1:13" hidden="1" x14ac:dyDescent="0.2">
      <c r="A184" s="36" t="s">
        <v>475</v>
      </c>
      <c r="B184" s="31" t="s">
        <v>474</v>
      </c>
      <c r="C184" s="31" t="s">
        <v>106</v>
      </c>
      <c r="D184" s="31" t="s">
        <v>172</v>
      </c>
      <c r="E184" s="31" t="s">
        <v>476</v>
      </c>
      <c r="F184" s="31">
        <v>4200</v>
      </c>
      <c r="G184" s="31">
        <v>0</v>
      </c>
      <c r="H184" s="31">
        <f t="shared" si="4"/>
        <v>-4200</v>
      </c>
      <c r="I184" s="31">
        <v>1031</v>
      </c>
      <c r="J184" s="31">
        <f t="shared" si="5"/>
        <v>1</v>
      </c>
      <c r="K184" s="31" t="s">
        <v>148</v>
      </c>
      <c r="L184" s="31" t="str">
        <f>I184 &amp; "-" &amp;VLOOKUP(I184,Střediska!$A$1:$B$40,2,FALSE)</f>
        <v>1031-Dorostenci</v>
      </c>
      <c r="M184" s="32" t="str">
        <f>VLOOKUP(Zdroj!$I184,Střediska!$A$1:$B$41,2,FALSE)</f>
        <v>Dorostenci</v>
      </c>
    </row>
    <row r="185" spans="1:13" hidden="1" x14ac:dyDescent="0.2">
      <c r="A185" s="33" t="s">
        <v>478</v>
      </c>
      <c r="B185" s="34" t="s">
        <v>477</v>
      </c>
      <c r="C185" s="34" t="s">
        <v>106</v>
      </c>
      <c r="D185" s="34" t="s">
        <v>172</v>
      </c>
      <c r="E185" s="34" t="s">
        <v>476</v>
      </c>
      <c r="F185" s="34">
        <v>4000</v>
      </c>
      <c r="G185" s="34">
        <v>0</v>
      </c>
      <c r="H185" s="34">
        <f t="shared" si="4"/>
        <v>-4000</v>
      </c>
      <c r="I185" s="34">
        <v>1031</v>
      </c>
      <c r="J185" s="34">
        <f t="shared" si="5"/>
        <v>1</v>
      </c>
      <c r="K185" s="34" t="s">
        <v>148</v>
      </c>
      <c r="L185" s="34" t="str">
        <f>I185 &amp; "-" &amp;VLOOKUP(I185,Střediska!$A$1:$B$40,2,FALSE)</f>
        <v>1031-Dorostenci</v>
      </c>
      <c r="M185" s="35" t="str">
        <f>VLOOKUP(Zdroj!$I185,Střediska!$A$1:$B$41,2,FALSE)</f>
        <v>Dorostenci</v>
      </c>
    </row>
    <row r="186" spans="1:13" hidden="1" x14ac:dyDescent="0.2">
      <c r="A186" s="36" t="s">
        <v>20</v>
      </c>
      <c r="B186" s="31" t="s">
        <v>18</v>
      </c>
      <c r="C186" s="31" t="s">
        <v>19</v>
      </c>
      <c r="D186" s="31"/>
      <c r="E186" s="31" t="s">
        <v>21</v>
      </c>
      <c r="F186" s="31">
        <v>149318.04</v>
      </c>
      <c r="G186" s="31">
        <v>0</v>
      </c>
      <c r="H186" s="31">
        <f t="shared" si="4"/>
        <v>-149318.04</v>
      </c>
      <c r="I186" s="31">
        <v>1031</v>
      </c>
      <c r="J186" s="31">
        <f t="shared" si="5"/>
        <v>1</v>
      </c>
      <c r="K186" s="31" t="s">
        <v>17</v>
      </c>
      <c r="L186" s="31" t="str">
        <f>I186 &amp; "-" &amp;VLOOKUP(I186,Střediska!$A$1:$B$40,2,FALSE)</f>
        <v>1031-Dorostenci</v>
      </c>
      <c r="M186" s="32" t="str">
        <f>VLOOKUP(Zdroj!$I186,Střediska!$A$1:$B$41,2,FALSE)</f>
        <v>Dorostenci</v>
      </c>
    </row>
    <row r="187" spans="1:13" hidden="1" x14ac:dyDescent="0.2">
      <c r="A187" s="33" t="s">
        <v>481</v>
      </c>
      <c r="B187" s="34" t="s">
        <v>479</v>
      </c>
      <c r="C187" s="34" t="s">
        <v>106</v>
      </c>
      <c r="D187" s="34" t="s">
        <v>480</v>
      </c>
      <c r="E187" s="34" t="s">
        <v>482</v>
      </c>
      <c r="F187" s="34">
        <v>3000</v>
      </c>
      <c r="G187" s="34">
        <v>0</v>
      </c>
      <c r="H187" s="34">
        <f t="shared" si="4"/>
        <v>-3000</v>
      </c>
      <c r="I187" s="34">
        <v>1031</v>
      </c>
      <c r="J187" s="34">
        <f t="shared" si="5"/>
        <v>1</v>
      </c>
      <c r="K187" s="34" t="s">
        <v>162</v>
      </c>
      <c r="L187" s="34" t="str">
        <f>I187 &amp; "-" &amp;VLOOKUP(I187,Střediska!$A$1:$B$40,2,FALSE)</f>
        <v>1031-Dorostenci</v>
      </c>
      <c r="M187" s="35" t="str">
        <f>VLOOKUP(Zdroj!$I187,Střediska!$A$1:$B$41,2,FALSE)</f>
        <v>Dorostenci</v>
      </c>
    </row>
    <row r="188" spans="1:13" hidden="1" x14ac:dyDescent="0.2">
      <c r="A188" s="36" t="s">
        <v>387</v>
      </c>
      <c r="B188" s="31" t="s">
        <v>483</v>
      </c>
      <c r="C188" s="31" t="s">
        <v>19</v>
      </c>
      <c r="D188" s="31"/>
      <c r="E188" s="31" t="s">
        <v>484</v>
      </c>
      <c r="F188" s="31">
        <v>4608</v>
      </c>
      <c r="G188" s="31">
        <v>0</v>
      </c>
      <c r="H188" s="31">
        <f t="shared" si="4"/>
        <v>-4608</v>
      </c>
      <c r="I188" s="31">
        <v>1031</v>
      </c>
      <c r="J188" s="31">
        <f t="shared" si="5"/>
        <v>1</v>
      </c>
      <c r="K188" s="31" t="s">
        <v>179</v>
      </c>
      <c r="L188" s="31" t="str">
        <f>I188 &amp; "-" &amp;VLOOKUP(I188,Střediska!$A$1:$B$40,2,FALSE)</f>
        <v>1031-Dorostenci</v>
      </c>
      <c r="M188" s="32" t="str">
        <f>VLOOKUP(Zdroj!$I188,Střediska!$A$1:$B$41,2,FALSE)</f>
        <v>Dorostenci</v>
      </c>
    </row>
    <row r="189" spans="1:13" hidden="1" x14ac:dyDescent="0.2">
      <c r="A189" s="33" t="s">
        <v>486</v>
      </c>
      <c r="B189" s="34" t="s">
        <v>485</v>
      </c>
      <c r="C189" s="34" t="s">
        <v>19</v>
      </c>
      <c r="D189" s="34"/>
      <c r="E189" s="34" t="s">
        <v>487</v>
      </c>
      <c r="F189" s="34">
        <v>1450</v>
      </c>
      <c r="G189" s="34">
        <v>0</v>
      </c>
      <c r="H189" s="34">
        <f t="shared" si="4"/>
        <v>-1450</v>
      </c>
      <c r="I189" s="34">
        <v>1031</v>
      </c>
      <c r="J189" s="34">
        <f t="shared" si="5"/>
        <v>1</v>
      </c>
      <c r="K189" s="34" t="s">
        <v>179</v>
      </c>
      <c r="L189" s="34" t="str">
        <f>I189 &amp; "-" &amp;VLOOKUP(I189,Střediska!$A$1:$B$40,2,FALSE)</f>
        <v>1031-Dorostenci</v>
      </c>
      <c r="M189" s="35" t="str">
        <f>VLOOKUP(Zdroj!$I189,Střediska!$A$1:$B$41,2,FALSE)</f>
        <v>Dorostenci</v>
      </c>
    </row>
    <row r="190" spans="1:13" hidden="1" x14ac:dyDescent="0.2">
      <c r="A190" s="36" t="s">
        <v>489</v>
      </c>
      <c r="B190" s="31" t="s">
        <v>488</v>
      </c>
      <c r="C190" s="31" t="s">
        <v>19</v>
      </c>
      <c r="D190" s="31"/>
      <c r="E190" s="31" t="s">
        <v>484</v>
      </c>
      <c r="F190" s="31">
        <v>5535</v>
      </c>
      <c r="G190" s="31">
        <v>0</v>
      </c>
      <c r="H190" s="31">
        <f t="shared" si="4"/>
        <v>-5535</v>
      </c>
      <c r="I190" s="31">
        <v>1031</v>
      </c>
      <c r="J190" s="31">
        <f t="shared" si="5"/>
        <v>1</v>
      </c>
      <c r="K190" s="31" t="s">
        <v>179</v>
      </c>
      <c r="L190" s="31" t="str">
        <f>I190 &amp; "-" &amp;VLOOKUP(I190,Střediska!$A$1:$B$40,2,FALSE)</f>
        <v>1031-Dorostenci</v>
      </c>
      <c r="M190" s="32" t="str">
        <f>VLOOKUP(Zdroj!$I190,Střediska!$A$1:$B$41,2,FALSE)</f>
        <v>Dorostenci</v>
      </c>
    </row>
    <row r="191" spans="1:13" hidden="1" x14ac:dyDescent="0.2">
      <c r="A191" s="33" t="s">
        <v>196</v>
      </c>
      <c r="B191" s="34" t="s">
        <v>490</v>
      </c>
      <c r="C191" s="34" t="s">
        <v>19</v>
      </c>
      <c r="D191" s="34"/>
      <c r="E191" s="34" t="s">
        <v>487</v>
      </c>
      <c r="F191" s="34">
        <v>4620</v>
      </c>
      <c r="G191" s="34">
        <v>0</v>
      </c>
      <c r="H191" s="34">
        <f t="shared" si="4"/>
        <v>-4620</v>
      </c>
      <c r="I191" s="34">
        <v>1031</v>
      </c>
      <c r="J191" s="34">
        <f t="shared" si="5"/>
        <v>1</v>
      </c>
      <c r="K191" s="34" t="s">
        <v>179</v>
      </c>
      <c r="L191" s="34" t="str">
        <f>I191 &amp; "-" &amp;VLOOKUP(I191,Střediska!$A$1:$B$40,2,FALSE)</f>
        <v>1031-Dorostenci</v>
      </c>
      <c r="M191" s="35" t="str">
        <f>VLOOKUP(Zdroj!$I191,Střediska!$A$1:$B$41,2,FALSE)</f>
        <v>Dorostenci</v>
      </c>
    </row>
    <row r="192" spans="1:13" hidden="1" x14ac:dyDescent="0.2">
      <c r="A192" s="36" t="s">
        <v>492</v>
      </c>
      <c r="B192" s="31" t="s">
        <v>491</v>
      </c>
      <c r="C192" s="31" t="s">
        <v>19</v>
      </c>
      <c r="D192" s="31"/>
      <c r="E192" s="31" t="s">
        <v>484</v>
      </c>
      <c r="F192" s="31">
        <v>4417</v>
      </c>
      <c r="G192" s="31">
        <v>0</v>
      </c>
      <c r="H192" s="31">
        <f t="shared" si="4"/>
        <v>-4417</v>
      </c>
      <c r="I192" s="31">
        <v>1031</v>
      </c>
      <c r="J192" s="31">
        <f t="shared" si="5"/>
        <v>1</v>
      </c>
      <c r="K192" s="31" t="s">
        <v>179</v>
      </c>
      <c r="L192" s="31" t="str">
        <f>I192 &amp; "-" &amp;VLOOKUP(I192,Střediska!$A$1:$B$40,2,FALSE)</f>
        <v>1031-Dorostenci</v>
      </c>
      <c r="M192" s="32" t="str">
        <f>VLOOKUP(Zdroj!$I192,Střediska!$A$1:$B$41,2,FALSE)</f>
        <v>Dorostenci</v>
      </c>
    </row>
    <row r="193" spans="1:13" hidden="1" x14ac:dyDescent="0.2">
      <c r="A193" s="33" t="s">
        <v>20</v>
      </c>
      <c r="B193" s="34" t="s">
        <v>59</v>
      </c>
      <c r="C193" s="34" t="s">
        <v>19</v>
      </c>
      <c r="D193" s="34"/>
      <c r="E193" s="34" t="s">
        <v>60</v>
      </c>
      <c r="F193" s="34">
        <v>12160</v>
      </c>
      <c r="G193" s="34">
        <v>0</v>
      </c>
      <c r="H193" s="34">
        <f t="shared" si="4"/>
        <v>-12160</v>
      </c>
      <c r="I193" s="34">
        <v>1031</v>
      </c>
      <c r="J193" s="34">
        <f t="shared" si="5"/>
        <v>1</v>
      </c>
      <c r="K193" s="34" t="s">
        <v>23</v>
      </c>
      <c r="L193" s="34" t="str">
        <f>I193 &amp; "-" &amp;VLOOKUP(I193,Střediska!$A$1:$B$40,2,FALSE)</f>
        <v>1031-Dorostenci</v>
      </c>
      <c r="M193" s="35" t="str">
        <f>VLOOKUP(Zdroj!$I193,Střediska!$A$1:$B$41,2,FALSE)</f>
        <v>Dorostenci</v>
      </c>
    </row>
    <row r="194" spans="1:13" hidden="1" x14ac:dyDescent="0.2">
      <c r="A194" s="36" t="s">
        <v>37</v>
      </c>
      <c r="B194" s="31" t="s">
        <v>493</v>
      </c>
      <c r="C194" s="31" t="s">
        <v>19</v>
      </c>
      <c r="D194" s="31"/>
      <c r="E194" s="31" t="s">
        <v>494</v>
      </c>
      <c r="F194" s="31">
        <v>0</v>
      </c>
      <c r="G194" s="31">
        <v>35420</v>
      </c>
      <c r="H194" s="31">
        <f t="shared" ref="H194:H257" si="6">-F194+G194</f>
        <v>35420</v>
      </c>
      <c r="I194" s="31">
        <v>1031</v>
      </c>
      <c r="J194" s="31">
        <f t="shared" ref="J194:J257" si="7">VALUE(LEFT(I194,1))</f>
        <v>1</v>
      </c>
      <c r="K194" s="31" t="s">
        <v>246</v>
      </c>
      <c r="L194" s="31" t="str">
        <f>I194 &amp; "-" &amp;VLOOKUP(I194,Střediska!$A$1:$B$40,2,FALSE)</f>
        <v>1031-Dorostenci</v>
      </c>
      <c r="M194" s="32" t="str">
        <f>VLOOKUP(Zdroj!$I194,Střediska!$A$1:$B$41,2,FALSE)</f>
        <v>Dorostenci</v>
      </c>
    </row>
    <row r="195" spans="1:13" hidden="1" x14ac:dyDescent="0.2">
      <c r="A195" s="33" t="s">
        <v>399</v>
      </c>
      <c r="B195" s="34" t="s">
        <v>495</v>
      </c>
      <c r="C195" s="34" t="s">
        <v>64</v>
      </c>
      <c r="D195" s="34"/>
      <c r="E195" s="34" t="s">
        <v>496</v>
      </c>
      <c r="F195" s="34">
        <v>0</v>
      </c>
      <c r="G195" s="34">
        <v>4600</v>
      </c>
      <c r="H195" s="34">
        <f t="shared" si="6"/>
        <v>4600</v>
      </c>
      <c r="I195" s="34">
        <v>1031</v>
      </c>
      <c r="J195" s="34">
        <f t="shared" si="7"/>
        <v>1</v>
      </c>
      <c r="K195" s="34" t="s">
        <v>90</v>
      </c>
      <c r="L195" s="34" t="str">
        <f>I195 &amp; "-" &amp;VLOOKUP(I195,Střediska!$A$1:$B$40,2,FALSE)</f>
        <v>1031-Dorostenci</v>
      </c>
      <c r="M195" s="35" t="str">
        <f>VLOOKUP(Zdroj!$I195,Střediska!$A$1:$B$41,2,FALSE)</f>
        <v>Dorostenci</v>
      </c>
    </row>
    <row r="196" spans="1:13" hidden="1" x14ac:dyDescent="0.2">
      <c r="A196" s="36" t="s">
        <v>399</v>
      </c>
      <c r="B196" s="31" t="s">
        <v>497</v>
      </c>
      <c r="C196" s="31" t="s">
        <v>64</v>
      </c>
      <c r="D196" s="31"/>
      <c r="E196" s="31" t="s">
        <v>498</v>
      </c>
      <c r="F196" s="31">
        <v>0</v>
      </c>
      <c r="G196" s="31">
        <v>4600</v>
      </c>
      <c r="H196" s="31">
        <f t="shared" si="6"/>
        <v>4600</v>
      </c>
      <c r="I196" s="31">
        <v>1031</v>
      </c>
      <c r="J196" s="31">
        <f t="shared" si="7"/>
        <v>1</v>
      </c>
      <c r="K196" s="31" t="s">
        <v>90</v>
      </c>
      <c r="L196" s="31" t="str">
        <f>I196 &amp; "-" &amp;VLOOKUP(I196,Střediska!$A$1:$B$40,2,FALSE)</f>
        <v>1031-Dorostenci</v>
      </c>
      <c r="M196" s="32" t="str">
        <f>VLOOKUP(Zdroj!$I196,Střediska!$A$1:$B$41,2,FALSE)</f>
        <v>Dorostenci</v>
      </c>
    </row>
    <row r="197" spans="1:13" hidden="1" x14ac:dyDescent="0.2">
      <c r="A197" s="33" t="s">
        <v>399</v>
      </c>
      <c r="B197" s="34" t="s">
        <v>499</v>
      </c>
      <c r="C197" s="34" t="s">
        <v>64</v>
      </c>
      <c r="D197" s="34"/>
      <c r="E197" s="34" t="s">
        <v>500</v>
      </c>
      <c r="F197" s="34">
        <v>0</v>
      </c>
      <c r="G197" s="34">
        <v>4600</v>
      </c>
      <c r="H197" s="34">
        <f t="shared" si="6"/>
        <v>4600</v>
      </c>
      <c r="I197" s="34">
        <v>1031</v>
      </c>
      <c r="J197" s="34">
        <f t="shared" si="7"/>
        <v>1</v>
      </c>
      <c r="K197" s="34" t="s">
        <v>90</v>
      </c>
      <c r="L197" s="34" t="str">
        <f>I197 &amp; "-" &amp;VLOOKUP(I197,Střediska!$A$1:$B$40,2,FALSE)</f>
        <v>1031-Dorostenci</v>
      </c>
      <c r="M197" s="35" t="str">
        <f>VLOOKUP(Zdroj!$I197,Střediska!$A$1:$B$41,2,FALSE)</f>
        <v>Dorostenci</v>
      </c>
    </row>
    <row r="198" spans="1:13" hidden="1" x14ac:dyDescent="0.2">
      <c r="A198" s="36" t="s">
        <v>502</v>
      </c>
      <c r="B198" s="31" t="s">
        <v>501</v>
      </c>
      <c r="C198" s="31" t="s">
        <v>64</v>
      </c>
      <c r="D198" s="31"/>
      <c r="E198" s="31" t="s">
        <v>503</v>
      </c>
      <c r="F198" s="31">
        <v>0</v>
      </c>
      <c r="G198" s="31">
        <v>4600</v>
      </c>
      <c r="H198" s="31">
        <f t="shared" si="6"/>
        <v>4600</v>
      </c>
      <c r="I198" s="31">
        <v>1031</v>
      </c>
      <c r="J198" s="31">
        <f t="shared" si="7"/>
        <v>1</v>
      </c>
      <c r="K198" s="31" t="s">
        <v>90</v>
      </c>
      <c r="L198" s="31" t="str">
        <f>I198 &amp; "-" &amp;VLOOKUP(I198,Střediska!$A$1:$B$40,2,FALSE)</f>
        <v>1031-Dorostenci</v>
      </c>
      <c r="M198" s="32" t="str">
        <f>VLOOKUP(Zdroj!$I198,Střediska!$A$1:$B$41,2,FALSE)</f>
        <v>Dorostenci</v>
      </c>
    </row>
    <row r="199" spans="1:13" hidden="1" x14ac:dyDescent="0.2">
      <c r="A199" s="33" t="s">
        <v>379</v>
      </c>
      <c r="B199" s="34" t="s">
        <v>504</v>
      </c>
      <c r="C199" s="34" t="s">
        <v>64</v>
      </c>
      <c r="D199" s="34"/>
      <c r="E199" s="34" t="s">
        <v>505</v>
      </c>
      <c r="F199" s="34">
        <v>0</v>
      </c>
      <c r="G199" s="34">
        <v>4600</v>
      </c>
      <c r="H199" s="34">
        <f t="shared" si="6"/>
        <v>4600</v>
      </c>
      <c r="I199" s="34">
        <v>1031</v>
      </c>
      <c r="J199" s="34">
        <f t="shared" si="7"/>
        <v>1</v>
      </c>
      <c r="K199" s="34" t="s">
        <v>90</v>
      </c>
      <c r="L199" s="34" t="str">
        <f>I199 &amp; "-" &amp;VLOOKUP(I199,Střediska!$A$1:$B$40,2,FALSE)</f>
        <v>1031-Dorostenci</v>
      </c>
      <c r="M199" s="35" t="str">
        <f>VLOOKUP(Zdroj!$I199,Střediska!$A$1:$B$41,2,FALSE)</f>
        <v>Dorostenci</v>
      </c>
    </row>
    <row r="200" spans="1:13" hidden="1" x14ac:dyDescent="0.2">
      <c r="A200" s="36" t="s">
        <v>507</v>
      </c>
      <c r="B200" s="31" t="s">
        <v>506</v>
      </c>
      <c r="C200" s="31" t="s">
        <v>64</v>
      </c>
      <c r="D200" s="31"/>
      <c r="E200" s="31" t="s">
        <v>508</v>
      </c>
      <c r="F200" s="31">
        <v>0</v>
      </c>
      <c r="G200" s="31">
        <v>4600</v>
      </c>
      <c r="H200" s="31">
        <f t="shared" si="6"/>
        <v>4600</v>
      </c>
      <c r="I200" s="31">
        <v>1031</v>
      </c>
      <c r="J200" s="31">
        <f t="shared" si="7"/>
        <v>1</v>
      </c>
      <c r="K200" s="31" t="s">
        <v>90</v>
      </c>
      <c r="L200" s="31" t="str">
        <f>I200 &amp; "-" &amp;VLOOKUP(I200,Střediska!$A$1:$B$40,2,FALSE)</f>
        <v>1031-Dorostenci</v>
      </c>
      <c r="M200" s="32" t="str">
        <f>VLOOKUP(Zdroj!$I200,Střediska!$A$1:$B$41,2,FALSE)</f>
        <v>Dorostenci</v>
      </c>
    </row>
    <row r="201" spans="1:13" hidden="1" x14ac:dyDescent="0.2">
      <c r="A201" s="33" t="s">
        <v>510</v>
      </c>
      <c r="B201" s="34" t="s">
        <v>509</v>
      </c>
      <c r="C201" s="34" t="s">
        <v>64</v>
      </c>
      <c r="D201" s="34"/>
      <c r="E201" s="34" t="s">
        <v>511</v>
      </c>
      <c r="F201" s="34">
        <v>0</v>
      </c>
      <c r="G201" s="34">
        <v>4600</v>
      </c>
      <c r="H201" s="34">
        <f t="shared" si="6"/>
        <v>4600</v>
      </c>
      <c r="I201" s="34">
        <v>1031</v>
      </c>
      <c r="J201" s="34">
        <f t="shared" si="7"/>
        <v>1</v>
      </c>
      <c r="K201" s="34" t="s">
        <v>90</v>
      </c>
      <c r="L201" s="34" t="str">
        <f>I201 &amp; "-" &amp;VLOOKUP(I201,Střediska!$A$1:$B$40,2,FALSE)</f>
        <v>1031-Dorostenci</v>
      </c>
      <c r="M201" s="35" t="str">
        <f>VLOOKUP(Zdroj!$I201,Střediska!$A$1:$B$41,2,FALSE)</f>
        <v>Dorostenci</v>
      </c>
    </row>
    <row r="202" spans="1:13" hidden="1" x14ac:dyDescent="0.2">
      <c r="A202" s="36" t="s">
        <v>513</v>
      </c>
      <c r="B202" s="31" t="s">
        <v>512</v>
      </c>
      <c r="C202" s="31" t="s">
        <v>64</v>
      </c>
      <c r="D202" s="31"/>
      <c r="E202" s="31" t="s">
        <v>514</v>
      </c>
      <c r="F202" s="31">
        <v>0</v>
      </c>
      <c r="G202" s="31">
        <v>4600</v>
      </c>
      <c r="H202" s="31">
        <f t="shared" si="6"/>
        <v>4600</v>
      </c>
      <c r="I202" s="31">
        <v>1031</v>
      </c>
      <c r="J202" s="31">
        <f t="shared" si="7"/>
        <v>1</v>
      </c>
      <c r="K202" s="31" t="s">
        <v>90</v>
      </c>
      <c r="L202" s="31" t="str">
        <f>I202 &amp; "-" &amp;VLOOKUP(I202,Střediska!$A$1:$B$40,2,FALSE)</f>
        <v>1031-Dorostenci</v>
      </c>
      <c r="M202" s="32" t="str">
        <f>VLOOKUP(Zdroj!$I202,Střediska!$A$1:$B$41,2,FALSE)</f>
        <v>Dorostenci</v>
      </c>
    </row>
    <row r="203" spans="1:13" hidden="1" x14ac:dyDescent="0.2">
      <c r="A203" s="33" t="s">
        <v>407</v>
      </c>
      <c r="B203" s="34" t="s">
        <v>515</v>
      </c>
      <c r="C203" s="34" t="s">
        <v>64</v>
      </c>
      <c r="D203" s="34"/>
      <c r="E203" s="34" t="s">
        <v>516</v>
      </c>
      <c r="F203" s="34">
        <v>0</v>
      </c>
      <c r="G203" s="34">
        <v>2300</v>
      </c>
      <c r="H203" s="34">
        <f t="shared" si="6"/>
        <v>2300</v>
      </c>
      <c r="I203" s="34">
        <v>1031</v>
      </c>
      <c r="J203" s="34">
        <f t="shared" si="7"/>
        <v>1</v>
      </c>
      <c r="K203" s="34" t="s">
        <v>90</v>
      </c>
      <c r="L203" s="34" t="str">
        <f>I203 &amp; "-" &amp;VLOOKUP(I203,Střediska!$A$1:$B$40,2,FALSE)</f>
        <v>1031-Dorostenci</v>
      </c>
      <c r="M203" s="35" t="str">
        <f>VLOOKUP(Zdroj!$I203,Střediska!$A$1:$B$41,2,FALSE)</f>
        <v>Dorostenci</v>
      </c>
    </row>
    <row r="204" spans="1:13" hidden="1" x14ac:dyDescent="0.2">
      <c r="A204" s="36" t="s">
        <v>407</v>
      </c>
      <c r="B204" s="31" t="s">
        <v>517</v>
      </c>
      <c r="C204" s="31" t="s">
        <v>64</v>
      </c>
      <c r="D204" s="31"/>
      <c r="E204" s="31" t="s">
        <v>518</v>
      </c>
      <c r="F204" s="31">
        <v>0</v>
      </c>
      <c r="G204" s="31">
        <v>4600</v>
      </c>
      <c r="H204" s="31">
        <f t="shared" si="6"/>
        <v>4600</v>
      </c>
      <c r="I204" s="31">
        <v>1031</v>
      </c>
      <c r="J204" s="31">
        <f t="shared" si="7"/>
        <v>1</v>
      </c>
      <c r="K204" s="31" t="s">
        <v>90</v>
      </c>
      <c r="L204" s="31" t="str">
        <f>I204 &amp; "-" &amp;VLOOKUP(I204,Střediska!$A$1:$B$40,2,FALSE)</f>
        <v>1031-Dorostenci</v>
      </c>
      <c r="M204" s="32" t="str">
        <f>VLOOKUP(Zdroj!$I204,Střediska!$A$1:$B$41,2,FALSE)</f>
        <v>Dorostenci</v>
      </c>
    </row>
    <row r="205" spans="1:13" hidden="1" x14ac:dyDescent="0.2">
      <c r="A205" s="33" t="s">
        <v>407</v>
      </c>
      <c r="B205" s="34" t="s">
        <v>519</v>
      </c>
      <c r="C205" s="34" t="s">
        <v>64</v>
      </c>
      <c r="D205" s="34"/>
      <c r="E205" s="34" t="s">
        <v>520</v>
      </c>
      <c r="F205" s="34">
        <v>0</v>
      </c>
      <c r="G205" s="34">
        <v>4600</v>
      </c>
      <c r="H205" s="34">
        <f t="shared" si="6"/>
        <v>4600</v>
      </c>
      <c r="I205" s="34">
        <v>1031</v>
      </c>
      <c r="J205" s="34">
        <f t="shared" si="7"/>
        <v>1</v>
      </c>
      <c r="K205" s="34" t="s">
        <v>90</v>
      </c>
      <c r="L205" s="34" t="str">
        <f>I205 &amp; "-" &amp;VLOOKUP(I205,Střediska!$A$1:$B$40,2,FALSE)</f>
        <v>1031-Dorostenci</v>
      </c>
      <c r="M205" s="35" t="str">
        <f>VLOOKUP(Zdroj!$I205,Střediska!$A$1:$B$41,2,FALSE)</f>
        <v>Dorostenci</v>
      </c>
    </row>
    <row r="206" spans="1:13" hidden="1" x14ac:dyDescent="0.2">
      <c r="A206" s="36" t="s">
        <v>25</v>
      </c>
      <c r="B206" s="31" t="s">
        <v>521</v>
      </c>
      <c r="C206" s="31" t="s">
        <v>64</v>
      </c>
      <c r="D206" s="31"/>
      <c r="E206" s="31" t="s">
        <v>522</v>
      </c>
      <c r="F206" s="31">
        <v>0</v>
      </c>
      <c r="G206" s="31">
        <v>1500</v>
      </c>
      <c r="H206" s="31">
        <f t="shared" si="6"/>
        <v>1500</v>
      </c>
      <c r="I206" s="31">
        <v>1031</v>
      </c>
      <c r="J206" s="31">
        <f t="shared" si="7"/>
        <v>1</v>
      </c>
      <c r="K206" s="31" t="s">
        <v>90</v>
      </c>
      <c r="L206" s="31" t="str">
        <f>I206 &amp; "-" &amp;VLOOKUP(I206,Střediska!$A$1:$B$40,2,FALSE)</f>
        <v>1031-Dorostenci</v>
      </c>
      <c r="M206" s="32" t="str">
        <f>VLOOKUP(Zdroj!$I206,Střediska!$A$1:$B$41,2,FALSE)</f>
        <v>Dorostenci</v>
      </c>
    </row>
    <row r="207" spans="1:13" hidden="1" x14ac:dyDescent="0.2">
      <c r="A207" s="33" t="s">
        <v>25</v>
      </c>
      <c r="B207" s="34" t="s">
        <v>523</v>
      </c>
      <c r="C207" s="34" t="s">
        <v>64</v>
      </c>
      <c r="D207" s="34"/>
      <c r="E207" s="34" t="s">
        <v>524</v>
      </c>
      <c r="F207" s="34">
        <v>0</v>
      </c>
      <c r="G207" s="34">
        <v>4600</v>
      </c>
      <c r="H207" s="34">
        <f t="shared" si="6"/>
        <v>4600</v>
      </c>
      <c r="I207" s="34">
        <v>1031</v>
      </c>
      <c r="J207" s="34">
        <f t="shared" si="7"/>
        <v>1</v>
      </c>
      <c r="K207" s="34" t="s">
        <v>90</v>
      </c>
      <c r="L207" s="34" t="str">
        <f>I207 &amp; "-" &amp;VLOOKUP(I207,Střediska!$A$1:$B$40,2,FALSE)</f>
        <v>1031-Dorostenci</v>
      </c>
      <c r="M207" s="35" t="str">
        <f>VLOOKUP(Zdroj!$I207,Střediska!$A$1:$B$41,2,FALSE)</f>
        <v>Dorostenci</v>
      </c>
    </row>
    <row r="208" spans="1:13" hidden="1" x14ac:dyDescent="0.2">
      <c r="A208" s="36" t="s">
        <v>25</v>
      </c>
      <c r="B208" s="31" t="s">
        <v>525</v>
      </c>
      <c r="C208" s="31" t="s">
        <v>64</v>
      </c>
      <c r="D208" s="31"/>
      <c r="E208" s="31" t="s">
        <v>95</v>
      </c>
      <c r="F208" s="31">
        <v>0</v>
      </c>
      <c r="G208" s="31">
        <v>4600</v>
      </c>
      <c r="H208" s="31">
        <f t="shared" si="6"/>
        <v>4600</v>
      </c>
      <c r="I208" s="31">
        <v>1031</v>
      </c>
      <c r="J208" s="31">
        <f t="shared" si="7"/>
        <v>1</v>
      </c>
      <c r="K208" s="31" t="s">
        <v>90</v>
      </c>
      <c r="L208" s="31" t="str">
        <f>I208 &amp; "-" &amp;VLOOKUP(I208,Střediska!$A$1:$B$40,2,FALSE)</f>
        <v>1031-Dorostenci</v>
      </c>
      <c r="M208" s="32" t="str">
        <f>VLOOKUP(Zdroj!$I208,Střediska!$A$1:$B$41,2,FALSE)</f>
        <v>Dorostenci</v>
      </c>
    </row>
    <row r="209" spans="1:13" hidden="1" x14ac:dyDescent="0.2">
      <c r="A209" s="33" t="s">
        <v>527</v>
      </c>
      <c r="B209" s="34" t="s">
        <v>526</v>
      </c>
      <c r="C209" s="34" t="s">
        <v>64</v>
      </c>
      <c r="D209" s="34"/>
      <c r="E209" s="34" t="s">
        <v>528</v>
      </c>
      <c r="F209" s="34">
        <v>0</v>
      </c>
      <c r="G209" s="34">
        <v>2300</v>
      </c>
      <c r="H209" s="34">
        <f t="shared" si="6"/>
        <v>2300</v>
      </c>
      <c r="I209" s="34">
        <v>1031</v>
      </c>
      <c r="J209" s="34">
        <f t="shared" si="7"/>
        <v>1</v>
      </c>
      <c r="K209" s="34" t="s">
        <v>90</v>
      </c>
      <c r="L209" s="34" t="str">
        <f>I209 &amp; "-" &amp;VLOOKUP(I209,Střediska!$A$1:$B$40,2,FALSE)</f>
        <v>1031-Dorostenci</v>
      </c>
      <c r="M209" s="35" t="str">
        <f>VLOOKUP(Zdroj!$I209,Střediska!$A$1:$B$41,2,FALSE)</f>
        <v>Dorostenci</v>
      </c>
    </row>
    <row r="210" spans="1:13" hidden="1" x14ac:dyDescent="0.2">
      <c r="A210" s="36" t="s">
        <v>256</v>
      </c>
      <c r="B210" s="31" t="s">
        <v>529</v>
      </c>
      <c r="C210" s="31" t="s">
        <v>64</v>
      </c>
      <c r="D210" s="31"/>
      <c r="E210" s="31" t="s">
        <v>95</v>
      </c>
      <c r="F210" s="31">
        <v>0</v>
      </c>
      <c r="G210" s="31">
        <v>5300</v>
      </c>
      <c r="H210" s="31">
        <f t="shared" si="6"/>
        <v>5300</v>
      </c>
      <c r="I210" s="31">
        <v>1031</v>
      </c>
      <c r="J210" s="31">
        <f t="shared" si="7"/>
        <v>1</v>
      </c>
      <c r="K210" s="31" t="s">
        <v>90</v>
      </c>
      <c r="L210" s="31" t="str">
        <f>I210 &amp; "-" &amp;VLOOKUP(I210,Střediska!$A$1:$B$40,2,FALSE)</f>
        <v>1031-Dorostenci</v>
      </c>
      <c r="M210" s="32" t="str">
        <f>VLOOKUP(Zdroj!$I210,Střediska!$A$1:$B$41,2,FALSE)</f>
        <v>Dorostenci</v>
      </c>
    </row>
    <row r="211" spans="1:13" hidden="1" x14ac:dyDescent="0.2">
      <c r="A211" s="33" t="s">
        <v>531</v>
      </c>
      <c r="B211" s="34" t="s">
        <v>530</v>
      </c>
      <c r="C211" s="34" t="s">
        <v>64</v>
      </c>
      <c r="D211" s="34"/>
      <c r="E211" s="34" t="s">
        <v>532</v>
      </c>
      <c r="F211" s="34">
        <v>0</v>
      </c>
      <c r="G211" s="34">
        <v>5300</v>
      </c>
      <c r="H211" s="34">
        <f t="shared" si="6"/>
        <v>5300</v>
      </c>
      <c r="I211" s="34">
        <v>1031</v>
      </c>
      <c r="J211" s="34">
        <f t="shared" si="7"/>
        <v>1</v>
      </c>
      <c r="K211" s="34" t="s">
        <v>90</v>
      </c>
      <c r="L211" s="34" t="str">
        <f>I211 &amp; "-" &amp;VLOOKUP(I211,Střediska!$A$1:$B$40,2,FALSE)</f>
        <v>1031-Dorostenci</v>
      </c>
      <c r="M211" s="35" t="str">
        <f>VLOOKUP(Zdroj!$I211,Střediska!$A$1:$B$41,2,FALSE)</f>
        <v>Dorostenci</v>
      </c>
    </row>
    <row r="212" spans="1:13" hidden="1" x14ac:dyDescent="0.2">
      <c r="A212" s="36" t="s">
        <v>531</v>
      </c>
      <c r="B212" s="31" t="s">
        <v>533</v>
      </c>
      <c r="C212" s="31" t="s">
        <v>64</v>
      </c>
      <c r="D212" s="31"/>
      <c r="E212" s="31" t="s">
        <v>534</v>
      </c>
      <c r="F212" s="31">
        <v>0</v>
      </c>
      <c r="G212" s="31">
        <v>5300</v>
      </c>
      <c r="H212" s="31">
        <f t="shared" si="6"/>
        <v>5300</v>
      </c>
      <c r="I212" s="31">
        <v>1031</v>
      </c>
      <c r="J212" s="31">
        <f t="shared" si="7"/>
        <v>1</v>
      </c>
      <c r="K212" s="31" t="s">
        <v>90</v>
      </c>
      <c r="L212" s="31" t="str">
        <f>I212 &amp; "-" &amp;VLOOKUP(I212,Střediska!$A$1:$B$40,2,FALSE)</f>
        <v>1031-Dorostenci</v>
      </c>
      <c r="M212" s="32" t="str">
        <f>VLOOKUP(Zdroj!$I212,Střediska!$A$1:$B$41,2,FALSE)</f>
        <v>Dorostenci</v>
      </c>
    </row>
    <row r="213" spans="1:13" hidden="1" x14ac:dyDescent="0.2">
      <c r="A213" s="33" t="s">
        <v>536</v>
      </c>
      <c r="B213" s="34" t="s">
        <v>535</v>
      </c>
      <c r="C213" s="34" t="s">
        <v>64</v>
      </c>
      <c r="D213" s="34"/>
      <c r="E213" s="34" t="s">
        <v>537</v>
      </c>
      <c r="F213" s="34">
        <v>0</v>
      </c>
      <c r="G213" s="34">
        <v>5300</v>
      </c>
      <c r="H213" s="34">
        <f t="shared" si="6"/>
        <v>5300</v>
      </c>
      <c r="I213" s="34">
        <v>1031</v>
      </c>
      <c r="J213" s="34">
        <f t="shared" si="7"/>
        <v>1</v>
      </c>
      <c r="K213" s="34" t="s">
        <v>90</v>
      </c>
      <c r="L213" s="34" t="str">
        <f>I213 &amp; "-" &amp;VLOOKUP(I213,Střediska!$A$1:$B$40,2,FALSE)</f>
        <v>1031-Dorostenci</v>
      </c>
      <c r="M213" s="35" t="str">
        <f>VLOOKUP(Zdroj!$I213,Střediska!$A$1:$B$41,2,FALSE)</f>
        <v>Dorostenci</v>
      </c>
    </row>
    <row r="214" spans="1:13" hidden="1" x14ac:dyDescent="0.2">
      <c r="A214" s="36" t="s">
        <v>536</v>
      </c>
      <c r="B214" s="31" t="s">
        <v>538</v>
      </c>
      <c r="C214" s="31" t="s">
        <v>64</v>
      </c>
      <c r="D214" s="31"/>
      <c r="E214" s="31" t="s">
        <v>539</v>
      </c>
      <c r="F214" s="31">
        <v>0</v>
      </c>
      <c r="G214" s="31">
        <v>5300</v>
      </c>
      <c r="H214" s="31">
        <f t="shared" si="6"/>
        <v>5300</v>
      </c>
      <c r="I214" s="31">
        <v>1031</v>
      </c>
      <c r="J214" s="31">
        <f t="shared" si="7"/>
        <v>1</v>
      </c>
      <c r="K214" s="31" t="s">
        <v>90</v>
      </c>
      <c r="L214" s="31" t="str">
        <f>I214 &amp; "-" &amp;VLOOKUP(I214,Střediska!$A$1:$B$40,2,FALSE)</f>
        <v>1031-Dorostenci</v>
      </c>
      <c r="M214" s="32" t="str">
        <f>VLOOKUP(Zdroj!$I214,Střediska!$A$1:$B$41,2,FALSE)</f>
        <v>Dorostenci</v>
      </c>
    </row>
    <row r="215" spans="1:13" hidden="1" x14ac:dyDescent="0.2">
      <c r="A215" s="33" t="s">
        <v>541</v>
      </c>
      <c r="B215" s="34" t="s">
        <v>540</v>
      </c>
      <c r="C215" s="34" t="s">
        <v>64</v>
      </c>
      <c r="D215" s="34"/>
      <c r="E215" s="34" t="s">
        <v>542</v>
      </c>
      <c r="F215" s="34">
        <v>0</v>
      </c>
      <c r="G215" s="34">
        <v>2650</v>
      </c>
      <c r="H215" s="34">
        <f t="shared" si="6"/>
        <v>2650</v>
      </c>
      <c r="I215" s="34">
        <v>1031</v>
      </c>
      <c r="J215" s="34">
        <f t="shared" si="7"/>
        <v>1</v>
      </c>
      <c r="K215" s="34" t="s">
        <v>90</v>
      </c>
      <c r="L215" s="34" t="str">
        <f>I215 &amp; "-" &amp;VLOOKUP(I215,Střediska!$A$1:$B$40,2,FALSE)</f>
        <v>1031-Dorostenci</v>
      </c>
      <c r="M215" s="35" t="str">
        <f>VLOOKUP(Zdroj!$I215,Střediska!$A$1:$B$41,2,FALSE)</f>
        <v>Dorostenci</v>
      </c>
    </row>
    <row r="216" spans="1:13" hidden="1" x14ac:dyDescent="0.2">
      <c r="A216" s="36" t="s">
        <v>544</v>
      </c>
      <c r="B216" s="31" t="s">
        <v>543</v>
      </c>
      <c r="C216" s="31" t="s">
        <v>64</v>
      </c>
      <c r="D216" s="31"/>
      <c r="E216" s="31" t="s">
        <v>95</v>
      </c>
      <c r="F216" s="31">
        <v>0</v>
      </c>
      <c r="G216" s="31">
        <v>5300</v>
      </c>
      <c r="H216" s="31">
        <f t="shared" si="6"/>
        <v>5300</v>
      </c>
      <c r="I216" s="31">
        <v>1031</v>
      </c>
      <c r="J216" s="31">
        <f t="shared" si="7"/>
        <v>1</v>
      </c>
      <c r="K216" s="31" t="s">
        <v>90</v>
      </c>
      <c r="L216" s="31" t="str">
        <f>I216 &amp; "-" &amp;VLOOKUP(I216,Střediska!$A$1:$B$40,2,FALSE)</f>
        <v>1031-Dorostenci</v>
      </c>
      <c r="M216" s="32" t="str">
        <f>VLOOKUP(Zdroj!$I216,Střediska!$A$1:$B$41,2,FALSE)</f>
        <v>Dorostenci</v>
      </c>
    </row>
    <row r="217" spans="1:13" hidden="1" x14ac:dyDescent="0.2">
      <c r="A217" s="33" t="s">
        <v>261</v>
      </c>
      <c r="B217" s="34" t="s">
        <v>545</v>
      </c>
      <c r="C217" s="34" t="s">
        <v>64</v>
      </c>
      <c r="D217" s="34"/>
      <c r="E217" s="34" t="s">
        <v>546</v>
      </c>
      <c r="F217" s="34">
        <v>0</v>
      </c>
      <c r="G217" s="34">
        <v>5300</v>
      </c>
      <c r="H217" s="34">
        <f t="shared" si="6"/>
        <v>5300</v>
      </c>
      <c r="I217" s="34">
        <v>1031</v>
      </c>
      <c r="J217" s="34">
        <f t="shared" si="7"/>
        <v>1</v>
      </c>
      <c r="K217" s="34" t="s">
        <v>90</v>
      </c>
      <c r="L217" s="34" t="str">
        <f>I217 &amp; "-" &amp;VLOOKUP(I217,Střediska!$A$1:$B$40,2,FALSE)</f>
        <v>1031-Dorostenci</v>
      </c>
      <c r="M217" s="35" t="str">
        <f>VLOOKUP(Zdroj!$I217,Střediska!$A$1:$B$41,2,FALSE)</f>
        <v>Dorostenci</v>
      </c>
    </row>
    <row r="218" spans="1:13" hidden="1" x14ac:dyDescent="0.2">
      <c r="A218" s="36" t="s">
        <v>264</v>
      </c>
      <c r="B218" s="31" t="s">
        <v>547</v>
      </c>
      <c r="C218" s="31" t="s">
        <v>64</v>
      </c>
      <c r="D218" s="31"/>
      <c r="E218" s="31" t="s">
        <v>548</v>
      </c>
      <c r="F218" s="31">
        <v>0</v>
      </c>
      <c r="G218" s="31">
        <v>5300</v>
      </c>
      <c r="H218" s="31">
        <f t="shared" si="6"/>
        <v>5300</v>
      </c>
      <c r="I218" s="31">
        <v>1031</v>
      </c>
      <c r="J218" s="31">
        <f t="shared" si="7"/>
        <v>1</v>
      </c>
      <c r="K218" s="31" t="s">
        <v>90</v>
      </c>
      <c r="L218" s="31" t="str">
        <f>I218 &amp; "-" &amp;VLOOKUP(I218,Střediska!$A$1:$B$40,2,FALSE)</f>
        <v>1031-Dorostenci</v>
      </c>
      <c r="M218" s="32" t="str">
        <f>VLOOKUP(Zdroj!$I218,Střediska!$A$1:$B$41,2,FALSE)</f>
        <v>Dorostenci</v>
      </c>
    </row>
    <row r="219" spans="1:13" hidden="1" x14ac:dyDescent="0.2">
      <c r="A219" s="33" t="s">
        <v>264</v>
      </c>
      <c r="B219" s="34" t="s">
        <v>550</v>
      </c>
      <c r="C219" s="34" t="s">
        <v>64</v>
      </c>
      <c r="D219" s="34"/>
      <c r="E219" s="34" t="s">
        <v>551</v>
      </c>
      <c r="F219" s="34">
        <v>0</v>
      </c>
      <c r="G219" s="34">
        <v>5300</v>
      </c>
      <c r="H219" s="34">
        <f t="shared" si="6"/>
        <v>5300</v>
      </c>
      <c r="I219" s="34">
        <v>1031</v>
      </c>
      <c r="J219" s="34">
        <f t="shared" si="7"/>
        <v>1</v>
      </c>
      <c r="K219" s="34" t="s">
        <v>90</v>
      </c>
      <c r="L219" s="34" t="str">
        <f>I219 &amp; "-" &amp;VLOOKUP(I219,Střediska!$A$1:$B$40,2,FALSE)</f>
        <v>1031-Dorostenci</v>
      </c>
      <c r="M219" s="35" t="str">
        <f>VLOOKUP(Zdroj!$I219,Střediska!$A$1:$B$41,2,FALSE)</f>
        <v>Dorostenci</v>
      </c>
    </row>
    <row r="220" spans="1:13" hidden="1" x14ac:dyDescent="0.2">
      <c r="A220" s="36" t="s">
        <v>481</v>
      </c>
      <c r="B220" s="31" t="s">
        <v>552</v>
      </c>
      <c r="C220" s="31" t="s">
        <v>64</v>
      </c>
      <c r="D220" s="31"/>
      <c r="E220" s="31" t="s">
        <v>553</v>
      </c>
      <c r="F220" s="31">
        <v>0</v>
      </c>
      <c r="G220" s="31">
        <v>5300</v>
      </c>
      <c r="H220" s="31">
        <f t="shared" si="6"/>
        <v>5300</v>
      </c>
      <c r="I220" s="31">
        <v>1031</v>
      </c>
      <c r="J220" s="31">
        <f t="shared" si="7"/>
        <v>1</v>
      </c>
      <c r="K220" s="31" t="s">
        <v>90</v>
      </c>
      <c r="L220" s="31" t="str">
        <f>I220 &amp; "-" &amp;VLOOKUP(I220,Střediska!$A$1:$B$40,2,FALSE)</f>
        <v>1031-Dorostenci</v>
      </c>
      <c r="M220" s="32" t="str">
        <f>VLOOKUP(Zdroj!$I220,Střediska!$A$1:$B$41,2,FALSE)</f>
        <v>Dorostenci</v>
      </c>
    </row>
    <row r="221" spans="1:13" hidden="1" x14ac:dyDescent="0.2">
      <c r="A221" s="33" t="s">
        <v>481</v>
      </c>
      <c r="B221" s="34" t="s">
        <v>554</v>
      </c>
      <c r="C221" s="34" t="s">
        <v>64</v>
      </c>
      <c r="D221" s="34"/>
      <c r="E221" s="34" t="s">
        <v>555</v>
      </c>
      <c r="F221" s="34">
        <v>0</v>
      </c>
      <c r="G221" s="34">
        <v>5300</v>
      </c>
      <c r="H221" s="34">
        <f t="shared" si="6"/>
        <v>5300</v>
      </c>
      <c r="I221" s="34">
        <v>1031</v>
      </c>
      <c r="J221" s="34">
        <f t="shared" si="7"/>
        <v>1</v>
      </c>
      <c r="K221" s="34" t="s">
        <v>90</v>
      </c>
      <c r="L221" s="34" t="str">
        <f>I221 &amp; "-" &amp;VLOOKUP(I221,Střediska!$A$1:$B$40,2,FALSE)</f>
        <v>1031-Dorostenci</v>
      </c>
      <c r="M221" s="35" t="str">
        <f>VLOOKUP(Zdroj!$I221,Střediska!$A$1:$B$41,2,FALSE)</f>
        <v>Dorostenci</v>
      </c>
    </row>
    <row r="222" spans="1:13" hidden="1" x14ac:dyDescent="0.2">
      <c r="A222" s="36" t="s">
        <v>49</v>
      </c>
      <c r="B222" s="31" t="s">
        <v>91</v>
      </c>
      <c r="C222" s="31" t="s">
        <v>19</v>
      </c>
      <c r="D222" s="31"/>
      <c r="E222" s="31" t="s">
        <v>93</v>
      </c>
      <c r="F222" s="31">
        <v>0</v>
      </c>
      <c r="G222" s="31">
        <v>12837.65</v>
      </c>
      <c r="H222" s="31">
        <f t="shared" si="6"/>
        <v>12837.65</v>
      </c>
      <c r="I222" s="31">
        <v>1031</v>
      </c>
      <c r="J222" s="31">
        <f t="shared" si="7"/>
        <v>1</v>
      </c>
      <c r="K222" s="31" t="s">
        <v>90</v>
      </c>
      <c r="L222" s="31" t="str">
        <f>I222 &amp; "-" &amp;VLOOKUP(I222,Střediska!$A$1:$B$40,2,FALSE)</f>
        <v>1031-Dorostenci</v>
      </c>
      <c r="M222" s="32" t="str">
        <f>VLOOKUP(Zdroj!$I222,Střediska!$A$1:$B$41,2,FALSE)</f>
        <v>Dorostenci</v>
      </c>
    </row>
    <row r="223" spans="1:13" hidden="1" x14ac:dyDescent="0.2">
      <c r="A223" s="33" t="s">
        <v>49</v>
      </c>
      <c r="B223" s="34" t="s">
        <v>556</v>
      </c>
      <c r="C223" s="34" t="s">
        <v>64</v>
      </c>
      <c r="D223" s="34"/>
      <c r="E223" s="34" t="s">
        <v>557</v>
      </c>
      <c r="F223" s="34">
        <v>0</v>
      </c>
      <c r="G223" s="34">
        <v>5300</v>
      </c>
      <c r="H223" s="34">
        <f t="shared" si="6"/>
        <v>5300</v>
      </c>
      <c r="I223" s="34">
        <v>1031</v>
      </c>
      <c r="J223" s="34">
        <f t="shared" si="7"/>
        <v>1</v>
      </c>
      <c r="K223" s="34" t="s">
        <v>90</v>
      </c>
      <c r="L223" s="34" t="str">
        <f>I223 &amp; "-" &amp;VLOOKUP(I223,Střediska!$A$1:$B$40,2,FALSE)</f>
        <v>1031-Dorostenci</v>
      </c>
      <c r="M223" s="35" t="str">
        <f>VLOOKUP(Zdroj!$I223,Střediska!$A$1:$B$41,2,FALSE)</f>
        <v>Dorostenci</v>
      </c>
    </row>
    <row r="224" spans="1:13" hidden="1" x14ac:dyDescent="0.2">
      <c r="A224" s="36" t="s">
        <v>349</v>
      </c>
      <c r="B224" s="31" t="s">
        <v>558</v>
      </c>
      <c r="C224" s="31" t="s">
        <v>64</v>
      </c>
      <c r="D224" s="31"/>
      <c r="E224" s="31" t="s">
        <v>559</v>
      </c>
      <c r="F224" s="31">
        <v>0</v>
      </c>
      <c r="G224" s="31">
        <v>5300</v>
      </c>
      <c r="H224" s="31">
        <f t="shared" si="6"/>
        <v>5300</v>
      </c>
      <c r="I224" s="31">
        <v>1031</v>
      </c>
      <c r="J224" s="31">
        <f t="shared" si="7"/>
        <v>1</v>
      </c>
      <c r="K224" s="31" t="s">
        <v>90</v>
      </c>
      <c r="L224" s="31" t="str">
        <f>I224 &amp; "-" &amp;VLOOKUP(I224,Střediska!$A$1:$B$40,2,FALSE)</f>
        <v>1031-Dorostenci</v>
      </c>
      <c r="M224" s="32" t="str">
        <f>VLOOKUP(Zdroj!$I224,Střediska!$A$1:$B$41,2,FALSE)</f>
        <v>Dorostenci</v>
      </c>
    </row>
    <row r="225" spans="1:13" hidden="1" x14ac:dyDescent="0.2">
      <c r="A225" s="33" t="s">
        <v>176</v>
      </c>
      <c r="B225" s="34" t="s">
        <v>560</v>
      </c>
      <c r="C225" s="34" t="s">
        <v>64</v>
      </c>
      <c r="D225" s="34"/>
      <c r="E225" s="34" t="s">
        <v>561</v>
      </c>
      <c r="F225" s="34">
        <v>0</v>
      </c>
      <c r="G225" s="34">
        <v>5300</v>
      </c>
      <c r="H225" s="34">
        <f t="shared" si="6"/>
        <v>5300</v>
      </c>
      <c r="I225" s="34">
        <v>1031</v>
      </c>
      <c r="J225" s="34">
        <f t="shared" si="7"/>
        <v>1</v>
      </c>
      <c r="K225" s="34" t="s">
        <v>90</v>
      </c>
      <c r="L225" s="34" t="str">
        <f>I225 &amp; "-" &amp;VLOOKUP(I225,Střediska!$A$1:$B$40,2,FALSE)</f>
        <v>1031-Dorostenci</v>
      </c>
      <c r="M225" s="35" t="str">
        <f>VLOOKUP(Zdroj!$I225,Střediska!$A$1:$B$41,2,FALSE)</f>
        <v>Dorostenci</v>
      </c>
    </row>
    <row r="226" spans="1:13" hidden="1" x14ac:dyDescent="0.2">
      <c r="A226" s="36" t="s">
        <v>270</v>
      </c>
      <c r="B226" s="31" t="s">
        <v>562</v>
      </c>
      <c r="C226" s="31" t="s">
        <v>64</v>
      </c>
      <c r="D226" s="31"/>
      <c r="E226" s="31" t="s">
        <v>563</v>
      </c>
      <c r="F226" s="31">
        <v>0</v>
      </c>
      <c r="G226" s="31">
        <v>5300</v>
      </c>
      <c r="H226" s="31">
        <f t="shared" si="6"/>
        <v>5300</v>
      </c>
      <c r="I226" s="31">
        <v>1031</v>
      </c>
      <c r="J226" s="31">
        <f t="shared" si="7"/>
        <v>1</v>
      </c>
      <c r="K226" s="31" t="s">
        <v>90</v>
      </c>
      <c r="L226" s="31" t="str">
        <f>I226 &amp; "-" &amp;VLOOKUP(I226,Střediska!$A$1:$B$40,2,FALSE)</f>
        <v>1031-Dorostenci</v>
      </c>
      <c r="M226" s="32" t="str">
        <f>VLOOKUP(Zdroj!$I226,Střediska!$A$1:$B$41,2,FALSE)</f>
        <v>Dorostenci</v>
      </c>
    </row>
    <row r="227" spans="1:13" hidden="1" x14ac:dyDescent="0.2">
      <c r="A227" s="33" t="s">
        <v>565</v>
      </c>
      <c r="B227" s="34" t="s">
        <v>564</v>
      </c>
      <c r="C227" s="34" t="s">
        <v>64</v>
      </c>
      <c r="D227" s="34"/>
      <c r="E227" s="34" t="s">
        <v>566</v>
      </c>
      <c r="F227" s="34">
        <v>0</v>
      </c>
      <c r="G227" s="34">
        <v>3500</v>
      </c>
      <c r="H227" s="34">
        <f t="shared" si="6"/>
        <v>3500</v>
      </c>
      <c r="I227" s="34">
        <v>1031</v>
      </c>
      <c r="J227" s="34">
        <f t="shared" si="7"/>
        <v>1</v>
      </c>
      <c r="K227" s="34" t="s">
        <v>90</v>
      </c>
      <c r="L227" s="34" t="str">
        <f>I227 &amp; "-" &amp;VLOOKUP(I227,Střediska!$A$1:$B$40,2,FALSE)</f>
        <v>1031-Dorostenci</v>
      </c>
      <c r="M227" s="35" t="str">
        <f>VLOOKUP(Zdroj!$I227,Střediska!$A$1:$B$41,2,FALSE)</f>
        <v>Dorostenci</v>
      </c>
    </row>
    <row r="228" spans="1:13" hidden="1" x14ac:dyDescent="0.2">
      <c r="A228" s="36" t="s">
        <v>274</v>
      </c>
      <c r="B228" s="31" t="s">
        <v>567</v>
      </c>
      <c r="C228" s="31" t="s">
        <v>64</v>
      </c>
      <c r="D228" s="31"/>
      <c r="E228" s="31" t="s">
        <v>568</v>
      </c>
      <c r="F228" s="31">
        <v>0</v>
      </c>
      <c r="G228" s="31">
        <v>3000</v>
      </c>
      <c r="H228" s="31">
        <f t="shared" si="6"/>
        <v>3000</v>
      </c>
      <c r="I228" s="31">
        <v>1031</v>
      </c>
      <c r="J228" s="31">
        <f t="shared" si="7"/>
        <v>1</v>
      </c>
      <c r="K228" s="31" t="s">
        <v>90</v>
      </c>
      <c r="L228" s="31" t="str">
        <f>I228 &amp; "-" &amp;VLOOKUP(I228,Střediska!$A$1:$B$40,2,FALSE)</f>
        <v>1031-Dorostenci</v>
      </c>
      <c r="M228" s="32" t="str">
        <f>VLOOKUP(Zdroj!$I228,Střediska!$A$1:$B$41,2,FALSE)</f>
        <v>Dorostenci</v>
      </c>
    </row>
    <row r="229" spans="1:13" hidden="1" x14ac:dyDescent="0.2">
      <c r="A229" s="33" t="s">
        <v>570</v>
      </c>
      <c r="B229" s="34" t="s">
        <v>569</v>
      </c>
      <c r="C229" s="34" t="s">
        <v>64</v>
      </c>
      <c r="D229" s="34"/>
      <c r="E229" s="34" t="s">
        <v>571</v>
      </c>
      <c r="F229" s="34">
        <v>0</v>
      </c>
      <c r="G229" s="34">
        <v>-2120</v>
      </c>
      <c r="H229" s="34">
        <f t="shared" si="6"/>
        <v>-2120</v>
      </c>
      <c r="I229" s="34">
        <v>1031</v>
      </c>
      <c r="J229" s="34">
        <f t="shared" si="7"/>
        <v>1</v>
      </c>
      <c r="K229" s="34" t="s">
        <v>90</v>
      </c>
      <c r="L229" s="34" t="str">
        <f>I229 &amp; "-" &amp;VLOOKUP(I229,Střediska!$A$1:$B$40,2,FALSE)</f>
        <v>1031-Dorostenci</v>
      </c>
      <c r="M229" s="35" t="str">
        <f>VLOOKUP(Zdroj!$I229,Střediska!$A$1:$B$41,2,FALSE)</f>
        <v>Dorostenci</v>
      </c>
    </row>
    <row r="230" spans="1:13" hidden="1" x14ac:dyDescent="0.2">
      <c r="A230" s="36" t="s">
        <v>20</v>
      </c>
      <c r="B230" s="31" t="s">
        <v>338</v>
      </c>
      <c r="C230" s="31" t="s">
        <v>19</v>
      </c>
      <c r="D230" s="31"/>
      <c r="E230" s="31" t="s">
        <v>339</v>
      </c>
      <c r="F230" s="31">
        <v>0</v>
      </c>
      <c r="G230" s="31">
        <v>-17532.22</v>
      </c>
      <c r="H230" s="31">
        <f t="shared" si="6"/>
        <v>-17532.22</v>
      </c>
      <c r="I230" s="31">
        <v>1031</v>
      </c>
      <c r="J230" s="31">
        <f t="shared" si="7"/>
        <v>1</v>
      </c>
      <c r="K230" s="31" t="s">
        <v>90</v>
      </c>
      <c r="L230" s="31" t="str">
        <f>I230 &amp; "-" &amp;VLOOKUP(I230,Střediska!$A$1:$B$40,2,FALSE)</f>
        <v>1031-Dorostenci</v>
      </c>
      <c r="M230" s="32" t="str">
        <f>VLOOKUP(Zdroj!$I230,Střediska!$A$1:$B$41,2,FALSE)</f>
        <v>Dorostenci</v>
      </c>
    </row>
    <row r="231" spans="1:13" hidden="1" x14ac:dyDescent="0.2">
      <c r="A231" s="33" t="s">
        <v>25</v>
      </c>
      <c r="B231" s="34" t="s">
        <v>574</v>
      </c>
      <c r="C231" s="34" t="s">
        <v>106</v>
      </c>
      <c r="D231" s="34" t="s">
        <v>575</v>
      </c>
      <c r="E231" s="34" t="s">
        <v>576</v>
      </c>
      <c r="F231" s="34">
        <v>5880</v>
      </c>
      <c r="G231" s="34">
        <v>0</v>
      </c>
      <c r="H231" s="34">
        <f t="shared" si="6"/>
        <v>-5880</v>
      </c>
      <c r="I231" s="34">
        <v>1041</v>
      </c>
      <c r="J231" s="34">
        <f t="shared" si="7"/>
        <v>1</v>
      </c>
      <c r="K231" s="34" t="s">
        <v>110</v>
      </c>
      <c r="L231" s="34" t="str">
        <f>I231 &amp; "-" &amp;VLOOKUP(I231,Střediska!$A$1:$B$40,2,FALSE)</f>
        <v>1041-Starší žáci</v>
      </c>
      <c r="M231" s="35" t="str">
        <f>VLOOKUP(Zdroj!$I231,Střediska!$A$1:$B$41,2,FALSE)</f>
        <v>Starší žáci</v>
      </c>
    </row>
    <row r="232" spans="1:13" hidden="1" x14ac:dyDescent="0.2">
      <c r="A232" s="36" t="s">
        <v>28</v>
      </c>
      <c r="B232" s="31" t="s">
        <v>577</v>
      </c>
      <c r="C232" s="31" t="s">
        <v>106</v>
      </c>
      <c r="D232" s="31" t="s">
        <v>575</v>
      </c>
      <c r="E232" s="31" t="s">
        <v>578</v>
      </c>
      <c r="F232" s="31">
        <v>2935</v>
      </c>
      <c r="G232" s="31">
        <v>0</v>
      </c>
      <c r="H232" s="31">
        <f t="shared" si="6"/>
        <v>-2935</v>
      </c>
      <c r="I232" s="31">
        <v>1041</v>
      </c>
      <c r="J232" s="31">
        <f t="shared" si="7"/>
        <v>1</v>
      </c>
      <c r="K232" s="31" t="s">
        <v>110</v>
      </c>
      <c r="L232" s="31" t="str">
        <f>I232 &amp; "-" &amp;VLOOKUP(I232,Střediska!$A$1:$B$40,2,FALSE)</f>
        <v>1041-Starší žáci</v>
      </c>
      <c r="M232" s="32" t="str">
        <f>VLOOKUP(Zdroj!$I232,Střediska!$A$1:$B$41,2,FALSE)</f>
        <v>Starší žáci</v>
      </c>
    </row>
    <row r="233" spans="1:13" hidden="1" x14ac:dyDescent="0.2">
      <c r="A233" s="33" t="s">
        <v>31</v>
      </c>
      <c r="B233" s="34" t="s">
        <v>579</v>
      </c>
      <c r="C233" s="34" t="s">
        <v>106</v>
      </c>
      <c r="D233" s="34" t="s">
        <v>575</v>
      </c>
      <c r="E233" s="34" t="s">
        <v>580</v>
      </c>
      <c r="F233" s="34">
        <v>4895</v>
      </c>
      <c r="G233" s="34">
        <v>0</v>
      </c>
      <c r="H233" s="34">
        <f t="shared" si="6"/>
        <v>-4895</v>
      </c>
      <c r="I233" s="34">
        <v>1041</v>
      </c>
      <c r="J233" s="34">
        <f t="shared" si="7"/>
        <v>1</v>
      </c>
      <c r="K233" s="34" t="s">
        <v>110</v>
      </c>
      <c r="L233" s="34" t="str">
        <f>I233 &amp; "-" &amp;VLOOKUP(I233,Střediska!$A$1:$B$40,2,FALSE)</f>
        <v>1041-Starší žáci</v>
      </c>
      <c r="M233" s="35" t="str">
        <f>VLOOKUP(Zdroj!$I233,Střediska!$A$1:$B$41,2,FALSE)</f>
        <v>Starší žáci</v>
      </c>
    </row>
    <row r="234" spans="1:13" hidden="1" x14ac:dyDescent="0.2">
      <c r="A234" s="36" t="s">
        <v>34</v>
      </c>
      <c r="B234" s="31" t="s">
        <v>581</v>
      </c>
      <c r="C234" s="31" t="s">
        <v>106</v>
      </c>
      <c r="D234" s="31" t="s">
        <v>575</v>
      </c>
      <c r="E234" s="31" t="s">
        <v>582</v>
      </c>
      <c r="F234" s="31">
        <v>4180</v>
      </c>
      <c r="G234" s="31">
        <v>0</v>
      </c>
      <c r="H234" s="31">
        <f t="shared" si="6"/>
        <v>-4180</v>
      </c>
      <c r="I234" s="31">
        <v>1041</v>
      </c>
      <c r="J234" s="31">
        <f t="shared" si="7"/>
        <v>1</v>
      </c>
      <c r="K234" s="31" t="s">
        <v>110</v>
      </c>
      <c r="L234" s="31" t="str">
        <f>I234 &amp; "-" &amp;VLOOKUP(I234,Střediska!$A$1:$B$40,2,FALSE)</f>
        <v>1041-Starší žáci</v>
      </c>
      <c r="M234" s="32" t="str">
        <f>VLOOKUP(Zdroj!$I234,Střediska!$A$1:$B$41,2,FALSE)</f>
        <v>Starší žáci</v>
      </c>
    </row>
    <row r="235" spans="1:13" hidden="1" x14ac:dyDescent="0.2">
      <c r="A235" s="33" t="s">
        <v>37</v>
      </c>
      <c r="B235" s="34" t="s">
        <v>583</v>
      </c>
      <c r="C235" s="34" t="s">
        <v>106</v>
      </c>
      <c r="D235" s="34" t="s">
        <v>575</v>
      </c>
      <c r="E235" s="34" t="s">
        <v>584</v>
      </c>
      <c r="F235" s="34">
        <v>6745</v>
      </c>
      <c r="G235" s="34">
        <v>0</v>
      </c>
      <c r="H235" s="34">
        <f t="shared" si="6"/>
        <v>-6745</v>
      </c>
      <c r="I235" s="34">
        <v>1041</v>
      </c>
      <c r="J235" s="34">
        <f t="shared" si="7"/>
        <v>1</v>
      </c>
      <c r="K235" s="34" t="s">
        <v>110</v>
      </c>
      <c r="L235" s="34" t="str">
        <f>I235 &amp; "-" &amp;VLOOKUP(I235,Střediska!$A$1:$B$40,2,FALSE)</f>
        <v>1041-Starší žáci</v>
      </c>
      <c r="M235" s="35" t="str">
        <f>VLOOKUP(Zdroj!$I235,Střediska!$A$1:$B$41,2,FALSE)</f>
        <v>Starší žáci</v>
      </c>
    </row>
    <row r="236" spans="1:13" hidden="1" x14ac:dyDescent="0.2">
      <c r="A236" s="36" t="s">
        <v>40</v>
      </c>
      <c r="B236" s="31" t="s">
        <v>585</v>
      </c>
      <c r="C236" s="31" t="s">
        <v>106</v>
      </c>
      <c r="D236" s="31" t="s">
        <v>575</v>
      </c>
      <c r="E236" s="31" t="s">
        <v>586</v>
      </c>
      <c r="F236" s="31">
        <v>5730</v>
      </c>
      <c r="G236" s="31">
        <v>0</v>
      </c>
      <c r="H236" s="31">
        <f t="shared" si="6"/>
        <v>-5730</v>
      </c>
      <c r="I236" s="31">
        <v>1041</v>
      </c>
      <c r="J236" s="31">
        <f t="shared" si="7"/>
        <v>1</v>
      </c>
      <c r="K236" s="31" t="s">
        <v>110</v>
      </c>
      <c r="L236" s="31" t="str">
        <f>I236 &amp; "-" &amp;VLOOKUP(I236,Střediska!$A$1:$B$40,2,FALSE)</f>
        <v>1041-Starší žáci</v>
      </c>
      <c r="M236" s="32" t="str">
        <f>VLOOKUP(Zdroj!$I236,Střediska!$A$1:$B$41,2,FALSE)</f>
        <v>Starší žáci</v>
      </c>
    </row>
    <row r="237" spans="1:13" hidden="1" x14ac:dyDescent="0.2">
      <c r="A237" s="33" t="s">
        <v>43</v>
      </c>
      <c r="B237" s="34" t="s">
        <v>587</v>
      </c>
      <c r="C237" s="34" t="s">
        <v>106</v>
      </c>
      <c r="D237" s="34" t="s">
        <v>575</v>
      </c>
      <c r="E237" s="34" t="s">
        <v>588</v>
      </c>
      <c r="F237" s="34">
        <v>7000</v>
      </c>
      <c r="G237" s="34">
        <v>0</v>
      </c>
      <c r="H237" s="34">
        <f t="shared" si="6"/>
        <v>-7000</v>
      </c>
      <c r="I237" s="34">
        <v>1041</v>
      </c>
      <c r="J237" s="34">
        <f t="shared" si="7"/>
        <v>1</v>
      </c>
      <c r="K237" s="34" t="s">
        <v>110</v>
      </c>
      <c r="L237" s="34" t="str">
        <f>I237 &amp; "-" &amp;VLOOKUP(I237,Střediska!$A$1:$B$40,2,FALSE)</f>
        <v>1041-Starší žáci</v>
      </c>
      <c r="M237" s="35" t="str">
        <f>VLOOKUP(Zdroj!$I237,Střediska!$A$1:$B$41,2,FALSE)</f>
        <v>Starší žáci</v>
      </c>
    </row>
    <row r="238" spans="1:13" hidden="1" x14ac:dyDescent="0.2">
      <c r="A238" s="36" t="s">
        <v>46</v>
      </c>
      <c r="B238" s="31" t="s">
        <v>589</v>
      </c>
      <c r="C238" s="31" t="s">
        <v>106</v>
      </c>
      <c r="D238" s="31" t="s">
        <v>575</v>
      </c>
      <c r="E238" s="31" t="s">
        <v>590</v>
      </c>
      <c r="F238" s="31">
        <v>7865</v>
      </c>
      <c r="G238" s="31">
        <v>0</v>
      </c>
      <c r="H238" s="31">
        <f t="shared" si="6"/>
        <v>-7865</v>
      </c>
      <c r="I238" s="31">
        <v>1041</v>
      </c>
      <c r="J238" s="31">
        <f t="shared" si="7"/>
        <v>1</v>
      </c>
      <c r="K238" s="31" t="s">
        <v>110</v>
      </c>
      <c r="L238" s="31" t="str">
        <f>I238 &amp; "-" &amp;VLOOKUP(I238,Střediska!$A$1:$B$40,2,FALSE)</f>
        <v>1041-Starší žáci</v>
      </c>
      <c r="M238" s="32" t="str">
        <f>VLOOKUP(Zdroj!$I238,Střediska!$A$1:$B$41,2,FALSE)</f>
        <v>Starší žáci</v>
      </c>
    </row>
    <row r="239" spans="1:13" hidden="1" x14ac:dyDescent="0.2">
      <c r="A239" s="33" t="s">
        <v>49</v>
      </c>
      <c r="B239" s="34" t="s">
        <v>591</v>
      </c>
      <c r="C239" s="34" t="s">
        <v>106</v>
      </c>
      <c r="D239" s="34" t="s">
        <v>575</v>
      </c>
      <c r="E239" s="34" t="s">
        <v>592</v>
      </c>
      <c r="F239" s="34">
        <v>3725</v>
      </c>
      <c r="G239" s="34">
        <v>0</v>
      </c>
      <c r="H239" s="34">
        <f t="shared" si="6"/>
        <v>-3725</v>
      </c>
      <c r="I239" s="34">
        <v>1041</v>
      </c>
      <c r="J239" s="34">
        <f t="shared" si="7"/>
        <v>1</v>
      </c>
      <c r="K239" s="34" t="s">
        <v>110</v>
      </c>
      <c r="L239" s="34" t="str">
        <f>I239 &amp; "-" &amp;VLOOKUP(I239,Střediska!$A$1:$B$40,2,FALSE)</f>
        <v>1041-Starší žáci</v>
      </c>
      <c r="M239" s="35" t="str">
        <f>VLOOKUP(Zdroj!$I239,Střediska!$A$1:$B$41,2,FALSE)</f>
        <v>Starší žáci</v>
      </c>
    </row>
    <row r="240" spans="1:13" hidden="1" x14ac:dyDescent="0.2">
      <c r="A240" s="36" t="s">
        <v>52</v>
      </c>
      <c r="B240" s="31" t="s">
        <v>593</v>
      </c>
      <c r="C240" s="31" t="s">
        <v>106</v>
      </c>
      <c r="D240" s="31" t="s">
        <v>575</v>
      </c>
      <c r="E240" s="31" t="s">
        <v>594</v>
      </c>
      <c r="F240" s="31">
        <v>4515</v>
      </c>
      <c r="G240" s="31">
        <v>0</v>
      </c>
      <c r="H240" s="31">
        <f t="shared" si="6"/>
        <v>-4515</v>
      </c>
      <c r="I240" s="31">
        <v>1041</v>
      </c>
      <c r="J240" s="31">
        <f t="shared" si="7"/>
        <v>1</v>
      </c>
      <c r="K240" s="31" t="s">
        <v>110</v>
      </c>
      <c r="L240" s="31" t="str">
        <f>I240 &amp; "-" &amp;VLOOKUP(I240,Střediska!$A$1:$B$40,2,FALSE)</f>
        <v>1041-Starší žáci</v>
      </c>
      <c r="M240" s="32" t="str">
        <f>VLOOKUP(Zdroj!$I240,Střediska!$A$1:$B$41,2,FALSE)</f>
        <v>Starší žáci</v>
      </c>
    </row>
    <row r="241" spans="1:13" hidden="1" x14ac:dyDescent="0.2">
      <c r="A241" s="33" t="s">
        <v>55</v>
      </c>
      <c r="B241" s="34" t="s">
        <v>595</v>
      </c>
      <c r="C241" s="34" t="s">
        <v>106</v>
      </c>
      <c r="D241" s="34" t="s">
        <v>575</v>
      </c>
      <c r="E241" s="34" t="s">
        <v>596</v>
      </c>
      <c r="F241" s="34">
        <v>5110</v>
      </c>
      <c r="G241" s="34">
        <v>0</v>
      </c>
      <c r="H241" s="34">
        <f t="shared" si="6"/>
        <v>-5110</v>
      </c>
      <c r="I241" s="34">
        <v>1041</v>
      </c>
      <c r="J241" s="34">
        <f t="shared" si="7"/>
        <v>1</v>
      </c>
      <c r="K241" s="34" t="s">
        <v>110</v>
      </c>
      <c r="L241" s="34" t="str">
        <f>I241 &amp; "-" &amp;VLOOKUP(I241,Střediska!$A$1:$B$40,2,FALSE)</f>
        <v>1041-Starší žáci</v>
      </c>
      <c r="M241" s="35" t="str">
        <f>VLOOKUP(Zdroj!$I241,Střediska!$A$1:$B$41,2,FALSE)</f>
        <v>Starší žáci</v>
      </c>
    </row>
    <row r="242" spans="1:13" hidden="1" x14ac:dyDescent="0.2">
      <c r="A242" s="36" t="s">
        <v>20</v>
      </c>
      <c r="B242" s="31" t="s">
        <v>597</v>
      </c>
      <c r="C242" s="31" t="s">
        <v>106</v>
      </c>
      <c r="D242" s="31" t="s">
        <v>575</v>
      </c>
      <c r="E242" s="31" t="s">
        <v>598</v>
      </c>
      <c r="F242" s="31">
        <v>2350</v>
      </c>
      <c r="G242" s="31">
        <v>0</v>
      </c>
      <c r="H242" s="31">
        <f t="shared" si="6"/>
        <v>-2350</v>
      </c>
      <c r="I242" s="31">
        <v>1041</v>
      </c>
      <c r="J242" s="31">
        <f t="shared" si="7"/>
        <v>1</v>
      </c>
      <c r="K242" s="31" t="s">
        <v>110</v>
      </c>
      <c r="L242" s="31" t="str">
        <f>I242 &amp; "-" &amp;VLOOKUP(I242,Střediska!$A$1:$B$40,2,FALSE)</f>
        <v>1041-Starší žáci</v>
      </c>
      <c r="M242" s="32" t="str">
        <f>VLOOKUP(Zdroj!$I242,Střediska!$A$1:$B$41,2,FALSE)</f>
        <v>Starší žáci</v>
      </c>
    </row>
    <row r="243" spans="1:13" hidden="1" x14ac:dyDescent="0.2">
      <c r="A243" s="33" t="s">
        <v>601</v>
      </c>
      <c r="B243" s="34" t="s">
        <v>599</v>
      </c>
      <c r="C243" s="34" t="s">
        <v>106</v>
      </c>
      <c r="D243" s="34" t="s">
        <v>600</v>
      </c>
      <c r="E243" s="34" t="s">
        <v>602</v>
      </c>
      <c r="F243" s="34">
        <v>4600</v>
      </c>
      <c r="G243" s="34">
        <v>0</v>
      </c>
      <c r="H243" s="34">
        <f t="shared" si="6"/>
        <v>-4600</v>
      </c>
      <c r="I243" s="34">
        <v>1041</v>
      </c>
      <c r="J243" s="34">
        <f t="shared" si="7"/>
        <v>1</v>
      </c>
      <c r="K243" s="34" t="s">
        <v>148</v>
      </c>
      <c r="L243" s="34" t="str">
        <f>I243 &amp; "-" &amp;VLOOKUP(I243,Střediska!$A$1:$B$40,2,FALSE)</f>
        <v>1041-Starší žáci</v>
      </c>
      <c r="M243" s="35" t="str">
        <f>VLOOKUP(Zdroj!$I243,Střediska!$A$1:$B$41,2,FALSE)</f>
        <v>Starší žáci</v>
      </c>
    </row>
    <row r="244" spans="1:13" hidden="1" x14ac:dyDescent="0.2">
      <c r="A244" s="36" t="s">
        <v>20</v>
      </c>
      <c r="B244" s="31" t="s">
        <v>18</v>
      </c>
      <c r="C244" s="31" t="s">
        <v>19</v>
      </c>
      <c r="D244" s="31"/>
      <c r="E244" s="31" t="s">
        <v>21</v>
      </c>
      <c r="F244" s="31">
        <v>83973.75</v>
      </c>
      <c r="G244" s="31">
        <v>0</v>
      </c>
      <c r="H244" s="31">
        <f t="shared" si="6"/>
        <v>-83973.75</v>
      </c>
      <c r="I244" s="31">
        <v>1041</v>
      </c>
      <c r="J244" s="31">
        <f t="shared" si="7"/>
        <v>1</v>
      </c>
      <c r="K244" s="31" t="s">
        <v>17</v>
      </c>
      <c r="L244" s="31" t="str">
        <f>I244 &amp; "-" &amp;VLOOKUP(I244,Střediska!$A$1:$B$40,2,FALSE)</f>
        <v>1041-Starší žáci</v>
      </c>
      <c r="M244" s="32" t="str">
        <f>VLOOKUP(Zdroj!$I244,Střediska!$A$1:$B$41,2,FALSE)</f>
        <v>Starší žáci</v>
      </c>
    </row>
    <row r="245" spans="1:13" hidden="1" x14ac:dyDescent="0.2">
      <c r="A245" s="33" t="s">
        <v>605</v>
      </c>
      <c r="B245" s="34" t="s">
        <v>603</v>
      </c>
      <c r="C245" s="34" t="s">
        <v>106</v>
      </c>
      <c r="D245" s="34" t="s">
        <v>604</v>
      </c>
      <c r="E245" s="34" t="s">
        <v>606</v>
      </c>
      <c r="F245" s="34">
        <v>54000</v>
      </c>
      <c r="G245" s="34">
        <v>0</v>
      </c>
      <c r="H245" s="34">
        <f t="shared" si="6"/>
        <v>-54000</v>
      </c>
      <c r="I245" s="34">
        <v>1041</v>
      </c>
      <c r="J245" s="34">
        <f t="shared" si="7"/>
        <v>1</v>
      </c>
      <c r="K245" s="34" t="s">
        <v>154</v>
      </c>
      <c r="L245" s="34" t="str">
        <f>I245 &amp; "-" &amp;VLOOKUP(I245,Střediska!$A$1:$B$40,2,FALSE)</f>
        <v>1041-Starší žáci</v>
      </c>
      <c r="M245" s="35" t="str">
        <f>VLOOKUP(Zdroj!$I245,Střediska!$A$1:$B$41,2,FALSE)</f>
        <v>Starší žáci</v>
      </c>
    </row>
    <row r="246" spans="1:13" hidden="1" x14ac:dyDescent="0.2">
      <c r="A246" s="36" t="s">
        <v>608</v>
      </c>
      <c r="B246" s="31" t="s">
        <v>607</v>
      </c>
      <c r="C246" s="31" t="s">
        <v>19</v>
      </c>
      <c r="D246" s="31"/>
      <c r="E246" s="31" t="s">
        <v>609</v>
      </c>
      <c r="F246" s="31">
        <v>1425</v>
      </c>
      <c r="G246" s="31">
        <v>0</v>
      </c>
      <c r="H246" s="31">
        <f t="shared" si="6"/>
        <v>-1425</v>
      </c>
      <c r="I246" s="31">
        <v>1041</v>
      </c>
      <c r="J246" s="31">
        <f t="shared" si="7"/>
        <v>1</v>
      </c>
      <c r="K246" s="31" t="s">
        <v>179</v>
      </c>
      <c r="L246" s="31" t="str">
        <f>I246 &amp; "-" &amp;VLOOKUP(I246,Střediska!$A$1:$B$40,2,FALSE)</f>
        <v>1041-Starší žáci</v>
      </c>
      <c r="M246" s="32" t="str">
        <f>VLOOKUP(Zdroj!$I246,Střediska!$A$1:$B$41,2,FALSE)</f>
        <v>Starší žáci</v>
      </c>
    </row>
    <row r="247" spans="1:13" hidden="1" x14ac:dyDescent="0.2">
      <c r="A247" s="33" t="s">
        <v>611</v>
      </c>
      <c r="B247" s="34" t="s">
        <v>610</v>
      </c>
      <c r="C247" s="34" t="s">
        <v>19</v>
      </c>
      <c r="D247" s="34"/>
      <c r="E247" s="34" t="s">
        <v>612</v>
      </c>
      <c r="F247" s="34">
        <v>908</v>
      </c>
      <c r="G247" s="34">
        <v>0</v>
      </c>
      <c r="H247" s="34">
        <f t="shared" si="6"/>
        <v>-908</v>
      </c>
      <c r="I247" s="34">
        <v>1041</v>
      </c>
      <c r="J247" s="34">
        <f t="shared" si="7"/>
        <v>1</v>
      </c>
      <c r="K247" s="34" t="s">
        <v>179</v>
      </c>
      <c r="L247" s="34" t="str">
        <f>I247 &amp; "-" &amp;VLOOKUP(I247,Střediska!$A$1:$B$40,2,FALSE)</f>
        <v>1041-Starší žáci</v>
      </c>
      <c r="M247" s="35" t="str">
        <f>VLOOKUP(Zdroj!$I247,Střediska!$A$1:$B$41,2,FALSE)</f>
        <v>Starší žáci</v>
      </c>
    </row>
    <row r="248" spans="1:13" hidden="1" x14ac:dyDescent="0.2">
      <c r="A248" s="36" t="s">
        <v>614</v>
      </c>
      <c r="B248" s="31" t="s">
        <v>613</v>
      </c>
      <c r="C248" s="31" t="s">
        <v>19</v>
      </c>
      <c r="D248" s="31"/>
      <c r="E248" s="31" t="s">
        <v>615</v>
      </c>
      <c r="F248" s="31">
        <v>600</v>
      </c>
      <c r="G248" s="31">
        <v>0</v>
      </c>
      <c r="H248" s="31">
        <f t="shared" si="6"/>
        <v>-600</v>
      </c>
      <c r="I248" s="31">
        <v>1041</v>
      </c>
      <c r="J248" s="31">
        <f t="shared" si="7"/>
        <v>1</v>
      </c>
      <c r="K248" s="31" t="s">
        <v>179</v>
      </c>
      <c r="L248" s="31" t="str">
        <f>I248 &amp; "-" &amp;VLOOKUP(I248,Střediska!$A$1:$B$40,2,FALSE)</f>
        <v>1041-Starší žáci</v>
      </c>
      <c r="M248" s="32" t="str">
        <f>VLOOKUP(Zdroj!$I248,Střediska!$A$1:$B$41,2,FALSE)</f>
        <v>Starší žáci</v>
      </c>
    </row>
    <row r="249" spans="1:13" hidden="1" x14ac:dyDescent="0.2">
      <c r="A249" s="33" t="s">
        <v>617</v>
      </c>
      <c r="B249" s="34" t="s">
        <v>616</v>
      </c>
      <c r="C249" s="34" t="s">
        <v>19</v>
      </c>
      <c r="D249" s="34"/>
      <c r="E249" s="34" t="s">
        <v>609</v>
      </c>
      <c r="F249" s="34">
        <v>3603</v>
      </c>
      <c r="G249" s="34">
        <v>0</v>
      </c>
      <c r="H249" s="34">
        <f t="shared" si="6"/>
        <v>-3603</v>
      </c>
      <c r="I249" s="34">
        <v>1041</v>
      </c>
      <c r="J249" s="34">
        <f t="shared" si="7"/>
        <v>1</v>
      </c>
      <c r="K249" s="34" t="s">
        <v>179</v>
      </c>
      <c r="L249" s="34" t="str">
        <f>I249 &amp; "-" &amp;VLOOKUP(I249,Střediska!$A$1:$B$40,2,FALSE)</f>
        <v>1041-Starší žáci</v>
      </c>
      <c r="M249" s="35" t="str">
        <f>VLOOKUP(Zdroj!$I249,Střediska!$A$1:$B$41,2,FALSE)</f>
        <v>Starší žáci</v>
      </c>
    </row>
    <row r="250" spans="1:13" hidden="1" x14ac:dyDescent="0.2">
      <c r="A250" s="36" t="s">
        <v>20</v>
      </c>
      <c r="B250" s="31" t="s">
        <v>59</v>
      </c>
      <c r="C250" s="31" t="s">
        <v>19</v>
      </c>
      <c r="D250" s="31"/>
      <c r="E250" s="31" t="s">
        <v>60</v>
      </c>
      <c r="F250" s="31">
        <v>32565</v>
      </c>
      <c r="G250" s="31">
        <v>0</v>
      </c>
      <c r="H250" s="31">
        <f t="shared" si="6"/>
        <v>-32565</v>
      </c>
      <c r="I250" s="31">
        <v>1041</v>
      </c>
      <c r="J250" s="31">
        <f t="shared" si="7"/>
        <v>1</v>
      </c>
      <c r="K250" s="31" t="s">
        <v>23</v>
      </c>
      <c r="L250" s="31" t="str">
        <f>I250 &amp; "-" &amp;VLOOKUP(I250,Střediska!$A$1:$B$40,2,FALSE)</f>
        <v>1041-Starší žáci</v>
      </c>
      <c r="M250" s="32" t="str">
        <f>VLOOKUP(Zdroj!$I250,Střediska!$A$1:$B$41,2,FALSE)</f>
        <v>Starší žáci</v>
      </c>
    </row>
    <row r="251" spans="1:13" hidden="1" x14ac:dyDescent="0.2">
      <c r="A251" s="33" t="s">
        <v>37</v>
      </c>
      <c r="B251" s="34" t="s">
        <v>620</v>
      </c>
      <c r="C251" s="34" t="s">
        <v>19</v>
      </c>
      <c r="D251" s="34"/>
      <c r="E251" s="34" t="s">
        <v>621</v>
      </c>
      <c r="F251" s="34">
        <v>0</v>
      </c>
      <c r="G251" s="34">
        <v>44100</v>
      </c>
      <c r="H251" s="34">
        <f t="shared" si="6"/>
        <v>44100</v>
      </c>
      <c r="I251" s="34">
        <v>1041</v>
      </c>
      <c r="J251" s="34">
        <f t="shared" si="7"/>
        <v>1</v>
      </c>
      <c r="K251" s="34" t="s">
        <v>246</v>
      </c>
      <c r="L251" s="34" t="str">
        <f>I251 &amp; "-" &amp;VLOOKUP(I251,Střediska!$A$1:$B$40,2,FALSE)</f>
        <v>1041-Starší žáci</v>
      </c>
      <c r="M251" s="35" t="str">
        <f>VLOOKUP(Zdroj!$I251,Střediska!$A$1:$B$41,2,FALSE)</f>
        <v>Starší žáci</v>
      </c>
    </row>
    <row r="252" spans="1:13" hidden="1" x14ac:dyDescent="0.2">
      <c r="A252" s="36" t="s">
        <v>43</v>
      </c>
      <c r="B252" s="31" t="s">
        <v>618</v>
      </c>
      <c r="C252" s="31" t="s">
        <v>19</v>
      </c>
      <c r="D252" s="31"/>
      <c r="E252" s="31" t="s">
        <v>619</v>
      </c>
      <c r="F252" s="31">
        <v>0</v>
      </c>
      <c r="G252" s="31">
        <v>34375</v>
      </c>
      <c r="H252" s="31">
        <f t="shared" si="6"/>
        <v>34375</v>
      </c>
      <c r="I252" s="31">
        <v>1041</v>
      </c>
      <c r="J252" s="31">
        <f t="shared" si="7"/>
        <v>1</v>
      </c>
      <c r="K252" s="31" t="s">
        <v>246</v>
      </c>
      <c r="L252" s="31" t="str">
        <f>I252 &amp; "-" &amp;VLOOKUP(I252,Střediska!$A$1:$B$40,2,FALSE)</f>
        <v>1041-Starší žáci</v>
      </c>
      <c r="M252" s="32" t="str">
        <f>VLOOKUP(Zdroj!$I252,Střediska!$A$1:$B$41,2,FALSE)</f>
        <v>Starší žáci</v>
      </c>
    </row>
    <row r="253" spans="1:13" hidden="1" x14ac:dyDescent="0.2">
      <c r="A253" s="33" t="s">
        <v>623</v>
      </c>
      <c r="B253" s="34" t="s">
        <v>622</v>
      </c>
      <c r="C253" s="34" t="s">
        <v>64</v>
      </c>
      <c r="D253" s="34"/>
      <c r="E253" s="34" t="s">
        <v>624</v>
      </c>
      <c r="F253" s="34">
        <v>0</v>
      </c>
      <c r="G253" s="34">
        <v>4600</v>
      </c>
      <c r="H253" s="34">
        <f t="shared" si="6"/>
        <v>4600</v>
      </c>
      <c r="I253" s="34">
        <v>1041</v>
      </c>
      <c r="J253" s="34">
        <f t="shared" si="7"/>
        <v>1</v>
      </c>
      <c r="K253" s="34" t="s">
        <v>90</v>
      </c>
      <c r="L253" s="34" t="str">
        <f>I253 &amp; "-" &amp;VLOOKUP(I253,Střediska!$A$1:$B$40,2,FALSE)</f>
        <v>1041-Starší žáci</v>
      </c>
      <c r="M253" s="35" t="str">
        <f>VLOOKUP(Zdroj!$I253,Střediska!$A$1:$B$41,2,FALSE)</f>
        <v>Starší žáci</v>
      </c>
    </row>
    <row r="254" spans="1:13" hidden="1" x14ac:dyDescent="0.2">
      <c r="A254" s="36" t="s">
        <v>623</v>
      </c>
      <c r="B254" s="31" t="s">
        <v>625</v>
      </c>
      <c r="C254" s="31" t="s">
        <v>64</v>
      </c>
      <c r="D254" s="31"/>
      <c r="E254" s="31" t="s">
        <v>626</v>
      </c>
      <c r="F254" s="31">
        <v>0</v>
      </c>
      <c r="G254" s="31">
        <v>4600</v>
      </c>
      <c r="H254" s="31">
        <f t="shared" si="6"/>
        <v>4600</v>
      </c>
      <c r="I254" s="31">
        <v>1041</v>
      </c>
      <c r="J254" s="31">
        <f t="shared" si="7"/>
        <v>1</v>
      </c>
      <c r="K254" s="31" t="s">
        <v>90</v>
      </c>
      <c r="L254" s="31" t="str">
        <f>I254 &amp; "-" &amp;VLOOKUP(I254,Střediska!$A$1:$B$40,2,FALSE)</f>
        <v>1041-Starší žáci</v>
      </c>
      <c r="M254" s="32" t="str">
        <f>VLOOKUP(Zdroj!$I254,Střediska!$A$1:$B$41,2,FALSE)</f>
        <v>Starší žáci</v>
      </c>
    </row>
    <row r="255" spans="1:13" hidden="1" x14ac:dyDescent="0.2">
      <c r="A255" s="33" t="s">
        <v>399</v>
      </c>
      <c r="B255" s="34" t="s">
        <v>627</v>
      </c>
      <c r="C255" s="34" t="s">
        <v>64</v>
      </c>
      <c r="D255" s="34"/>
      <c r="E255" s="34" t="s">
        <v>628</v>
      </c>
      <c r="F255" s="34">
        <v>0</v>
      </c>
      <c r="G255" s="34">
        <v>4600</v>
      </c>
      <c r="H255" s="34">
        <f t="shared" si="6"/>
        <v>4600</v>
      </c>
      <c r="I255" s="34">
        <v>1041</v>
      </c>
      <c r="J255" s="34">
        <f t="shared" si="7"/>
        <v>1</v>
      </c>
      <c r="K255" s="34" t="s">
        <v>90</v>
      </c>
      <c r="L255" s="34" t="str">
        <f>I255 &amp; "-" &amp;VLOOKUP(I255,Střediska!$A$1:$B$40,2,FALSE)</f>
        <v>1041-Starší žáci</v>
      </c>
      <c r="M255" s="35" t="str">
        <f>VLOOKUP(Zdroj!$I255,Střediska!$A$1:$B$41,2,FALSE)</f>
        <v>Starší žáci</v>
      </c>
    </row>
    <row r="256" spans="1:13" hidden="1" x14ac:dyDescent="0.2">
      <c r="A256" s="36" t="s">
        <v>630</v>
      </c>
      <c r="B256" s="31" t="s">
        <v>629</v>
      </c>
      <c r="C256" s="31" t="s">
        <v>64</v>
      </c>
      <c r="D256" s="31"/>
      <c r="E256" s="31" t="s">
        <v>631</v>
      </c>
      <c r="F256" s="31">
        <v>0</v>
      </c>
      <c r="G256" s="31">
        <v>2300</v>
      </c>
      <c r="H256" s="31">
        <f t="shared" si="6"/>
        <v>2300</v>
      </c>
      <c r="I256" s="31">
        <v>1041</v>
      </c>
      <c r="J256" s="31">
        <f t="shared" si="7"/>
        <v>1</v>
      </c>
      <c r="K256" s="31" t="s">
        <v>90</v>
      </c>
      <c r="L256" s="31" t="str">
        <f>I256 &amp; "-" &amp;VLOOKUP(I256,Střediska!$A$1:$B$40,2,FALSE)</f>
        <v>1041-Starší žáci</v>
      </c>
      <c r="M256" s="32" t="str">
        <f>VLOOKUP(Zdroj!$I256,Střediska!$A$1:$B$41,2,FALSE)</f>
        <v>Starší žáci</v>
      </c>
    </row>
    <row r="257" spans="1:13" hidden="1" x14ac:dyDescent="0.2">
      <c r="A257" s="33" t="s">
        <v>630</v>
      </c>
      <c r="B257" s="34" t="s">
        <v>632</v>
      </c>
      <c r="C257" s="34" t="s">
        <v>64</v>
      </c>
      <c r="D257" s="34"/>
      <c r="E257" s="34" t="s">
        <v>633</v>
      </c>
      <c r="F257" s="34">
        <v>0</v>
      </c>
      <c r="G257" s="34">
        <v>4600</v>
      </c>
      <c r="H257" s="34">
        <f t="shared" si="6"/>
        <v>4600</v>
      </c>
      <c r="I257" s="34">
        <v>1041</v>
      </c>
      <c r="J257" s="34">
        <f t="shared" si="7"/>
        <v>1</v>
      </c>
      <c r="K257" s="34" t="s">
        <v>90</v>
      </c>
      <c r="L257" s="34" t="str">
        <f>I257 &amp; "-" &amp;VLOOKUP(I257,Střediska!$A$1:$B$40,2,FALSE)</f>
        <v>1041-Starší žáci</v>
      </c>
      <c r="M257" s="35" t="str">
        <f>VLOOKUP(Zdroj!$I257,Střediska!$A$1:$B$41,2,FALSE)</f>
        <v>Starší žáci</v>
      </c>
    </row>
    <row r="258" spans="1:13" hidden="1" x14ac:dyDescent="0.2">
      <c r="A258" s="36" t="s">
        <v>635</v>
      </c>
      <c r="B258" s="31" t="s">
        <v>634</v>
      </c>
      <c r="C258" s="31" t="s">
        <v>64</v>
      </c>
      <c r="D258" s="31"/>
      <c r="E258" s="31" t="s">
        <v>636</v>
      </c>
      <c r="F258" s="31">
        <v>0</v>
      </c>
      <c r="G258" s="31">
        <v>4600</v>
      </c>
      <c r="H258" s="31">
        <f t="shared" ref="H258:H321" si="8">-F258+G258</f>
        <v>4600</v>
      </c>
      <c r="I258" s="31">
        <v>1041</v>
      </c>
      <c r="J258" s="31">
        <f t="shared" ref="J258:J321" si="9">VALUE(LEFT(I258,1))</f>
        <v>1</v>
      </c>
      <c r="K258" s="31" t="s">
        <v>90</v>
      </c>
      <c r="L258" s="31" t="str">
        <f>I258 &amp; "-" &amp;VLOOKUP(I258,Střediska!$A$1:$B$40,2,FALSE)</f>
        <v>1041-Starší žáci</v>
      </c>
      <c r="M258" s="32" t="str">
        <f>VLOOKUP(Zdroj!$I258,Střediska!$A$1:$B$41,2,FALSE)</f>
        <v>Starší žáci</v>
      </c>
    </row>
    <row r="259" spans="1:13" hidden="1" x14ac:dyDescent="0.2">
      <c r="A259" s="33" t="s">
        <v>635</v>
      </c>
      <c r="B259" s="34" t="s">
        <v>637</v>
      </c>
      <c r="C259" s="34" t="s">
        <v>64</v>
      </c>
      <c r="D259" s="34"/>
      <c r="E259" s="34" t="s">
        <v>638</v>
      </c>
      <c r="F259" s="34">
        <v>0</v>
      </c>
      <c r="G259" s="34">
        <v>4600</v>
      </c>
      <c r="H259" s="34">
        <f t="shared" si="8"/>
        <v>4600</v>
      </c>
      <c r="I259" s="34">
        <v>1041</v>
      </c>
      <c r="J259" s="34">
        <f t="shared" si="9"/>
        <v>1</v>
      </c>
      <c r="K259" s="34" t="s">
        <v>90</v>
      </c>
      <c r="L259" s="34" t="str">
        <f>I259 &amp; "-" &amp;VLOOKUP(I259,Střediska!$A$1:$B$40,2,FALSE)</f>
        <v>1041-Starší žáci</v>
      </c>
      <c r="M259" s="35" t="str">
        <f>VLOOKUP(Zdroj!$I259,Střediska!$A$1:$B$41,2,FALSE)</f>
        <v>Starší žáci</v>
      </c>
    </row>
    <row r="260" spans="1:13" hidden="1" x14ac:dyDescent="0.2">
      <c r="A260" s="36" t="s">
        <v>640</v>
      </c>
      <c r="B260" s="31" t="s">
        <v>639</v>
      </c>
      <c r="C260" s="31" t="s">
        <v>64</v>
      </c>
      <c r="D260" s="31"/>
      <c r="E260" s="31" t="s">
        <v>641</v>
      </c>
      <c r="F260" s="31">
        <v>0</v>
      </c>
      <c r="G260" s="31">
        <v>4600</v>
      </c>
      <c r="H260" s="31">
        <f t="shared" si="8"/>
        <v>4600</v>
      </c>
      <c r="I260" s="31">
        <v>1041</v>
      </c>
      <c r="J260" s="31">
        <f t="shared" si="9"/>
        <v>1</v>
      </c>
      <c r="K260" s="31" t="s">
        <v>90</v>
      </c>
      <c r="L260" s="31" t="str">
        <f>I260 &amp; "-" &amp;VLOOKUP(I260,Střediska!$A$1:$B$40,2,FALSE)</f>
        <v>1041-Starší žáci</v>
      </c>
      <c r="M260" s="32" t="str">
        <f>VLOOKUP(Zdroj!$I260,Střediska!$A$1:$B$41,2,FALSE)</f>
        <v>Starší žáci</v>
      </c>
    </row>
    <row r="261" spans="1:13" hidden="1" x14ac:dyDescent="0.2">
      <c r="A261" s="33" t="s">
        <v>640</v>
      </c>
      <c r="B261" s="34" t="s">
        <v>643</v>
      </c>
      <c r="C261" s="34" t="s">
        <v>64</v>
      </c>
      <c r="D261" s="34"/>
      <c r="E261" s="34" t="s">
        <v>644</v>
      </c>
      <c r="F261" s="34">
        <v>0</v>
      </c>
      <c r="G261" s="34">
        <v>4600</v>
      </c>
      <c r="H261" s="34">
        <f t="shared" si="8"/>
        <v>4600</v>
      </c>
      <c r="I261" s="34">
        <v>1041</v>
      </c>
      <c r="J261" s="34">
        <f t="shared" si="9"/>
        <v>1</v>
      </c>
      <c r="K261" s="34" t="s">
        <v>90</v>
      </c>
      <c r="L261" s="34" t="str">
        <f>I261 &amp; "-" &amp;VLOOKUP(I261,Střediska!$A$1:$B$40,2,FALSE)</f>
        <v>1041-Starší žáci</v>
      </c>
      <c r="M261" s="35" t="str">
        <f>VLOOKUP(Zdroj!$I261,Střediska!$A$1:$B$41,2,FALSE)</f>
        <v>Starší žáci</v>
      </c>
    </row>
    <row r="262" spans="1:13" hidden="1" x14ac:dyDescent="0.2">
      <c r="A262" s="36" t="s">
        <v>646</v>
      </c>
      <c r="B262" s="31" t="s">
        <v>645</v>
      </c>
      <c r="C262" s="31" t="s">
        <v>64</v>
      </c>
      <c r="D262" s="31"/>
      <c r="E262" s="31" t="s">
        <v>647</v>
      </c>
      <c r="F262" s="31">
        <v>0</v>
      </c>
      <c r="G262" s="31">
        <v>4600</v>
      </c>
      <c r="H262" s="31">
        <f t="shared" si="8"/>
        <v>4600</v>
      </c>
      <c r="I262" s="31">
        <v>1041</v>
      </c>
      <c r="J262" s="31">
        <f t="shared" si="9"/>
        <v>1</v>
      </c>
      <c r="K262" s="31" t="s">
        <v>90</v>
      </c>
      <c r="L262" s="31" t="str">
        <f>I262 &amp; "-" &amp;VLOOKUP(I262,Střediska!$A$1:$B$40,2,FALSE)</f>
        <v>1041-Starší žáci</v>
      </c>
      <c r="M262" s="32" t="str">
        <f>VLOOKUP(Zdroj!$I262,Střediska!$A$1:$B$41,2,FALSE)</f>
        <v>Starší žáci</v>
      </c>
    </row>
    <row r="263" spans="1:13" hidden="1" x14ac:dyDescent="0.2">
      <c r="A263" s="33" t="s">
        <v>646</v>
      </c>
      <c r="B263" s="34" t="s">
        <v>648</v>
      </c>
      <c r="C263" s="34" t="s">
        <v>64</v>
      </c>
      <c r="D263" s="34"/>
      <c r="E263" s="34" t="s">
        <v>649</v>
      </c>
      <c r="F263" s="34">
        <v>0</v>
      </c>
      <c r="G263" s="34">
        <v>4600</v>
      </c>
      <c r="H263" s="34">
        <f t="shared" si="8"/>
        <v>4600</v>
      </c>
      <c r="I263" s="34">
        <v>1041</v>
      </c>
      <c r="J263" s="34">
        <f t="shared" si="9"/>
        <v>1</v>
      </c>
      <c r="K263" s="34" t="s">
        <v>90</v>
      </c>
      <c r="L263" s="34" t="str">
        <f>I263 &amp; "-" &amp;VLOOKUP(I263,Střediska!$A$1:$B$40,2,FALSE)</f>
        <v>1041-Starší žáci</v>
      </c>
      <c r="M263" s="35" t="str">
        <f>VLOOKUP(Zdroj!$I263,Střediska!$A$1:$B$41,2,FALSE)</f>
        <v>Starší žáci</v>
      </c>
    </row>
    <row r="264" spans="1:13" hidden="1" x14ac:dyDescent="0.2">
      <c r="A264" s="36" t="s">
        <v>651</v>
      </c>
      <c r="B264" s="31" t="s">
        <v>650</v>
      </c>
      <c r="C264" s="31" t="s">
        <v>64</v>
      </c>
      <c r="D264" s="31"/>
      <c r="E264" s="31" t="s">
        <v>652</v>
      </c>
      <c r="F264" s="31">
        <v>0</v>
      </c>
      <c r="G264" s="31">
        <v>4600</v>
      </c>
      <c r="H264" s="31">
        <f t="shared" si="8"/>
        <v>4600</v>
      </c>
      <c r="I264" s="31">
        <v>1041</v>
      </c>
      <c r="J264" s="31">
        <f t="shared" si="9"/>
        <v>1</v>
      </c>
      <c r="K264" s="31" t="s">
        <v>90</v>
      </c>
      <c r="L264" s="31" t="str">
        <f>I264 &amp; "-" &amp;VLOOKUP(I264,Střediska!$A$1:$B$40,2,FALSE)</f>
        <v>1041-Starší žáci</v>
      </c>
      <c r="M264" s="32" t="str">
        <f>VLOOKUP(Zdroj!$I264,Střediska!$A$1:$B$41,2,FALSE)</f>
        <v>Starší žáci</v>
      </c>
    </row>
    <row r="265" spans="1:13" hidden="1" x14ac:dyDescent="0.2">
      <c r="A265" s="33" t="s">
        <v>404</v>
      </c>
      <c r="B265" s="34" t="s">
        <v>653</v>
      </c>
      <c r="C265" s="34" t="s">
        <v>64</v>
      </c>
      <c r="D265" s="34"/>
      <c r="E265" s="34" t="s">
        <v>654</v>
      </c>
      <c r="F265" s="34">
        <v>0</v>
      </c>
      <c r="G265" s="34">
        <v>4600</v>
      </c>
      <c r="H265" s="34">
        <f t="shared" si="8"/>
        <v>4600</v>
      </c>
      <c r="I265" s="34">
        <v>1041</v>
      </c>
      <c r="J265" s="34">
        <f t="shared" si="9"/>
        <v>1</v>
      </c>
      <c r="K265" s="34" t="s">
        <v>90</v>
      </c>
      <c r="L265" s="34" t="str">
        <f>I265 &amp; "-" &amp;VLOOKUP(I265,Střediska!$A$1:$B$40,2,FALSE)</f>
        <v>1041-Starší žáci</v>
      </c>
      <c r="M265" s="35" t="str">
        <f>VLOOKUP(Zdroj!$I265,Střediska!$A$1:$B$41,2,FALSE)</f>
        <v>Starší žáci</v>
      </c>
    </row>
    <row r="266" spans="1:13" hidden="1" x14ac:dyDescent="0.2">
      <c r="A266" s="36" t="s">
        <v>404</v>
      </c>
      <c r="B266" s="31" t="s">
        <v>655</v>
      </c>
      <c r="C266" s="31" t="s">
        <v>64</v>
      </c>
      <c r="D266" s="31"/>
      <c r="E266" s="31" t="s">
        <v>656</v>
      </c>
      <c r="F266" s="31">
        <v>0</v>
      </c>
      <c r="G266" s="31">
        <v>4600</v>
      </c>
      <c r="H266" s="31">
        <f t="shared" si="8"/>
        <v>4600</v>
      </c>
      <c r="I266" s="31">
        <v>1041</v>
      </c>
      <c r="J266" s="31">
        <f t="shared" si="9"/>
        <v>1</v>
      </c>
      <c r="K266" s="31" t="s">
        <v>90</v>
      </c>
      <c r="L266" s="31" t="str">
        <f>I266 &amp; "-" &amp;VLOOKUP(I266,Střediska!$A$1:$B$40,2,FALSE)</f>
        <v>1041-Starší žáci</v>
      </c>
      <c r="M266" s="32" t="str">
        <f>VLOOKUP(Zdroj!$I266,Střediska!$A$1:$B$41,2,FALSE)</f>
        <v>Starší žáci</v>
      </c>
    </row>
    <row r="267" spans="1:13" hidden="1" x14ac:dyDescent="0.2">
      <c r="A267" s="33" t="s">
        <v>513</v>
      </c>
      <c r="B267" s="34" t="s">
        <v>657</v>
      </c>
      <c r="C267" s="34" t="s">
        <v>64</v>
      </c>
      <c r="D267" s="34"/>
      <c r="E267" s="34" t="s">
        <v>658</v>
      </c>
      <c r="F267" s="34">
        <v>0</v>
      </c>
      <c r="G267" s="34">
        <v>2200</v>
      </c>
      <c r="H267" s="34">
        <f t="shared" si="8"/>
        <v>2200</v>
      </c>
      <c r="I267" s="34">
        <v>1041</v>
      </c>
      <c r="J267" s="34">
        <f t="shared" si="9"/>
        <v>1</v>
      </c>
      <c r="K267" s="34" t="s">
        <v>90</v>
      </c>
      <c r="L267" s="34" t="str">
        <f>I267 &amp; "-" &amp;VLOOKUP(I267,Střediska!$A$1:$B$40,2,FALSE)</f>
        <v>1041-Starší žáci</v>
      </c>
      <c r="M267" s="35" t="str">
        <f>VLOOKUP(Zdroj!$I267,Střediska!$A$1:$B$41,2,FALSE)</f>
        <v>Starší žáci</v>
      </c>
    </row>
    <row r="268" spans="1:13" hidden="1" x14ac:dyDescent="0.2">
      <c r="A268" s="36" t="s">
        <v>513</v>
      </c>
      <c r="B268" s="31" t="s">
        <v>659</v>
      </c>
      <c r="C268" s="31" t="s">
        <v>64</v>
      </c>
      <c r="D268" s="31"/>
      <c r="E268" s="31" t="s">
        <v>660</v>
      </c>
      <c r="F268" s="31">
        <v>0</v>
      </c>
      <c r="G268" s="31">
        <v>4600</v>
      </c>
      <c r="H268" s="31">
        <f t="shared" si="8"/>
        <v>4600</v>
      </c>
      <c r="I268" s="31">
        <v>1041</v>
      </c>
      <c r="J268" s="31">
        <f t="shared" si="9"/>
        <v>1</v>
      </c>
      <c r="K268" s="31" t="s">
        <v>90</v>
      </c>
      <c r="L268" s="31" t="str">
        <f>I268 &amp; "-" &amp;VLOOKUP(I268,Střediska!$A$1:$B$40,2,FALSE)</f>
        <v>1041-Starší žáci</v>
      </c>
      <c r="M268" s="32" t="str">
        <f>VLOOKUP(Zdroj!$I268,Střediska!$A$1:$B$41,2,FALSE)</f>
        <v>Starší žáci</v>
      </c>
    </row>
    <row r="269" spans="1:13" hidden="1" x14ac:dyDescent="0.2">
      <c r="A269" s="33" t="s">
        <v>407</v>
      </c>
      <c r="B269" s="34" t="s">
        <v>661</v>
      </c>
      <c r="C269" s="34" t="s">
        <v>64</v>
      </c>
      <c r="D269" s="34"/>
      <c r="E269" s="34" t="s">
        <v>662</v>
      </c>
      <c r="F269" s="34">
        <v>0</v>
      </c>
      <c r="G269" s="34">
        <v>4600</v>
      </c>
      <c r="H269" s="34">
        <f t="shared" si="8"/>
        <v>4600</v>
      </c>
      <c r="I269" s="34">
        <v>1041</v>
      </c>
      <c r="J269" s="34">
        <f t="shared" si="9"/>
        <v>1</v>
      </c>
      <c r="K269" s="34" t="s">
        <v>90</v>
      </c>
      <c r="L269" s="34" t="str">
        <f>I269 &amp; "-" &amp;VLOOKUP(I269,Střediska!$A$1:$B$40,2,FALSE)</f>
        <v>1041-Starší žáci</v>
      </c>
      <c r="M269" s="35" t="str">
        <f>VLOOKUP(Zdroj!$I269,Střediska!$A$1:$B$41,2,FALSE)</f>
        <v>Starší žáci</v>
      </c>
    </row>
    <row r="270" spans="1:13" hidden="1" x14ac:dyDescent="0.2">
      <c r="A270" s="36" t="s">
        <v>407</v>
      </c>
      <c r="B270" s="31" t="s">
        <v>663</v>
      </c>
      <c r="C270" s="31" t="s">
        <v>64</v>
      </c>
      <c r="D270" s="31"/>
      <c r="E270" s="31" t="s">
        <v>664</v>
      </c>
      <c r="F270" s="31">
        <v>0</v>
      </c>
      <c r="G270" s="31">
        <v>2300</v>
      </c>
      <c r="H270" s="31">
        <f t="shared" si="8"/>
        <v>2300</v>
      </c>
      <c r="I270" s="31">
        <v>1041</v>
      </c>
      <c r="J270" s="31">
        <f t="shared" si="9"/>
        <v>1</v>
      </c>
      <c r="K270" s="31" t="s">
        <v>90</v>
      </c>
      <c r="L270" s="31" t="str">
        <f>I270 &amp; "-" &amp;VLOOKUP(I270,Střediska!$A$1:$B$40,2,FALSE)</f>
        <v>1041-Starší žáci</v>
      </c>
      <c r="M270" s="32" t="str">
        <f>VLOOKUP(Zdroj!$I270,Střediska!$A$1:$B$41,2,FALSE)</f>
        <v>Starší žáci</v>
      </c>
    </row>
    <row r="271" spans="1:13" hidden="1" x14ac:dyDescent="0.2">
      <c r="A271" s="33" t="s">
        <v>407</v>
      </c>
      <c r="B271" s="34" t="s">
        <v>665</v>
      </c>
      <c r="C271" s="34" t="s">
        <v>64</v>
      </c>
      <c r="D271" s="34"/>
      <c r="E271" s="34" t="s">
        <v>666</v>
      </c>
      <c r="F271" s="34">
        <v>0</v>
      </c>
      <c r="G271" s="34">
        <v>4600</v>
      </c>
      <c r="H271" s="34">
        <f t="shared" si="8"/>
        <v>4600</v>
      </c>
      <c r="I271" s="34">
        <v>1041</v>
      </c>
      <c r="J271" s="34">
        <f t="shared" si="9"/>
        <v>1</v>
      </c>
      <c r="K271" s="34" t="s">
        <v>90</v>
      </c>
      <c r="L271" s="34" t="str">
        <f>I271 &amp; "-" &amp;VLOOKUP(I271,Střediska!$A$1:$B$40,2,FALSE)</f>
        <v>1041-Starší žáci</v>
      </c>
      <c r="M271" s="35" t="str">
        <f>VLOOKUP(Zdroj!$I271,Střediska!$A$1:$B$41,2,FALSE)</f>
        <v>Starší žáci</v>
      </c>
    </row>
    <row r="272" spans="1:13" hidden="1" x14ac:dyDescent="0.2">
      <c r="A272" s="36" t="s">
        <v>25</v>
      </c>
      <c r="B272" s="31" t="s">
        <v>667</v>
      </c>
      <c r="C272" s="31" t="s">
        <v>64</v>
      </c>
      <c r="D272" s="31"/>
      <c r="E272" s="31" t="s">
        <v>668</v>
      </c>
      <c r="F272" s="31">
        <v>0</v>
      </c>
      <c r="G272" s="31">
        <v>4600</v>
      </c>
      <c r="H272" s="31">
        <f t="shared" si="8"/>
        <v>4600</v>
      </c>
      <c r="I272" s="31">
        <v>1041</v>
      </c>
      <c r="J272" s="31">
        <f t="shared" si="9"/>
        <v>1</v>
      </c>
      <c r="K272" s="31" t="s">
        <v>90</v>
      </c>
      <c r="L272" s="31" t="str">
        <f>I272 &amp; "-" &amp;VLOOKUP(I272,Střediska!$A$1:$B$40,2,FALSE)</f>
        <v>1041-Starší žáci</v>
      </c>
      <c r="M272" s="32" t="str">
        <f>VLOOKUP(Zdroj!$I272,Střediska!$A$1:$B$41,2,FALSE)</f>
        <v>Starší žáci</v>
      </c>
    </row>
    <row r="273" spans="1:13" hidden="1" x14ac:dyDescent="0.2">
      <c r="A273" s="33" t="s">
        <v>25</v>
      </c>
      <c r="B273" s="34" t="s">
        <v>669</v>
      </c>
      <c r="C273" s="34" t="s">
        <v>64</v>
      </c>
      <c r="D273" s="34"/>
      <c r="E273" s="34" t="s">
        <v>670</v>
      </c>
      <c r="F273" s="34">
        <v>0</v>
      </c>
      <c r="G273" s="34">
        <v>4600</v>
      </c>
      <c r="H273" s="34">
        <f t="shared" si="8"/>
        <v>4600</v>
      </c>
      <c r="I273" s="34">
        <v>1041</v>
      </c>
      <c r="J273" s="34">
        <f t="shared" si="9"/>
        <v>1</v>
      </c>
      <c r="K273" s="34" t="s">
        <v>90</v>
      </c>
      <c r="L273" s="34" t="str">
        <f>I273 &amp; "-" &amp;VLOOKUP(I273,Střediska!$A$1:$B$40,2,FALSE)</f>
        <v>1041-Starší žáci</v>
      </c>
      <c r="M273" s="35" t="str">
        <f>VLOOKUP(Zdroj!$I273,Střediska!$A$1:$B$41,2,FALSE)</f>
        <v>Starší žáci</v>
      </c>
    </row>
    <row r="274" spans="1:13" hidden="1" x14ac:dyDescent="0.2">
      <c r="A274" s="36" t="s">
        <v>25</v>
      </c>
      <c r="B274" s="31" t="s">
        <v>671</v>
      </c>
      <c r="C274" s="31" t="s">
        <v>64</v>
      </c>
      <c r="D274" s="31"/>
      <c r="E274" s="31" t="s">
        <v>672</v>
      </c>
      <c r="F274" s="31">
        <v>0</v>
      </c>
      <c r="G274" s="31">
        <v>4600</v>
      </c>
      <c r="H274" s="31">
        <f t="shared" si="8"/>
        <v>4600</v>
      </c>
      <c r="I274" s="31">
        <v>1041</v>
      </c>
      <c r="J274" s="31">
        <f t="shared" si="9"/>
        <v>1</v>
      </c>
      <c r="K274" s="31" t="s">
        <v>90</v>
      </c>
      <c r="L274" s="31" t="str">
        <f>I274 &amp; "-" &amp;VLOOKUP(I274,Střediska!$A$1:$B$40,2,FALSE)</f>
        <v>1041-Starší žáci</v>
      </c>
      <c r="M274" s="32" t="str">
        <f>VLOOKUP(Zdroj!$I274,Střediska!$A$1:$B$41,2,FALSE)</f>
        <v>Starší žáci</v>
      </c>
    </row>
    <row r="275" spans="1:13" hidden="1" x14ac:dyDescent="0.2">
      <c r="A275" s="33" t="s">
        <v>410</v>
      </c>
      <c r="B275" s="34" t="s">
        <v>673</v>
      </c>
      <c r="C275" s="34" t="s">
        <v>64</v>
      </c>
      <c r="D275" s="34"/>
      <c r="E275" s="34" t="s">
        <v>674</v>
      </c>
      <c r="F275" s="34">
        <v>0</v>
      </c>
      <c r="G275" s="34">
        <v>4600</v>
      </c>
      <c r="H275" s="34">
        <f t="shared" si="8"/>
        <v>4600</v>
      </c>
      <c r="I275" s="34">
        <v>1041</v>
      </c>
      <c r="J275" s="34">
        <f t="shared" si="9"/>
        <v>1</v>
      </c>
      <c r="K275" s="34" t="s">
        <v>90</v>
      </c>
      <c r="L275" s="34" t="str">
        <f>I275 &amp; "-" &amp;VLOOKUP(I275,Střediska!$A$1:$B$40,2,FALSE)</f>
        <v>1041-Starší žáci</v>
      </c>
      <c r="M275" s="35" t="str">
        <f>VLOOKUP(Zdroj!$I275,Střediska!$A$1:$B$41,2,FALSE)</f>
        <v>Starší žáci</v>
      </c>
    </row>
    <row r="276" spans="1:13" hidden="1" x14ac:dyDescent="0.2">
      <c r="A276" s="36" t="s">
        <v>415</v>
      </c>
      <c r="B276" s="31" t="s">
        <v>675</v>
      </c>
      <c r="C276" s="31" t="s">
        <v>64</v>
      </c>
      <c r="D276" s="31"/>
      <c r="E276" s="31" t="s">
        <v>676</v>
      </c>
      <c r="F276" s="31">
        <v>0</v>
      </c>
      <c r="G276" s="31">
        <v>2300</v>
      </c>
      <c r="H276" s="31">
        <f t="shared" si="8"/>
        <v>2300</v>
      </c>
      <c r="I276" s="31">
        <v>1041</v>
      </c>
      <c r="J276" s="31">
        <f t="shared" si="9"/>
        <v>1</v>
      </c>
      <c r="K276" s="31" t="s">
        <v>90</v>
      </c>
      <c r="L276" s="31" t="str">
        <f>I276 &amp; "-" &amp;VLOOKUP(I276,Střediska!$A$1:$B$40,2,FALSE)</f>
        <v>1041-Starší žáci</v>
      </c>
      <c r="M276" s="32" t="str">
        <f>VLOOKUP(Zdroj!$I276,Střediska!$A$1:$B$41,2,FALSE)</f>
        <v>Starší žáci</v>
      </c>
    </row>
    <row r="277" spans="1:13" hidden="1" x14ac:dyDescent="0.2">
      <c r="A277" s="33" t="s">
        <v>415</v>
      </c>
      <c r="B277" s="34" t="s">
        <v>677</v>
      </c>
      <c r="C277" s="34" t="s">
        <v>64</v>
      </c>
      <c r="D277" s="34"/>
      <c r="E277" s="34" t="s">
        <v>678</v>
      </c>
      <c r="F277" s="34">
        <v>0</v>
      </c>
      <c r="G277" s="34">
        <v>4600</v>
      </c>
      <c r="H277" s="34">
        <f t="shared" si="8"/>
        <v>4600</v>
      </c>
      <c r="I277" s="34">
        <v>1041</v>
      </c>
      <c r="J277" s="34">
        <f t="shared" si="9"/>
        <v>1</v>
      </c>
      <c r="K277" s="34" t="s">
        <v>90</v>
      </c>
      <c r="L277" s="34" t="str">
        <f>I277 &amp; "-" &amp;VLOOKUP(I277,Střediska!$A$1:$B$40,2,FALSE)</f>
        <v>1041-Starší žáci</v>
      </c>
      <c r="M277" s="35" t="str">
        <f>VLOOKUP(Zdroj!$I277,Střediska!$A$1:$B$41,2,FALSE)</f>
        <v>Starší žáci</v>
      </c>
    </row>
    <row r="278" spans="1:13" hidden="1" x14ac:dyDescent="0.2">
      <c r="A278" s="36" t="s">
        <v>357</v>
      </c>
      <c r="B278" s="31" t="s">
        <v>679</v>
      </c>
      <c r="C278" s="31" t="s">
        <v>64</v>
      </c>
      <c r="D278" s="31"/>
      <c r="E278" s="31" t="s">
        <v>680</v>
      </c>
      <c r="F278" s="31">
        <v>0</v>
      </c>
      <c r="G278" s="31">
        <v>2300</v>
      </c>
      <c r="H278" s="31">
        <f t="shared" si="8"/>
        <v>2300</v>
      </c>
      <c r="I278" s="31">
        <v>1041</v>
      </c>
      <c r="J278" s="31">
        <f t="shared" si="9"/>
        <v>1</v>
      </c>
      <c r="K278" s="31" t="s">
        <v>90</v>
      </c>
      <c r="L278" s="31" t="str">
        <f>I278 &amp; "-" &amp;VLOOKUP(I278,Střediska!$A$1:$B$40,2,FALSE)</f>
        <v>1041-Starší žáci</v>
      </c>
      <c r="M278" s="32" t="str">
        <f>VLOOKUP(Zdroj!$I278,Střediska!$A$1:$B$41,2,FALSE)</f>
        <v>Starší žáci</v>
      </c>
    </row>
    <row r="279" spans="1:13" hidden="1" x14ac:dyDescent="0.2">
      <c r="A279" s="33" t="s">
        <v>682</v>
      </c>
      <c r="B279" s="34" t="s">
        <v>681</v>
      </c>
      <c r="C279" s="34" t="s">
        <v>64</v>
      </c>
      <c r="D279" s="34"/>
      <c r="E279" s="34" t="s">
        <v>683</v>
      </c>
      <c r="F279" s="34">
        <v>0</v>
      </c>
      <c r="G279" s="34">
        <v>4600</v>
      </c>
      <c r="H279" s="34">
        <f t="shared" si="8"/>
        <v>4600</v>
      </c>
      <c r="I279" s="34">
        <v>1041</v>
      </c>
      <c r="J279" s="34">
        <f t="shared" si="9"/>
        <v>1</v>
      </c>
      <c r="K279" s="34" t="s">
        <v>90</v>
      </c>
      <c r="L279" s="34" t="str">
        <f>I279 &amp; "-" &amp;VLOOKUP(I279,Střediska!$A$1:$B$40,2,FALSE)</f>
        <v>1041-Starší žáci</v>
      </c>
      <c r="M279" s="35" t="str">
        <f>VLOOKUP(Zdroj!$I279,Střediska!$A$1:$B$41,2,FALSE)</f>
        <v>Starší žáci</v>
      </c>
    </row>
    <row r="280" spans="1:13" hidden="1" x14ac:dyDescent="0.2">
      <c r="A280" s="36" t="s">
        <v>256</v>
      </c>
      <c r="B280" s="31" t="s">
        <v>684</v>
      </c>
      <c r="C280" s="31" t="s">
        <v>64</v>
      </c>
      <c r="D280" s="31"/>
      <c r="E280" s="31" t="s">
        <v>685</v>
      </c>
      <c r="F280" s="31">
        <v>0</v>
      </c>
      <c r="G280" s="31">
        <v>5300</v>
      </c>
      <c r="H280" s="31">
        <f t="shared" si="8"/>
        <v>5300</v>
      </c>
      <c r="I280" s="31">
        <v>1041</v>
      </c>
      <c r="J280" s="31">
        <f t="shared" si="9"/>
        <v>1</v>
      </c>
      <c r="K280" s="31" t="s">
        <v>90</v>
      </c>
      <c r="L280" s="31" t="str">
        <f>I280 &amp; "-" &amp;VLOOKUP(I280,Střediska!$A$1:$B$40,2,FALSE)</f>
        <v>1041-Starší žáci</v>
      </c>
      <c r="M280" s="32" t="str">
        <f>VLOOKUP(Zdroj!$I280,Střediska!$A$1:$B$41,2,FALSE)</f>
        <v>Starší žáci</v>
      </c>
    </row>
    <row r="281" spans="1:13" hidden="1" x14ac:dyDescent="0.2">
      <c r="A281" s="33" t="s">
        <v>256</v>
      </c>
      <c r="B281" s="34" t="s">
        <v>686</v>
      </c>
      <c r="C281" s="34" t="s">
        <v>64</v>
      </c>
      <c r="D281" s="34"/>
      <c r="E281" s="34" t="s">
        <v>687</v>
      </c>
      <c r="F281" s="34">
        <v>0</v>
      </c>
      <c r="G281" s="34">
        <v>5300</v>
      </c>
      <c r="H281" s="34">
        <f t="shared" si="8"/>
        <v>5300</v>
      </c>
      <c r="I281" s="34">
        <v>1041</v>
      </c>
      <c r="J281" s="34">
        <f t="shared" si="9"/>
        <v>1</v>
      </c>
      <c r="K281" s="34" t="s">
        <v>90</v>
      </c>
      <c r="L281" s="34" t="str">
        <f>I281 &amp; "-" &amp;VLOOKUP(I281,Střediska!$A$1:$B$40,2,FALSE)</f>
        <v>1041-Starší žáci</v>
      </c>
      <c r="M281" s="35" t="str">
        <f>VLOOKUP(Zdroj!$I281,Střediska!$A$1:$B$41,2,FALSE)</f>
        <v>Starší žáci</v>
      </c>
    </row>
    <row r="282" spans="1:13" hidden="1" x14ac:dyDescent="0.2">
      <c r="A282" s="36" t="s">
        <v>256</v>
      </c>
      <c r="B282" s="31" t="s">
        <v>688</v>
      </c>
      <c r="C282" s="31" t="s">
        <v>64</v>
      </c>
      <c r="D282" s="31"/>
      <c r="E282" s="31" t="s">
        <v>689</v>
      </c>
      <c r="F282" s="31">
        <v>0</v>
      </c>
      <c r="G282" s="31">
        <v>5300</v>
      </c>
      <c r="H282" s="31">
        <f t="shared" si="8"/>
        <v>5300</v>
      </c>
      <c r="I282" s="31">
        <v>1041</v>
      </c>
      <c r="J282" s="31">
        <f t="shared" si="9"/>
        <v>1</v>
      </c>
      <c r="K282" s="31" t="s">
        <v>90</v>
      </c>
      <c r="L282" s="31" t="str">
        <f>I282 &amp; "-" &amp;VLOOKUP(I282,Střediska!$A$1:$B$40,2,FALSE)</f>
        <v>1041-Starší žáci</v>
      </c>
      <c r="M282" s="32" t="str">
        <f>VLOOKUP(Zdroj!$I282,Střediska!$A$1:$B$41,2,FALSE)</f>
        <v>Starší žáci</v>
      </c>
    </row>
    <row r="283" spans="1:13" hidden="1" x14ac:dyDescent="0.2">
      <c r="A283" s="33" t="s">
        <v>531</v>
      </c>
      <c r="B283" s="34" t="s">
        <v>690</v>
      </c>
      <c r="C283" s="34" t="s">
        <v>64</v>
      </c>
      <c r="D283" s="34"/>
      <c r="E283" s="34" t="s">
        <v>691</v>
      </c>
      <c r="F283" s="34">
        <v>0</v>
      </c>
      <c r="G283" s="34">
        <v>5300</v>
      </c>
      <c r="H283" s="34">
        <f t="shared" si="8"/>
        <v>5300</v>
      </c>
      <c r="I283" s="34">
        <v>1041</v>
      </c>
      <c r="J283" s="34">
        <f t="shared" si="9"/>
        <v>1</v>
      </c>
      <c r="K283" s="34" t="s">
        <v>90</v>
      </c>
      <c r="L283" s="34" t="str">
        <f>I283 &amp; "-" &amp;VLOOKUP(I283,Střediska!$A$1:$B$40,2,FALSE)</f>
        <v>1041-Starší žáci</v>
      </c>
      <c r="M283" s="35" t="str">
        <f>VLOOKUP(Zdroj!$I283,Střediska!$A$1:$B$41,2,FALSE)</f>
        <v>Starší žáci</v>
      </c>
    </row>
    <row r="284" spans="1:13" hidden="1" x14ac:dyDescent="0.2">
      <c r="A284" s="36" t="s">
        <v>531</v>
      </c>
      <c r="B284" s="31" t="s">
        <v>692</v>
      </c>
      <c r="C284" s="31" t="s">
        <v>64</v>
      </c>
      <c r="D284" s="31"/>
      <c r="E284" s="31" t="s">
        <v>95</v>
      </c>
      <c r="F284" s="31">
        <v>0</v>
      </c>
      <c r="G284" s="31">
        <v>5300</v>
      </c>
      <c r="H284" s="31">
        <f t="shared" si="8"/>
        <v>5300</v>
      </c>
      <c r="I284" s="31">
        <v>1041</v>
      </c>
      <c r="J284" s="31">
        <f t="shared" si="9"/>
        <v>1</v>
      </c>
      <c r="K284" s="31" t="s">
        <v>90</v>
      </c>
      <c r="L284" s="31" t="str">
        <f>I284 &amp; "-" &amp;VLOOKUP(I284,Střediska!$A$1:$B$40,2,FALSE)</f>
        <v>1041-Starší žáci</v>
      </c>
      <c r="M284" s="32" t="str">
        <f>VLOOKUP(Zdroj!$I284,Střediska!$A$1:$B$41,2,FALSE)</f>
        <v>Starší žáci</v>
      </c>
    </row>
    <row r="285" spans="1:13" hidden="1" x14ac:dyDescent="0.2">
      <c r="A285" s="33" t="s">
        <v>536</v>
      </c>
      <c r="B285" s="34" t="s">
        <v>693</v>
      </c>
      <c r="C285" s="34" t="s">
        <v>64</v>
      </c>
      <c r="D285" s="34"/>
      <c r="E285" s="34" t="s">
        <v>694</v>
      </c>
      <c r="F285" s="34">
        <v>0</v>
      </c>
      <c r="G285" s="34">
        <v>5300</v>
      </c>
      <c r="H285" s="34">
        <f t="shared" si="8"/>
        <v>5300</v>
      </c>
      <c r="I285" s="34">
        <v>1041</v>
      </c>
      <c r="J285" s="34">
        <f t="shared" si="9"/>
        <v>1</v>
      </c>
      <c r="K285" s="34" t="s">
        <v>90</v>
      </c>
      <c r="L285" s="34" t="str">
        <f>I285 &amp; "-" &amp;VLOOKUP(I285,Střediska!$A$1:$B$40,2,FALSE)</f>
        <v>1041-Starší žáci</v>
      </c>
      <c r="M285" s="35" t="str">
        <f>VLOOKUP(Zdroj!$I285,Střediska!$A$1:$B$41,2,FALSE)</f>
        <v>Starší žáci</v>
      </c>
    </row>
    <row r="286" spans="1:13" hidden="1" x14ac:dyDescent="0.2">
      <c r="A286" s="36" t="s">
        <v>541</v>
      </c>
      <c r="B286" s="31" t="s">
        <v>695</v>
      </c>
      <c r="C286" s="31" t="s">
        <v>64</v>
      </c>
      <c r="D286" s="31"/>
      <c r="E286" s="31" t="s">
        <v>696</v>
      </c>
      <c r="F286" s="31">
        <v>0</v>
      </c>
      <c r="G286" s="31">
        <v>5300</v>
      </c>
      <c r="H286" s="31">
        <f t="shared" si="8"/>
        <v>5300</v>
      </c>
      <c r="I286" s="31">
        <v>1041</v>
      </c>
      <c r="J286" s="31">
        <f t="shared" si="9"/>
        <v>1</v>
      </c>
      <c r="K286" s="31" t="s">
        <v>90</v>
      </c>
      <c r="L286" s="31" t="str">
        <f>I286 &amp; "-" &amp;VLOOKUP(I286,Střediska!$A$1:$B$40,2,FALSE)</f>
        <v>1041-Starší žáci</v>
      </c>
      <c r="M286" s="32" t="str">
        <f>VLOOKUP(Zdroj!$I286,Střediska!$A$1:$B$41,2,FALSE)</f>
        <v>Starší žáci</v>
      </c>
    </row>
    <row r="287" spans="1:13" hidden="1" x14ac:dyDescent="0.2">
      <c r="A287" s="33" t="s">
        <v>220</v>
      </c>
      <c r="B287" s="34" t="s">
        <v>697</v>
      </c>
      <c r="C287" s="34" t="s">
        <v>64</v>
      </c>
      <c r="D287" s="34"/>
      <c r="E287" s="34" t="s">
        <v>698</v>
      </c>
      <c r="F287" s="34">
        <v>0</v>
      </c>
      <c r="G287" s="34">
        <v>5300</v>
      </c>
      <c r="H287" s="34">
        <f t="shared" si="8"/>
        <v>5300</v>
      </c>
      <c r="I287" s="34">
        <v>1041</v>
      </c>
      <c r="J287" s="34">
        <f t="shared" si="9"/>
        <v>1</v>
      </c>
      <c r="K287" s="34" t="s">
        <v>90</v>
      </c>
      <c r="L287" s="34" t="str">
        <f>I287 &amp; "-" &amp;VLOOKUP(I287,Střediska!$A$1:$B$40,2,FALSE)</f>
        <v>1041-Starší žáci</v>
      </c>
      <c r="M287" s="35" t="str">
        <f>VLOOKUP(Zdroj!$I287,Střediska!$A$1:$B$41,2,FALSE)</f>
        <v>Starší žáci</v>
      </c>
    </row>
    <row r="288" spans="1:13" hidden="1" x14ac:dyDescent="0.2">
      <c r="A288" s="36" t="s">
        <v>220</v>
      </c>
      <c r="B288" s="31" t="s">
        <v>699</v>
      </c>
      <c r="C288" s="31" t="s">
        <v>64</v>
      </c>
      <c r="D288" s="31"/>
      <c r="E288" s="31" t="s">
        <v>700</v>
      </c>
      <c r="F288" s="31">
        <v>0</v>
      </c>
      <c r="G288" s="31">
        <v>5300</v>
      </c>
      <c r="H288" s="31">
        <f t="shared" si="8"/>
        <v>5300</v>
      </c>
      <c r="I288" s="31">
        <v>1041</v>
      </c>
      <c r="J288" s="31">
        <f t="shared" si="9"/>
        <v>1</v>
      </c>
      <c r="K288" s="31" t="s">
        <v>90</v>
      </c>
      <c r="L288" s="31" t="str">
        <f>I288 &amp; "-" &amp;VLOOKUP(I288,Střediska!$A$1:$B$40,2,FALSE)</f>
        <v>1041-Starší žáci</v>
      </c>
      <c r="M288" s="32" t="str">
        <f>VLOOKUP(Zdroj!$I288,Střediska!$A$1:$B$41,2,FALSE)</f>
        <v>Starší žáci</v>
      </c>
    </row>
    <row r="289" spans="1:13" hidden="1" x14ac:dyDescent="0.2">
      <c r="A289" s="33" t="s">
        <v>220</v>
      </c>
      <c r="B289" s="34" t="s">
        <v>701</v>
      </c>
      <c r="C289" s="34" t="s">
        <v>64</v>
      </c>
      <c r="D289" s="34"/>
      <c r="E289" s="34" t="s">
        <v>702</v>
      </c>
      <c r="F289" s="34">
        <v>0</v>
      </c>
      <c r="G289" s="34">
        <v>2650</v>
      </c>
      <c r="H289" s="34">
        <f t="shared" si="8"/>
        <v>2650</v>
      </c>
      <c r="I289" s="34">
        <v>1041</v>
      </c>
      <c r="J289" s="34">
        <f t="shared" si="9"/>
        <v>1</v>
      </c>
      <c r="K289" s="34" t="s">
        <v>90</v>
      </c>
      <c r="L289" s="34" t="str">
        <f>I289 &amp; "-" &amp;VLOOKUP(I289,Střediska!$A$1:$B$40,2,FALSE)</f>
        <v>1041-Starší žáci</v>
      </c>
      <c r="M289" s="35" t="str">
        <f>VLOOKUP(Zdroj!$I289,Střediska!$A$1:$B$41,2,FALSE)</f>
        <v>Starší žáci</v>
      </c>
    </row>
    <row r="290" spans="1:13" hidden="1" x14ac:dyDescent="0.2">
      <c r="A290" s="36" t="s">
        <v>220</v>
      </c>
      <c r="B290" s="31" t="s">
        <v>703</v>
      </c>
      <c r="C290" s="31" t="s">
        <v>64</v>
      </c>
      <c r="D290" s="31"/>
      <c r="E290" s="31" t="s">
        <v>95</v>
      </c>
      <c r="F290" s="31">
        <v>0</v>
      </c>
      <c r="G290" s="31">
        <v>5300</v>
      </c>
      <c r="H290" s="31">
        <f t="shared" si="8"/>
        <v>5300</v>
      </c>
      <c r="I290" s="31">
        <v>1041</v>
      </c>
      <c r="J290" s="31">
        <f t="shared" si="9"/>
        <v>1</v>
      </c>
      <c r="K290" s="31" t="s">
        <v>90</v>
      </c>
      <c r="L290" s="31" t="str">
        <f>I290 &amp; "-" &amp;VLOOKUP(I290,Střediska!$A$1:$B$40,2,FALSE)</f>
        <v>1041-Starší žáci</v>
      </c>
      <c r="M290" s="32" t="str">
        <f>VLOOKUP(Zdroj!$I290,Střediska!$A$1:$B$41,2,FALSE)</f>
        <v>Starší žáci</v>
      </c>
    </row>
    <row r="291" spans="1:13" hidden="1" x14ac:dyDescent="0.2">
      <c r="A291" s="33" t="s">
        <v>705</v>
      </c>
      <c r="B291" s="34" t="s">
        <v>704</v>
      </c>
      <c r="C291" s="34" t="s">
        <v>64</v>
      </c>
      <c r="D291" s="34"/>
      <c r="E291" s="34" t="s">
        <v>95</v>
      </c>
      <c r="F291" s="34">
        <v>0</v>
      </c>
      <c r="G291" s="34">
        <v>5300</v>
      </c>
      <c r="H291" s="34">
        <f t="shared" si="8"/>
        <v>5300</v>
      </c>
      <c r="I291" s="34">
        <v>1041</v>
      </c>
      <c r="J291" s="34">
        <f t="shared" si="9"/>
        <v>1</v>
      </c>
      <c r="K291" s="34" t="s">
        <v>90</v>
      </c>
      <c r="L291" s="34" t="str">
        <f>I291 &amp; "-" &amp;VLOOKUP(I291,Střediska!$A$1:$B$40,2,FALSE)</f>
        <v>1041-Starší žáci</v>
      </c>
      <c r="M291" s="35" t="str">
        <f>VLOOKUP(Zdroj!$I291,Střediska!$A$1:$B$41,2,FALSE)</f>
        <v>Starší žáci</v>
      </c>
    </row>
    <row r="292" spans="1:13" hidden="1" x14ac:dyDescent="0.2">
      <c r="A292" s="36" t="s">
        <v>705</v>
      </c>
      <c r="B292" s="31" t="s">
        <v>706</v>
      </c>
      <c r="C292" s="31" t="s">
        <v>64</v>
      </c>
      <c r="D292" s="31"/>
      <c r="E292" s="31" t="s">
        <v>707</v>
      </c>
      <c r="F292" s="31">
        <v>0</v>
      </c>
      <c r="G292" s="31">
        <v>5300</v>
      </c>
      <c r="H292" s="31">
        <f t="shared" si="8"/>
        <v>5300</v>
      </c>
      <c r="I292" s="31">
        <v>1041</v>
      </c>
      <c r="J292" s="31">
        <f t="shared" si="9"/>
        <v>1</v>
      </c>
      <c r="K292" s="31" t="s">
        <v>90</v>
      </c>
      <c r="L292" s="31" t="str">
        <f>I292 &amp; "-" &amp;VLOOKUP(I292,Střediska!$A$1:$B$40,2,FALSE)</f>
        <v>1041-Starší žáci</v>
      </c>
      <c r="M292" s="32" t="str">
        <f>VLOOKUP(Zdroj!$I292,Střediska!$A$1:$B$41,2,FALSE)</f>
        <v>Starší žáci</v>
      </c>
    </row>
    <row r="293" spans="1:13" hidden="1" x14ac:dyDescent="0.2">
      <c r="A293" s="33" t="s">
        <v>709</v>
      </c>
      <c r="B293" s="34" t="s">
        <v>708</v>
      </c>
      <c r="C293" s="34" t="s">
        <v>64</v>
      </c>
      <c r="D293" s="34"/>
      <c r="E293" s="34" t="s">
        <v>710</v>
      </c>
      <c r="F293" s="34">
        <v>0</v>
      </c>
      <c r="G293" s="34">
        <v>2650</v>
      </c>
      <c r="H293" s="34">
        <f t="shared" si="8"/>
        <v>2650</v>
      </c>
      <c r="I293" s="34">
        <v>1041</v>
      </c>
      <c r="J293" s="34">
        <f t="shared" si="9"/>
        <v>1</v>
      </c>
      <c r="K293" s="34" t="s">
        <v>90</v>
      </c>
      <c r="L293" s="34" t="str">
        <f>I293 &amp; "-" &amp;VLOOKUP(I293,Střediska!$A$1:$B$40,2,FALSE)</f>
        <v>1041-Starší žáci</v>
      </c>
      <c r="M293" s="35" t="str">
        <f>VLOOKUP(Zdroj!$I293,Střediska!$A$1:$B$41,2,FALSE)</f>
        <v>Starší žáci</v>
      </c>
    </row>
    <row r="294" spans="1:13" hidden="1" x14ac:dyDescent="0.2">
      <c r="A294" s="36" t="s">
        <v>267</v>
      </c>
      <c r="B294" s="31" t="s">
        <v>711</v>
      </c>
      <c r="C294" s="31" t="s">
        <v>64</v>
      </c>
      <c r="D294" s="31"/>
      <c r="E294" s="31" t="s">
        <v>712</v>
      </c>
      <c r="F294" s="31">
        <v>0</v>
      </c>
      <c r="G294" s="31">
        <v>5300</v>
      </c>
      <c r="H294" s="31">
        <f t="shared" si="8"/>
        <v>5300</v>
      </c>
      <c r="I294" s="31">
        <v>1041</v>
      </c>
      <c r="J294" s="31">
        <f t="shared" si="9"/>
        <v>1</v>
      </c>
      <c r="K294" s="31" t="s">
        <v>90</v>
      </c>
      <c r="L294" s="31" t="str">
        <f>I294 &amp; "-" &amp;VLOOKUP(I294,Střediska!$A$1:$B$40,2,FALSE)</f>
        <v>1041-Starší žáci</v>
      </c>
      <c r="M294" s="32" t="str">
        <f>VLOOKUP(Zdroj!$I294,Střediska!$A$1:$B$41,2,FALSE)</f>
        <v>Starší žáci</v>
      </c>
    </row>
    <row r="295" spans="1:13" hidden="1" x14ac:dyDescent="0.2">
      <c r="A295" s="33" t="s">
        <v>267</v>
      </c>
      <c r="B295" s="34" t="s">
        <v>713</v>
      </c>
      <c r="C295" s="34" t="s">
        <v>64</v>
      </c>
      <c r="D295" s="34"/>
      <c r="E295" s="34" t="s">
        <v>714</v>
      </c>
      <c r="F295" s="34">
        <v>0</v>
      </c>
      <c r="G295" s="34">
        <v>5300</v>
      </c>
      <c r="H295" s="34">
        <f t="shared" si="8"/>
        <v>5300</v>
      </c>
      <c r="I295" s="34">
        <v>1041</v>
      </c>
      <c r="J295" s="34">
        <f t="shared" si="9"/>
        <v>1</v>
      </c>
      <c r="K295" s="34" t="s">
        <v>90</v>
      </c>
      <c r="L295" s="34" t="str">
        <f>I295 &amp; "-" &amp;VLOOKUP(I295,Střediska!$A$1:$B$40,2,FALSE)</f>
        <v>1041-Starší žáci</v>
      </c>
      <c r="M295" s="35" t="str">
        <f>VLOOKUP(Zdroj!$I295,Střediska!$A$1:$B$41,2,FALSE)</f>
        <v>Starší žáci</v>
      </c>
    </row>
    <row r="296" spans="1:13" hidden="1" x14ac:dyDescent="0.2">
      <c r="A296" s="36" t="s">
        <v>267</v>
      </c>
      <c r="B296" s="31" t="s">
        <v>715</v>
      </c>
      <c r="C296" s="31" t="s">
        <v>64</v>
      </c>
      <c r="D296" s="31"/>
      <c r="E296" s="31" t="s">
        <v>716</v>
      </c>
      <c r="F296" s="31">
        <v>0</v>
      </c>
      <c r="G296" s="31">
        <v>5300</v>
      </c>
      <c r="H296" s="31">
        <f t="shared" si="8"/>
        <v>5300</v>
      </c>
      <c r="I296" s="31">
        <v>1041</v>
      </c>
      <c r="J296" s="31">
        <f t="shared" si="9"/>
        <v>1</v>
      </c>
      <c r="K296" s="31" t="s">
        <v>90</v>
      </c>
      <c r="L296" s="31" t="str">
        <f>I296 &amp; "-" &amp;VLOOKUP(I296,Střediska!$A$1:$B$40,2,FALSE)</f>
        <v>1041-Starší žáci</v>
      </c>
      <c r="M296" s="32" t="str">
        <f>VLOOKUP(Zdroj!$I296,Střediska!$A$1:$B$41,2,FALSE)</f>
        <v>Starší žáci</v>
      </c>
    </row>
    <row r="297" spans="1:13" hidden="1" x14ac:dyDescent="0.2">
      <c r="A297" s="33" t="s">
        <v>444</v>
      </c>
      <c r="B297" s="34" t="s">
        <v>717</v>
      </c>
      <c r="C297" s="34" t="s">
        <v>64</v>
      </c>
      <c r="D297" s="34"/>
      <c r="E297" s="34" t="s">
        <v>718</v>
      </c>
      <c r="F297" s="34">
        <v>0</v>
      </c>
      <c r="G297" s="34">
        <v>5300</v>
      </c>
      <c r="H297" s="34">
        <f t="shared" si="8"/>
        <v>5300</v>
      </c>
      <c r="I297" s="34">
        <v>1041</v>
      </c>
      <c r="J297" s="34">
        <f t="shared" si="9"/>
        <v>1</v>
      </c>
      <c r="K297" s="34" t="s">
        <v>90</v>
      </c>
      <c r="L297" s="34" t="str">
        <f>I297 &amp; "-" &amp;VLOOKUP(I297,Střediska!$A$1:$B$40,2,FALSE)</f>
        <v>1041-Starší žáci</v>
      </c>
      <c r="M297" s="35" t="str">
        <f>VLOOKUP(Zdroj!$I297,Střediska!$A$1:$B$41,2,FALSE)</f>
        <v>Starší žáci</v>
      </c>
    </row>
    <row r="298" spans="1:13" hidden="1" x14ac:dyDescent="0.2">
      <c r="A298" s="36" t="s">
        <v>444</v>
      </c>
      <c r="B298" s="31" t="s">
        <v>719</v>
      </c>
      <c r="C298" s="31" t="s">
        <v>64</v>
      </c>
      <c r="D298" s="31"/>
      <c r="E298" s="31" t="s">
        <v>720</v>
      </c>
      <c r="F298" s="31">
        <v>0</v>
      </c>
      <c r="G298" s="31">
        <v>5300</v>
      </c>
      <c r="H298" s="31">
        <f t="shared" si="8"/>
        <v>5300</v>
      </c>
      <c r="I298" s="31">
        <v>1041</v>
      </c>
      <c r="J298" s="31">
        <f t="shared" si="9"/>
        <v>1</v>
      </c>
      <c r="K298" s="31" t="s">
        <v>90</v>
      </c>
      <c r="L298" s="31" t="str">
        <f>I298 &amp; "-" &amp;VLOOKUP(I298,Střediska!$A$1:$B$40,2,FALSE)</f>
        <v>1041-Starší žáci</v>
      </c>
      <c r="M298" s="32" t="str">
        <f>VLOOKUP(Zdroj!$I298,Střediska!$A$1:$B$41,2,FALSE)</f>
        <v>Starší žáci</v>
      </c>
    </row>
    <row r="299" spans="1:13" hidden="1" x14ac:dyDescent="0.2">
      <c r="A299" s="33" t="s">
        <v>481</v>
      </c>
      <c r="B299" s="34" t="s">
        <v>721</v>
      </c>
      <c r="C299" s="34" t="s">
        <v>64</v>
      </c>
      <c r="D299" s="34"/>
      <c r="E299" s="34" t="s">
        <v>722</v>
      </c>
      <c r="F299" s="34">
        <v>0</v>
      </c>
      <c r="G299" s="34">
        <v>5300</v>
      </c>
      <c r="H299" s="34">
        <f t="shared" si="8"/>
        <v>5300</v>
      </c>
      <c r="I299" s="34">
        <v>1041</v>
      </c>
      <c r="J299" s="34">
        <f t="shared" si="9"/>
        <v>1</v>
      </c>
      <c r="K299" s="34" t="s">
        <v>90</v>
      </c>
      <c r="L299" s="34" t="str">
        <f>I299 &amp; "-" &amp;VLOOKUP(I299,Střediska!$A$1:$B$40,2,FALSE)</f>
        <v>1041-Starší žáci</v>
      </c>
      <c r="M299" s="35" t="str">
        <f>VLOOKUP(Zdroj!$I299,Střediska!$A$1:$B$41,2,FALSE)</f>
        <v>Starší žáci</v>
      </c>
    </row>
    <row r="300" spans="1:13" hidden="1" x14ac:dyDescent="0.2">
      <c r="A300" s="36" t="s">
        <v>49</v>
      </c>
      <c r="B300" s="31" t="s">
        <v>91</v>
      </c>
      <c r="C300" s="31" t="s">
        <v>19</v>
      </c>
      <c r="D300" s="31"/>
      <c r="E300" s="31" t="s">
        <v>93</v>
      </c>
      <c r="F300" s="31">
        <v>0</v>
      </c>
      <c r="G300" s="31">
        <v>22854.9</v>
      </c>
      <c r="H300" s="31">
        <f t="shared" si="8"/>
        <v>22854.9</v>
      </c>
      <c r="I300" s="31">
        <v>1041</v>
      </c>
      <c r="J300" s="31">
        <f t="shared" si="9"/>
        <v>1</v>
      </c>
      <c r="K300" s="31" t="s">
        <v>90</v>
      </c>
      <c r="L300" s="31" t="str">
        <f>I300 &amp; "-" &amp;VLOOKUP(I300,Střediska!$A$1:$B$40,2,FALSE)</f>
        <v>1041-Starší žáci</v>
      </c>
      <c r="M300" s="32" t="str">
        <f>VLOOKUP(Zdroj!$I300,Střediska!$A$1:$B$41,2,FALSE)</f>
        <v>Starší žáci</v>
      </c>
    </row>
    <row r="301" spans="1:13" hidden="1" x14ac:dyDescent="0.2">
      <c r="A301" s="33" t="s">
        <v>49</v>
      </c>
      <c r="B301" s="34" t="s">
        <v>723</v>
      </c>
      <c r="C301" s="34" t="s">
        <v>64</v>
      </c>
      <c r="D301" s="34"/>
      <c r="E301" s="34" t="s">
        <v>674</v>
      </c>
      <c r="F301" s="34">
        <v>0</v>
      </c>
      <c r="G301" s="34">
        <v>5300</v>
      </c>
      <c r="H301" s="34">
        <f t="shared" si="8"/>
        <v>5300</v>
      </c>
      <c r="I301" s="34">
        <v>1041</v>
      </c>
      <c r="J301" s="34">
        <f t="shared" si="9"/>
        <v>1</v>
      </c>
      <c r="K301" s="34" t="s">
        <v>90</v>
      </c>
      <c r="L301" s="34" t="str">
        <f>I301 &amp; "-" &amp;VLOOKUP(I301,Střediska!$A$1:$B$40,2,FALSE)</f>
        <v>1041-Starší žáci</v>
      </c>
      <c r="M301" s="35" t="str">
        <f>VLOOKUP(Zdroj!$I301,Střediska!$A$1:$B$41,2,FALSE)</f>
        <v>Starší žáci</v>
      </c>
    </row>
    <row r="302" spans="1:13" hidden="1" x14ac:dyDescent="0.2">
      <c r="A302" s="36" t="s">
        <v>49</v>
      </c>
      <c r="B302" s="31" t="s">
        <v>724</v>
      </c>
      <c r="C302" s="31" t="s">
        <v>64</v>
      </c>
      <c r="D302" s="31"/>
      <c r="E302" s="31" t="s">
        <v>725</v>
      </c>
      <c r="F302" s="31">
        <v>0</v>
      </c>
      <c r="G302" s="31">
        <v>1060</v>
      </c>
      <c r="H302" s="31">
        <f t="shared" si="8"/>
        <v>1060</v>
      </c>
      <c r="I302" s="31">
        <v>1041</v>
      </c>
      <c r="J302" s="31">
        <f t="shared" si="9"/>
        <v>1</v>
      </c>
      <c r="K302" s="31" t="s">
        <v>90</v>
      </c>
      <c r="L302" s="31" t="str">
        <f>I302 &amp; "-" &amp;VLOOKUP(I302,Střediska!$A$1:$B$40,2,FALSE)</f>
        <v>1041-Starší žáci</v>
      </c>
      <c r="M302" s="32" t="str">
        <f>VLOOKUP(Zdroj!$I302,Střediska!$A$1:$B$41,2,FALSE)</f>
        <v>Starší žáci</v>
      </c>
    </row>
    <row r="303" spans="1:13" hidden="1" x14ac:dyDescent="0.2">
      <c r="A303" s="33" t="s">
        <v>49</v>
      </c>
      <c r="B303" s="34" t="s">
        <v>726</v>
      </c>
      <c r="C303" s="34" t="s">
        <v>64</v>
      </c>
      <c r="D303" s="34"/>
      <c r="E303" s="34" t="s">
        <v>727</v>
      </c>
      <c r="F303" s="34">
        <v>0</v>
      </c>
      <c r="G303" s="34">
        <v>5300</v>
      </c>
      <c r="H303" s="34">
        <f t="shared" si="8"/>
        <v>5300</v>
      </c>
      <c r="I303" s="34">
        <v>1041</v>
      </c>
      <c r="J303" s="34">
        <f t="shared" si="9"/>
        <v>1</v>
      </c>
      <c r="K303" s="34" t="s">
        <v>90</v>
      </c>
      <c r="L303" s="34" t="str">
        <f>I303 &amp; "-" &amp;VLOOKUP(I303,Střediska!$A$1:$B$40,2,FALSE)</f>
        <v>1041-Starší žáci</v>
      </c>
      <c r="M303" s="35" t="str">
        <f>VLOOKUP(Zdroj!$I303,Střediska!$A$1:$B$41,2,FALSE)</f>
        <v>Starší žáci</v>
      </c>
    </row>
    <row r="304" spans="1:13" hidden="1" x14ac:dyDescent="0.2">
      <c r="A304" s="36" t="s">
        <v>49</v>
      </c>
      <c r="B304" s="31" t="s">
        <v>728</v>
      </c>
      <c r="C304" s="31" t="s">
        <v>64</v>
      </c>
      <c r="D304" s="31"/>
      <c r="E304" s="31" t="s">
        <v>729</v>
      </c>
      <c r="F304" s="31">
        <v>0</v>
      </c>
      <c r="G304" s="31">
        <v>5300</v>
      </c>
      <c r="H304" s="31">
        <f t="shared" si="8"/>
        <v>5300</v>
      </c>
      <c r="I304" s="31">
        <v>1041</v>
      </c>
      <c r="J304" s="31">
        <f t="shared" si="9"/>
        <v>1</v>
      </c>
      <c r="K304" s="31" t="s">
        <v>90</v>
      </c>
      <c r="L304" s="31" t="str">
        <f>I304 &amp; "-" &amp;VLOOKUP(I304,Střediska!$A$1:$B$40,2,FALSE)</f>
        <v>1041-Starší žáci</v>
      </c>
      <c r="M304" s="32" t="str">
        <f>VLOOKUP(Zdroj!$I304,Střediska!$A$1:$B$41,2,FALSE)</f>
        <v>Starší žáci</v>
      </c>
    </row>
    <row r="305" spans="1:13" hidden="1" x14ac:dyDescent="0.2">
      <c r="A305" s="33" t="s">
        <v>49</v>
      </c>
      <c r="B305" s="34" t="s">
        <v>730</v>
      </c>
      <c r="C305" s="34" t="s">
        <v>64</v>
      </c>
      <c r="D305" s="34"/>
      <c r="E305" s="34" t="s">
        <v>731</v>
      </c>
      <c r="F305" s="34">
        <v>0</v>
      </c>
      <c r="G305" s="34">
        <v>5300</v>
      </c>
      <c r="H305" s="34">
        <f t="shared" si="8"/>
        <v>5300</v>
      </c>
      <c r="I305" s="34">
        <v>1041</v>
      </c>
      <c r="J305" s="34">
        <f t="shared" si="9"/>
        <v>1</v>
      </c>
      <c r="K305" s="34" t="s">
        <v>90</v>
      </c>
      <c r="L305" s="34" t="str">
        <f>I305 &amp; "-" &amp;VLOOKUP(I305,Střediska!$A$1:$B$40,2,FALSE)</f>
        <v>1041-Starší žáci</v>
      </c>
      <c r="M305" s="35" t="str">
        <f>VLOOKUP(Zdroj!$I305,Střediska!$A$1:$B$41,2,FALSE)</f>
        <v>Starší žáci</v>
      </c>
    </row>
    <row r="306" spans="1:13" hidden="1" x14ac:dyDescent="0.2">
      <c r="A306" s="36" t="s">
        <v>733</v>
      </c>
      <c r="B306" s="31" t="s">
        <v>732</v>
      </c>
      <c r="C306" s="31" t="s">
        <v>64</v>
      </c>
      <c r="D306" s="31"/>
      <c r="E306" s="31" t="s">
        <v>734</v>
      </c>
      <c r="F306" s="31">
        <v>0</v>
      </c>
      <c r="G306" s="31">
        <v>2650</v>
      </c>
      <c r="H306" s="31">
        <f t="shared" si="8"/>
        <v>2650</v>
      </c>
      <c r="I306" s="31">
        <v>1041</v>
      </c>
      <c r="J306" s="31">
        <f t="shared" si="9"/>
        <v>1</v>
      </c>
      <c r="K306" s="31" t="s">
        <v>90</v>
      </c>
      <c r="L306" s="31" t="str">
        <f>I306 &amp; "-" &amp;VLOOKUP(I306,Střediska!$A$1:$B$40,2,FALSE)</f>
        <v>1041-Starší žáci</v>
      </c>
      <c r="M306" s="32" t="str">
        <f>VLOOKUP(Zdroj!$I306,Střediska!$A$1:$B$41,2,FALSE)</f>
        <v>Starší žáci</v>
      </c>
    </row>
    <row r="307" spans="1:13" hidden="1" x14ac:dyDescent="0.2">
      <c r="A307" s="33" t="s">
        <v>736</v>
      </c>
      <c r="B307" s="34" t="s">
        <v>735</v>
      </c>
      <c r="C307" s="34" t="s">
        <v>64</v>
      </c>
      <c r="D307" s="34"/>
      <c r="E307" s="34" t="s">
        <v>737</v>
      </c>
      <c r="F307" s="34">
        <v>0</v>
      </c>
      <c r="G307" s="34">
        <v>5300</v>
      </c>
      <c r="H307" s="34">
        <f t="shared" si="8"/>
        <v>5300</v>
      </c>
      <c r="I307" s="34">
        <v>1041</v>
      </c>
      <c r="J307" s="34">
        <f t="shared" si="9"/>
        <v>1</v>
      </c>
      <c r="K307" s="34" t="s">
        <v>90</v>
      </c>
      <c r="L307" s="34" t="str">
        <f>I307 &amp; "-" &amp;VLOOKUP(I307,Střediska!$A$1:$B$40,2,FALSE)</f>
        <v>1041-Starší žáci</v>
      </c>
      <c r="M307" s="35" t="str">
        <f>VLOOKUP(Zdroj!$I307,Střediska!$A$1:$B$41,2,FALSE)</f>
        <v>Starší žáci</v>
      </c>
    </row>
    <row r="308" spans="1:13" hidden="1" x14ac:dyDescent="0.2">
      <c r="A308" s="36" t="s">
        <v>736</v>
      </c>
      <c r="B308" s="31" t="s">
        <v>738</v>
      </c>
      <c r="C308" s="31" t="s">
        <v>64</v>
      </c>
      <c r="D308" s="31"/>
      <c r="E308" s="31" t="s">
        <v>95</v>
      </c>
      <c r="F308" s="31">
        <v>0</v>
      </c>
      <c r="G308" s="31">
        <v>1060</v>
      </c>
      <c r="H308" s="31">
        <f t="shared" si="8"/>
        <v>1060</v>
      </c>
      <c r="I308" s="31">
        <v>1041</v>
      </c>
      <c r="J308" s="31">
        <f t="shared" si="9"/>
        <v>1</v>
      </c>
      <c r="K308" s="31" t="s">
        <v>90</v>
      </c>
      <c r="L308" s="31" t="str">
        <f>I308 &amp; "-" &amp;VLOOKUP(I308,Střediska!$A$1:$B$40,2,FALSE)</f>
        <v>1041-Starší žáci</v>
      </c>
      <c r="M308" s="32" t="str">
        <f>VLOOKUP(Zdroj!$I308,Střediska!$A$1:$B$41,2,FALSE)</f>
        <v>Starší žáci</v>
      </c>
    </row>
    <row r="309" spans="1:13" hidden="1" x14ac:dyDescent="0.2">
      <c r="A309" s="33" t="s">
        <v>270</v>
      </c>
      <c r="B309" s="34" t="s">
        <v>739</v>
      </c>
      <c r="C309" s="34" t="s">
        <v>64</v>
      </c>
      <c r="D309" s="34"/>
      <c r="E309" s="34" t="s">
        <v>740</v>
      </c>
      <c r="F309" s="34">
        <v>0</v>
      </c>
      <c r="G309" s="34">
        <v>5300</v>
      </c>
      <c r="H309" s="34">
        <f t="shared" si="8"/>
        <v>5300</v>
      </c>
      <c r="I309" s="34">
        <v>1041</v>
      </c>
      <c r="J309" s="34">
        <f t="shared" si="9"/>
        <v>1</v>
      </c>
      <c r="K309" s="34" t="s">
        <v>90</v>
      </c>
      <c r="L309" s="34" t="str">
        <f>I309 &amp; "-" &amp;VLOOKUP(I309,Střediska!$A$1:$B$40,2,FALSE)</f>
        <v>1041-Starší žáci</v>
      </c>
      <c r="M309" s="35" t="str">
        <f>VLOOKUP(Zdroj!$I309,Střediska!$A$1:$B$41,2,FALSE)</f>
        <v>Starší žáci</v>
      </c>
    </row>
    <row r="310" spans="1:13" hidden="1" x14ac:dyDescent="0.2">
      <c r="A310" s="36" t="s">
        <v>742</v>
      </c>
      <c r="B310" s="31" t="s">
        <v>741</v>
      </c>
      <c r="C310" s="31" t="s">
        <v>64</v>
      </c>
      <c r="D310" s="31"/>
      <c r="E310" s="31" t="s">
        <v>743</v>
      </c>
      <c r="F310" s="31">
        <v>0</v>
      </c>
      <c r="G310" s="31">
        <v>5300</v>
      </c>
      <c r="H310" s="31">
        <f t="shared" si="8"/>
        <v>5300</v>
      </c>
      <c r="I310" s="31">
        <v>1041</v>
      </c>
      <c r="J310" s="31">
        <f t="shared" si="9"/>
        <v>1</v>
      </c>
      <c r="K310" s="31" t="s">
        <v>90</v>
      </c>
      <c r="L310" s="31" t="str">
        <f>I310 &amp; "-" &amp;VLOOKUP(I310,Střediska!$A$1:$B$40,2,FALSE)</f>
        <v>1041-Starší žáci</v>
      </c>
      <c r="M310" s="32" t="str">
        <f>VLOOKUP(Zdroj!$I310,Střediska!$A$1:$B$41,2,FALSE)</f>
        <v>Starší žáci</v>
      </c>
    </row>
    <row r="311" spans="1:13" hidden="1" x14ac:dyDescent="0.2">
      <c r="A311" s="33" t="s">
        <v>299</v>
      </c>
      <c r="B311" s="34" t="s">
        <v>744</v>
      </c>
      <c r="C311" s="34" t="s">
        <v>64</v>
      </c>
      <c r="D311" s="34"/>
      <c r="E311" s="34" t="s">
        <v>725</v>
      </c>
      <c r="F311" s="34">
        <v>0</v>
      </c>
      <c r="G311" s="34">
        <v>3180</v>
      </c>
      <c r="H311" s="34">
        <f t="shared" si="8"/>
        <v>3180</v>
      </c>
      <c r="I311" s="34">
        <v>1041</v>
      </c>
      <c r="J311" s="34">
        <f t="shared" si="9"/>
        <v>1</v>
      </c>
      <c r="K311" s="34" t="s">
        <v>90</v>
      </c>
      <c r="L311" s="34" t="str">
        <f>I311 &amp; "-" &amp;VLOOKUP(I311,Střediska!$A$1:$B$40,2,FALSE)</f>
        <v>1041-Starší žáci</v>
      </c>
      <c r="M311" s="35" t="str">
        <f>VLOOKUP(Zdroj!$I311,Střediska!$A$1:$B$41,2,FALSE)</f>
        <v>Starší žáci</v>
      </c>
    </row>
    <row r="312" spans="1:13" hidden="1" x14ac:dyDescent="0.2">
      <c r="A312" s="36" t="s">
        <v>20</v>
      </c>
      <c r="B312" s="31" t="s">
        <v>338</v>
      </c>
      <c r="C312" s="31" t="s">
        <v>19</v>
      </c>
      <c r="D312" s="31"/>
      <c r="E312" s="31" t="s">
        <v>339</v>
      </c>
      <c r="F312" s="31">
        <v>0</v>
      </c>
      <c r="G312" s="31">
        <v>-29531.05</v>
      </c>
      <c r="H312" s="31">
        <f t="shared" si="8"/>
        <v>-29531.05</v>
      </c>
      <c r="I312" s="31">
        <v>1041</v>
      </c>
      <c r="J312" s="31">
        <f t="shared" si="9"/>
        <v>1</v>
      </c>
      <c r="K312" s="31" t="s">
        <v>90</v>
      </c>
      <c r="L312" s="31" t="str">
        <f>I312 &amp; "-" &amp;VLOOKUP(I312,Střediska!$A$1:$B$40,2,FALSE)</f>
        <v>1041-Starší žáci</v>
      </c>
      <c r="M312" s="32" t="str">
        <f>VLOOKUP(Zdroj!$I312,Střediska!$A$1:$B$41,2,FALSE)</f>
        <v>Starší žáci</v>
      </c>
    </row>
    <row r="313" spans="1:13" hidden="1" x14ac:dyDescent="0.2">
      <c r="A313" s="33" t="s">
        <v>37</v>
      </c>
      <c r="B313" s="34" t="s">
        <v>749</v>
      </c>
      <c r="C313" s="34" t="s">
        <v>19</v>
      </c>
      <c r="D313" s="34"/>
      <c r="E313" s="34" t="s">
        <v>750</v>
      </c>
      <c r="F313" s="34">
        <v>6000</v>
      </c>
      <c r="G313" s="34">
        <v>0</v>
      </c>
      <c r="H313" s="34">
        <f t="shared" si="8"/>
        <v>-6000</v>
      </c>
      <c r="I313" s="34">
        <v>1051</v>
      </c>
      <c r="J313" s="34">
        <f t="shared" si="9"/>
        <v>1</v>
      </c>
      <c r="K313" s="34" t="s">
        <v>748</v>
      </c>
      <c r="L313" s="34" t="str">
        <f>I313 &amp; "-" &amp;VLOOKUP(I313,Střediska!$A$1:$B$40,2,FALSE)</f>
        <v>1051-Mladší žáci</v>
      </c>
      <c r="M313" s="35" t="str">
        <f>VLOOKUP(Zdroj!$I313,Střediska!$A$1:$B$41,2,FALSE)</f>
        <v>Mladší žáci</v>
      </c>
    </row>
    <row r="314" spans="1:13" hidden="1" x14ac:dyDescent="0.2">
      <c r="A314" s="36" t="s">
        <v>25</v>
      </c>
      <c r="B314" s="31" t="s">
        <v>751</v>
      </c>
      <c r="C314" s="31" t="s">
        <v>106</v>
      </c>
      <c r="D314" s="31" t="s">
        <v>133</v>
      </c>
      <c r="E314" s="31" t="s">
        <v>752</v>
      </c>
      <c r="F314" s="31">
        <v>7355</v>
      </c>
      <c r="G314" s="31">
        <v>0</v>
      </c>
      <c r="H314" s="31">
        <f t="shared" si="8"/>
        <v>-7355</v>
      </c>
      <c r="I314" s="31">
        <v>1051</v>
      </c>
      <c r="J314" s="31">
        <f t="shared" si="9"/>
        <v>1</v>
      </c>
      <c r="K314" s="31" t="s">
        <v>110</v>
      </c>
      <c r="L314" s="31" t="str">
        <f>I314 &amp; "-" &amp;VLOOKUP(I314,Střediska!$A$1:$B$40,2,FALSE)</f>
        <v>1051-Mladší žáci</v>
      </c>
      <c r="M314" s="32" t="str">
        <f>VLOOKUP(Zdroj!$I314,Střediska!$A$1:$B$41,2,FALSE)</f>
        <v>Mladší žáci</v>
      </c>
    </row>
    <row r="315" spans="1:13" hidden="1" x14ac:dyDescent="0.2">
      <c r="A315" s="33" t="s">
        <v>28</v>
      </c>
      <c r="B315" s="34" t="s">
        <v>753</v>
      </c>
      <c r="C315" s="34" t="s">
        <v>106</v>
      </c>
      <c r="D315" s="34" t="s">
        <v>133</v>
      </c>
      <c r="E315" s="34" t="s">
        <v>754</v>
      </c>
      <c r="F315" s="34">
        <v>6985</v>
      </c>
      <c r="G315" s="34">
        <v>0</v>
      </c>
      <c r="H315" s="34">
        <f t="shared" si="8"/>
        <v>-6985</v>
      </c>
      <c r="I315" s="34">
        <v>1051</v>
      </c>
      <c r="J315" s="34">
        <f t="shared" si="9"/>
        <v>1</v>
      </c>
      <c r="K315" s="34" t="s">
        <v>110</v>
      </c>
      <c r="L315" s="34" t="str">
        <f>I315 &amp; "-" &amp;VLOOKUP(I315,Střediska!$A$1:$B$40,2,FALSE)</f>
        <v>1051-Mladší žáci</v>
      </c>
      <c r="M315" s="35" t="str">
        <f>VLOOKUP(Zdroj!$I315,Střediska!$A$1:$B$41,2,FALSE)</f>
        <v>Mladší žáci</v>
      </c>
    </row>
    <row r="316" spans="1:13" hidden="1" x14ac:dyDescent="0.2">
      <c r="A316" s="36" t="s">
        <v>31</v>
      </c>
      <c r="B316" s="31" t="s">
        <v>755</v>
      </c>
      <c r="C316" s="31" t="s">
        <v>106</v>
      </c>
      <c r="D316" s="31" t="s">
        <v>133</v>
      </c>
      <c r="E316" s="31" t="s">
        <v>756</v>
      </c>
      <c r="F316" s="31">
        <v>1571</v>
      </c>
      <c r="G316" s="31">
        <v>0</v>
      </c>
      <c r="H316" s="31">
        <f t="shared" si="8"/>
        <v>-1571</v>
      </c>
      <c r="I316" s="31">
        <v>1051</v>
      </c>
      <c r="J316" s="31">
        <f t="shared" si="9"/>
        <v>1</v>
      </c>
      <c r="K316" s="31" t="s">
        <v>110</v>
      </c>
      <c r="L316" s="31" t="str">
        <f>I316 &amp; "-" &amp;VLOOKUP(I316,Střediska!$A$1:$B$40,2,FALSE)</f>
        <v>1051-Mladší žáci</v>
      </c>
      <c r="M316" s="32" t="str">
        <f>VLOOKUP(Zdroj!$I316,Střediska!$A$1:$B$41,2,FALSE)</f>
        <v>Mladší žáci</v>
      </c>
    </row>
    <row r="317" spans="1:13" hidden="1" x14ac:dyDescent="0.2">
      <c r="A317" s="33" t="s">
        <v>31</v>
      </c>
      <c r="B317" s="34" t="s">
        <v>757</v>
      </c>
      <c r="C317" s="34" t="s">
        <v>106</v>
      </c>
      <c r="D317" s="34" t="s">
        <v>133</v>
      </c>
      <c r="E317" s="34" t="s">
        <v>756</v>
      </c>
      <c r="F317" s="34">
        <v>7800</v>
      </c>
      <c r="G317" s="34">
        <v>0</v>
      </c>
      <c r="H317" s="34">
        <f t="shared" si="8"/>
        <v>-7800</v>
      </c>
      <c r="I317" s="34">
        <v>1051</v>
      </c>
      <c r="J317" s="34">
        <f t="shared" si="9"/>
        <v>1</v>
      </c>
      <c r="K317" s="34" t="s">
        <v>110</v>
      </c>
      <c r="L317" s="34" t="str">
        <f>I317 &amp; "-" &amp;VLOOKUP(I317,Střediska!$A$1:$B$40,2,FALSE)</f>
        <v>1051-Mladší žáci</v>
      </c>
      <c r="M317" s="35" t="str">
        <f>VLOOKUP(Zdroj!$I317,Střediska!$A$1:$B$41,2,FALSE)</f>
        <v>Mladší žáci</v>
      </c>
    </row>
    <row r="318" spans="1:13" hidden="1" x14ac:dyDescent="0.2">
      <c r="A318" s="36" t="s">
        <v>34</v>
      </c>
      <c r="B318" s="31" t="s">
        <v>758</v>
      </c>
      <c r="C318" s="31" t="s">
        <v>106</v>
      </c>
      <c r="D318" s="31" t="s">
        <v>133</v>
      </c>
      <c r="E318" s="31" t="s">
        <v>759</v>
      </c>
      <c r="F318" s="31">
        <v>6945</v>
      </c>
      <c r="G318" s="31">
        <v>0</v>
      </c>
      <c r="H318" s="31">
        <f t="shared" si="8"/>
        <v>-6945</v>
      </c>
      <c r="I318" s="31">
        <v>1051</v>
      </c>
      <c r="J318" s="31">
        <f t="shared" si="9"/>
        <v>1</v>
      </c>
      <c r="K318" s="31" t="s">
        <v>110</v>
      </c>
      <c r="L318" s="31" t="str">
        <f>I318 &amp; "-" &amp;VLOOKUP(I318,Střediska!$A$1:$B$40,2,FALSE)</f>
        <v>1051-Mladší žáci</v>
      </c>
      <c r="M318" s="32" t="str">
        <f>VLOOKUP(Zdroj!$I318,Střediska!$A$1:$B$41,2,FALSE)</f>
        <v>Mladší žáci</v>
      </c>
    </row>
    <row r="319" spans="1:13" hidden="1" x14ac:dyDescent="0.2">
      <c r="A319" s="33" t="s">
        <v>34</v>
      </c>
      <c r="B319" s="34" t="s">
        <v>760</v>
      </c>
      <c r="C319" s="34" t="s">
        <v>106</v>
      </c>
      <c r="D319" s="34" t="s">
        <v>133</v>
      </c>
      <c r="E319" s="34" t="s">
        <v>759</v>
      </c>
      <c r="F319" s="34">
        <v>2940</v>
      </c>
      <c r="G319" s="34">
        <v>0</v>
      </c>
      <c r="H319" s="34">
        <f t="shared" si="8"/>
        <v>-2940</v>
      </c>
      <c r="I319" s="34">
        <v>1051</v>
      </c>
      <c r="J319" s="34">
        <f t="shared" si="9"/>
        <v>1</v>
      </c>
      <c r="K319" s="34" t="s">
        <v>110</v>
      </c>
      <c r="L319" s="34" t="str">
        <f>I319 &amp; "-" &amp;VLOOKUP(I319,Střediska!$A$1:$B$40,2,FALSE)</f>
        <v>1051-Mladší žáci</v>
      </c>
      <c r="M319" s="35" t="str">
        <f>VLOOKUP(Zdroj!$I319,Střediska!$A$1:$B$41,2,FALSE)</f>
        <v>Mladší žáci</v>
      </c>
    </row>
    <row r="320" spans="1:13" hidden="1" x14ac:dyDescent="0.2">
      <c r="A320" s="36" t="s">
        <v>37</v>
      </c>
      <c r="B320" s="31" t="s">
        <v>761</v>
      </c>
      <c r="C320" s="31" t="s">
        <v>106</v>
      </c>
      <c r="D320" s="31" t="s">
        <v>133</v>
      </c>
      <c r="E320" s="31" t="s">
        <v>762</v>
      </c>
      <c r="F320" s="31">
        <v>8975</v>
      </c>
      <c r="G320" s="31">
        <v>0</v>
      </c>
      <c r="H320" s="31">
        <f t="shared" si="8"/>
        <v>-8975</v>
      </c>
      <c r="I320" s="31">
        <v>1051</v>
      </c>
      <c r="J320" s="31">
        <f t="shared" si="9"/>
        <v>1</v>
      </c>
      <c r="K320" s="31" t="s">
        <v>110</v>
      </c>
      <c r="L320" s="31" t="str">
        <f>I320 &amp; "-" &amp;VLOOKUP(I320,Střediska!$A$1:$B$40,2,FALSE)</f>
        <v>1051-Mladší žáci</v>
      </c>
      <c r="M320" s="32" t="str">
        <f>VLOOKUP(Zdroj!$I320,Střediska!$A$1:$B$41,2,FALSE)</f>
        <v>Mladší žáci</v>
      </c>
    </row>
    <row r="321" spans="1:13" hidden="1" x14ac:dyDescent="0.2">
      <c r="A321" s="33" t="s">
        <v>40</v>
      </c>
      <c r="B321" s="34" t="s">
        <v>763</v>
      </c>
      <c r="C321" s="34" t="s">
        <v>106</v>
      </c>
      <c r="D321" s="34" t="s">
        <v>133</v>
      </c>
      <c r="E321" s="34" t="s">
        <v>764</v>
      </c>
      <c r="F321" s="34">
        <v>11025</v>
      </c>
      <c r="G321" s="34">
        <v>0</v>
      </c>
      <c r="H321" s="34">
        <f t="shared" si="8"/>
        <v>-11025</v>
      </c>
      <c r="I321" s="34">
        <v>1051</v>
      </c>
      <c r="J321" s="34">
        <f t="shared" si="9"/>
        <v>1</v>
      </c>
      <c r="K321" s="34" t="s">
        <v>110</v>
      </c>
      <c r="L321" s="34" t="str">
        <f>I321 &amp; "-" &amp;VLOOKUP(I321,Střediska!$A$1:$B$40,2,FALSE)</f>
        <v>1051-Mladší žáci</v>
      </c>
      <c r="M321" s="35" t="str">
        <f>VLOOKUP(Zdroj!$I321,Střediska!$A$1:$B$41,2,FALSE)</f>
        <v>Mladší žáci</v>
      </c>
    </row>
    <row r="322" spans="1:13" hidden="1" x14ac:dyDescent="0.2">
      <c r="A322" s="36" t="s">
        <v>46</v>
      </c>
      <c r="B322" s="31" t="s">
        <v>132</v>
      </c>
      <c r="C322" s="31" t="s">
        <v>106</v>
      </c>
      <c r="D322" s="31" t="s">
        <v>133</v>
      </c>
      <c r="E322" s="31" t="s">
        <v>134</v>
      </c>
      <c r="F322" s="31">
        <v>205</v>
      </c>
      <c r="G322" s="31">
        <v>0</v>
      </c>
      <c r="H322" s="31">
        <f t="shared" ref="H322:H385" si="10">-F322+G322</f>
        <v>-205</v>
      </c>
      <c r="I322" s="31">
        <v>1051</v>
      </c>
      <c r="J322" s="31">
        <f t="shared" ref="J322:J385" si="11">VALUE(LEFT(I322,1))</f>
        <v>1</v>
      </c>
      <c r="K322" s="31" t="s">
        <v>110</v>
      </c>
      <c r="L322" s="31" t="str">
        <f>I322 &amp; "-" &amp;VLOOKUP(I322,Střediska!$A$1:$B$40,2,FALSE)</f>
        <v>1051-Mladší žáci</v>
      </c>
      <c r="M322" s="32" t="str">
        <f>VLOOKUP(Zdroj!$I322,Střediska!$A$1:$B$41,2,FALSE)</f>
        <v>Mladší žáci</v>
      </c>
    </row>
    <row r="323" spans="1:13" hidden="1" x14ac:dyDescent="0.2">
      <c r="A323" s="33" t="s">
        <v>49</v>
      </c>
      <c r="B323" s="34" t="s">
        <v>765</v>
      </c>
      <c r="C323" s="34" t="s">
        <v>106</v>
      </c>
      <c r="D323" s="34" t="s">
        <v>133</v>
      </c>
      <c r="E323" s="34" t="s">
        <v>766</v>
      </c>
      <c r="F323" s="34">
        <v>7390</v>
      </c>
      <c r="G323" s="34">
        <v>0</v>
      </c>
      <c r="H323" s="34">
        <f t="shared" si="10"/>
        <v>-7390</v>
      </c>
      <c r="I323" s="34">
        <v>1051</v>
      </c>
      <c r="J323" s="34">
        <f t="shared" si="11"/>
        <v>1</v>
      </c>
      <c r="K323" s="34" t="s">
        <v>110</v>
      </c>
      <c r="L323" s="34" t="str">
        <f>I323 &amp; "-" &amp;VLOOKUP(I323,Střediska!$A$1:$B$40,2,FALSE)</f>
        <v>1051-Mladší žáci</v>
      </c>
      <c r="M323" s="35" t="str">
        <f>VLOOKUP(Zdroj!$I323,Střediska!$A$1:$B$41,2,FALSE)</f>
        <v>Mladší žáci</v>
      </c>
    </row>
    <row r="324" spans="1:13" hidden="1" x14ac:dyDescent="0.2">
      <c r="A324" s="36" t="s">
        <v>52</v>
      </c>
      <c r="B324" s="31" t="s">
        <v>767</v>
      </c>
      <c r="C324" s="31" t="s">
        <v>106</v>
      </c>
      <c r="D324" s="31" t="s">
        <v>133</v>
      </c>
      <c r="E324" s="31" t="s">
        <v>768</v>
      </c>
      <c r="F324" s="31">
        <v>7055</v>
      </c>
      <c r="G324" s="31">
        <v>0</v>
      </c>
      <c r="H324" s="31">
        <f t="shared" si="10"/>
        <v>-7055</v>
      </c>
      <c r="I324" s="31">
        <v>1051</v>
      </c>
      <c r="J324" s="31">
        <f t="shared" si="11"/>
        <v>1</v>
      </c>
      <c r="K324" s="31" t="s">
        <v>110</v>
      </c>
      <c r="L324" s="31" t="str">
        <f>I324 &amp; "-" &amp;VLOOKUP(I324,Střediska!$A$1:$B$40,2,FALSE)</f>
        <v>1051-Mladší žáci</v>
      </c>
      <c r="M324" s="32" t="str">
        <f>VLOOKUP(Zdroj!$I324,Střediska!$A$1:$B$41,2,FALSE)</f>
        <v>Mladší žáci</v>
      </c>
    </row>
    <row r="325" spans="1:13" hidden="1" x14ac:dyDescent="0.2">
      <c r="A325" s="33" t="s">
        <v>55</v>
      </c>
      <c r="B325" s="34" t="s">
        <v>769</v>
      </c>
      <c r="C325" s="34" t="s">
        <v>106</v>
      </c>
      <c r="D325" s="34" t="s">
        <v>133</v>
      </c>
      <c r="E325" s="34" t="s">
        <v>770</v>
      </c>
      <c r="F325" s="34">
        <v>8700</v>
      </c>
      <c r="G325" s="34">
        <v>0</v>
      </c>
      <c r="H325" s="34">
        <f t="shared" si="10"/>
        <v>-8700</v>
      </c>
      <c r="I325" s="34">
        <v>1051</v>
      </c>
      <c r="J325" s="34">
        <f t="shared" si="11"/>
        <v>1</v>
      </c>
      <c r="K325" s="34" t="s">
        <v>110</v>
      </c>
      <c r="L325" s="34" t="str">
        <f>I325 &amp; "-" &amp;VLOOKUP(I325,Střediska!$A$1:$B$40,2,FALSE)</f>
        <v>1051-Mladší žáci</v>
      </c>
      <c r="M325" s="35" t="str">
        <f>VLOOKUP(Zdroj!$I325,Střediska!$A$1:$B$41,2,FALSE)</f>
        <v>Mladší žáci</v>
      </c>
    </row>
    <row r="326" spans="1:13" hidden="1" x14ac:dyDescent="0.2">
      <c r="A326" s="36" t="s">
        <v>20</v>
      </c>
      <c r="B326" s="31" t="s">
        <v>771</v>
      </c>
      <c r="C326" s="31" t="s">
        <v>106</v>
      </c>
      <c r="D326" s="31" t="s">
        <v>133</v>
      </c>
      <c r="E326" s="31" t="s">
        <v>772</v>
      </c>
      <c r="F326" s="31">
        <v>8130</v>
      </c>
      <c r="G326" s="31">
        <v>0</v>
      </c>
      <c r="H326" s="31">
        <f t="shared" si="10"/>
        <v>-8130</v>
      </c>
      <c r="I326" s="31">
        <v>1051</v>
      </c>
      <c r="J326" s="31">
        <f t="shared" si="11"/>
        <v>1</v>
      </c>
      <c r="K326" s="31" t="s">
        <v>110</v>
      </c>
      <c r="L326" s="31" t="str">
        <f>I326 &amp; "-" &amp;VLOOKUP(I326,Střediska!$A$1:$B$40,2,FALSE)</f>
        <v>1051-Mladší žáci</v>
      </c>
      <c r="M326" s="32" t="str">
        <f>VLOOKUP(Zdroj!$I326,Střediska!$A$1:$B$41,2,FALSE)</f>
        <v>Mladší žáci</v>
      </c>
    </row>
    <row r="327" spans="1:13" hidden="1" x14ac:dyDescent="0.2">
      <c r="A327" s="33" t="s">
        <v>775</v>
      </c>
      <c r="B327" s="34" t="s">
        <v>773</v>
      </c>
      <c r="C327" s="34" t="s">
        <v>106</v>
      </c>
      <c r="D327" s="34" t="s">
        <v>774</v>
      </c>
      <c r="E327" s="34" t="s">
        <v>235</v>
      </c>
      <c r="F327" s="34">
        <v>4500</v>
      </c>
      <c r="G327" s="34">
        <v>0</v>
      </c>
      <c r="H327" s="34">
        <f t="shared" si="10"/>
        <v>-4500</v>
      </c>
      <c r="I327" s="34">
        <v>1051</v>
      </c>
      <c r="J327" s="34">
        <f t="shared" si="11"/>
        <v>1</v>
      </c>
      <c r="K327" s="34" t="s">
        <v>148</v>
      </c>
      <c r="L327" s="34" t="str">
        <f>I327 &amp; "-" &amp;VLOOKUP(I327,Střediska!$A$1:$B$40,2,FALSE)</f>
        <v>1051-Mladší žáci</v>
      </c>
      <c r="M327" s="35" t="str">
        <f>VLOOKUP(Zdroj!$I327,Střediska!$A$1:$B$41,2,FALSE)</f>
        <v>Mladší žáci</v>
      </c>
    </row>
    <row r="328" spans="1:13" hidden="1" x14ac:dyDescent="0.2">
      <c r="A328" s="36" t="s">
        <v>601</v>
      </c>
      <c r="B328" s="31" t="s">
        <v>599</v>
      </c>
      <c r="C328" s="31" t="s">
        <v>106</v>
      </c>
      <c r="D328" s="31" t="s">
        <v>600</v>
      </c>
      <c r="E328" s="31" t="s">
        <v>602</v>
      </c>
      <c r="F328" s="31">
        <v>4600</v>
      </c>
      <c r="G328" s="31">
        <v>0</v>
      </c>
      <c r="H328" s="31">
        <f t="shared" si="10"/>
        <v>-4600</v>
      </c>
      <c r="I328" s="31">
        <v>1051</v>
      </c>
      <c r="J328" s="31">
        <f t="shared" si="11"/>
        <v>1</v>
      </c>
      <c r="K328" s="31" t="s">
        <v>148</v>
      </c>
      <c r="L328" s="31" t="str">
        <f>I328 &amp; "-" &amp;VLOOKUP(I328,Střediska!$A$1:$B$40,2,FALSE)</f>
        <v>1051-Mladší žáci</v>
      </c>
      <c r="M328" s="32" t="str">
        <f>VLOOKUP(Zdroj!$I328,Střediska!$A$1:$B$41,2,FALSE)</f>
        <v>Mladší žáci</v>
      </c>
    </row>
    <row r="329" spans="1:13" hidden="1" x14ac:dyDescent="0.2">
      <c r="A329" s="33" t="s">
        <v>20</v>
      </c>
      <c r="B329" s="34" t="s">
        <v>18</v>
      </c>
      <c r="C329" s="34" t="s">
        <v>19</v>
      </c>
      <c r="D329" s="34"/>
      <c r="E329" s="34" t="s">
        <v>21</v>
      </c>
      <c r="F329" s="34">
        <v>93391.07</v>
      </c>
      <c r="G329" s="34">
        <v>0</v>
      </c>
      <c r="H329" s="34">
        <f t="shared" si="10"/>
        <v>-93391.07</v>
      </c>
      <c r="I329" s="34">
        <v>1051</v>
      </c>
      <c r="J329" s="34">
        <f t="shared" si="11"/>
        <v>1</v>
      </c>
      <c r="K329" s="34" t="s">
        <v>17</v>
      </c>
      <c r="L329" s="34" t="str">
        <f>I329 &amp; "-" &amp;VLOOKUP(I329,Střediska!$A$1:$B$40,2,FALSE)</f>
        <v>1051-Mladší žáci</v>
      </c>
      <c r="M329" s="35" t="str">
        <f>VLOOKUP(Zdroj!$I329,Střediska!$A$1:$B$41,2,FALSE)</f>
        <v>Mladší žáci</v>
      </c>
    </row>
    <row r="330" spans="1:13" hidden="1" x14ac:dyDescent="0.2">
      <c r="A330" s="36" t="s">
        <v>778</v>
      </c>
      <c r="B330" s="31" t="s">
        <v>776</v>
      </c>
      <c r="C330" s="31" t="s">
        <v>106</v>
      </c>
      <c r="D330" s="31" t="s">
        <v>777</v>
      </c>
      <c r="E330" s="31" t="s">
        <v>779</v>
      </c>
      <c r="F330" s="31">
        <v>12000</v>
      </c>
      <c r="G330" s="31">
        <v>0</v>
      </c>
      <c r="H330" s="31">
        <f t="shared" si="10"/>
        <v>-12000</v>
      </c>
      <c r="I330" s="31">
        <v>1051</v>
      </c>
      <c r="J330" s="31">
        <f t="shared" si="11"/>
        <v>1</v>
      </c>
      <c r="K330" s="31" t="s">
        <v>154</v>
      </c>
      <c r="L330" s="31" t="str">
        <f>I330 &amp; "-" &amp;VLOOKUP(I330,Střediska!$A$1:$B$40,2,FALSE)</f>
        <v>1051-Mladší žáci</v>
      </c>
      <c r="M330" s="32" t="str">
        <f>VLOOKUP(Zdroj!$I330,Střediska!$A$1:$B$41,2,FALSE)</f>
        <v>Mladší žáci</v>
      </c>
    </row>
    <row r="331" spans="1:13" hidden="1" x14ac:dyDescent="0.2">
      <c r="A331" s="33" t="s">
        <v>781</v>
      </c>
      <c r="B331" s="34" t="s">
        <v>780</v>
      </c>
      <c r="C331" s="34" t="s">
        <v>106</v>
      </c>
      <c r="D331" s="34" t="s">
        <v>604</v>
      </c>
      <c r="E331" s="34" t="s">
        <v>782</v>
      </c>
      <c r="F331" s="34">
        <v>34025</v>
      </c>
      <c r="G331" s="34">
        <v>0</v>
      </c>
      <c r="H331" s="34">
        <f t="shared" si="10"/>
        <v>-34025</v>
      </c>
      <c r="I331" s="34">
        <v>1051</v>
      </c>
      <c r="J331" s="34">
        <f t="shared" si="11"/>
        <v>1</v>
      </c>
      <c r="K331" s="34" t="s">
        <v>154</v>
      </c>
      <c r="L331" s="34" t="str">
        <f>I331 &amp; "-" &amp;VLOOKUP(I331,Střediska!$A$1:$B$40,2,FALSE)</f>
        <v>1051-Mladší žáci</v>
      </c>
      <c r="M331" s="35" t="str">
        <f>VLOOKUP(Zdroj!$I331,Střediska!$A$1:$B$41,2,FALSE)</f>
        <v>Mladší žáci</v>
      </c>
    </row>
    <row r="332" spans="1:13" hidden="1" x14ac:dyDescent="0.2">
      <c r="A332" s="36" t="s">
        <v>784</v>
      </c>
      <c r="B332" s="31" t="s">
        <v>783</v>
      </c>
      <c r="C332" s="31" t="s">
        <v>19</v>
      </c>
      <c r="D332" s="31"/>
      <c r="E332" s="31" t="s">
        <v>785</v>
      </c>
      <c r="F332" s="31">
        <v>3549</v>
      </c>
      <c r="G332" s="31">
        <v>0</v>
      </c>
      <c r="H332" s="31">
        <f t="shared" si="10"/>
        <v>-3549</v>
      </c>
      <c r="I332" s="31">
        <v>1051</v>
      </c>
      <c r="J332" s="31">
        <f t="shared" si="11"/>
        <v>1</v>
      </c>
      <c r="K332" s="31" t="s">
        <v>179</v>
      </c>
      <c r="L332" s="31" t="str">
        <f>I332 &amp; "-" &amp;VLOOKUP(I332,Střediska!$A$1:$B$40,2,FALSE)</f>
        <v>1051-Mladší žáci</v>
      </c>
      <c r="M332" s="32" t="str">
        <f>VLOOKUP(Zdroj!$I332,Střediska!$A$1:$B$41,2,FALSE)</f>
        <v>Mladší žáci</v>
      </c>
    </row>
    <row r="333" spans="1:13" hidden="1" x14ac:dyDescent="0.2">
      <c r="A333" s="33" t="s">
        <v>787</v>
      </c>
      <c r="B333" s="34" t="s">
        <v>786</v>
      </c>
      <c r="C333" s="34" t="s">
        <v>19</v>
      </c>
      <c r="D333" s="34"/>
      <c r="E333" s="34" t="s">
        <v>785</v>
      </c>
      <c r="F333" s="34">
        <v>3100</v>
      </c>
      <c r="G333" s="34">
        <v>0</v>
      </c>
      <c r="H333" s="34">
        <f t="shared" si="10"/>
        <v>-3100</v>
      </c>
      <c r="I333" s="34">
        <v>1051</v>
      </c>
      <c r="J333" s="34">
        <f t="shared" si="11"/>
        <v>1</v>
      </c>
      <c r="K333" s="34" t="s">
        <v>179</v>
      </c>
      <c r="L333" s="34" t="str">
        <f>I333 &amp; "-" &amp;VLOOKUP(I333,Střediska!$A$1:$B$40,2,FALSE)</f>
        <v>1051-Mladší žáci</v>
      </c>
      <c r="M333" s="35" t="str">
        <f>VLOOKUP(Zdroj!$I333,Střediska!$A$1:$B$41,2,FALSE)</f>
        <v>Mladší žáci</v>
      </c>
    </row>
    <row r="334" spans="1:13" hidden="1" x14ac:dyDescent="0.2">
      <c r="A334" s="36" t="s">
        <v>789</v>
      </c>
      <c r="B334" s="31" t="s">
        <v>788</v>
      </c>
      <c r="C334" s="31" t="s">
        <v>19</v>
      </c>
      <c r="D334" s="31"/>
      <c r="E334" s="31" t="s">
        <v>785</v>
      </c>
      <c r="F334" s="31">
        <v>3000</v>
      </c>
      <c r="G334" s="31">
        <v>0</v>
      </c>
      <c r="H334" s="31">
        <f t="shared" si="10"/>
        <v>-3000</v>
      </c>
      <c r="I334" s="31">
        <v>1051</v>
      </c>
      <c r="J334" s="31">
        <f t="shared" si="11"/>
        <v>1</v>
      </c>
      <c r="K334" s="31" t="s">
        <v>179</v>
      </c>
      <c r="L334" s="31" t="str">
        <f>I334 &amp; "-" &amp;VLOOKUP(I334,Střediska!$A$1:$B$40,2,FALSE)</f>
        <v>1051-Mladší žáci</v>
      </c>
      <c r="M334" s="32" t="str">
        <f>VLOOKUP(Zdroj!$I334,Střediska!$A$1:$B$41,2,FALSE)</f>
        <v>Mladší žáci</v>
      </c>
    </row>
    <row r="335" spans="1:13" hidden="1" x14ac:dyDescent="0.2">
      <c r="A335" s="33" t="s">
        <v>34</v>
      </c>
      <c r="B335" s="34" t="s">
        <v>790</v>
      </c>
      <c r="C335" s="34" t="s">
        <v>19</v>
      </c>
      <c r="D335" s="34"/>
      <c r="E335" s="34" t="s">
        <v>785</v>
      </c>
      <c r="F335" s="34">
        <v>3132</v>
      </c>
      <c r="G335" s="34">
        <v>0</v>
      </c>
      <c r="H335" s="34">
        <f t="shared" si="10"/>
        <v>-3132</v>
      </c>
      <c r="I335" s="34">
        <v>1051</v>
      </c>
      <c r="J335" s="34">
        <f t="shared" si="11"/>
        <v>1</v>
      </c>
      <c r="K335" s="34" t="s">
        <v>179</v>
      </c>
      <c r="L335" s="34" t="str">
        <f>I335 &amp; "-" &amp;VLOOKUP(I335,Střediska!$A$1:$B$40,2,FALSE)</f>
        <v>1051-Mladší žáci</v>
      </c>
      <c r="M335" s="35" t="str">
        <f>VLOOKUP(Zdroj!$I335,Střediska!$A$1:$B$41,2,FALSE)</f>
        <v>Mladší žáci</v>
      </c>
    </row>
    <row r="336" spans="1:13" hidden="1" x14ac:dyDescent="0.2">
      <c r="A336" s="36" t="s">
        <v>792</v>
      </c>
      <c r="B336" s="31" t="s">
        <v>791</v>
      </c>
      <c r="C336" s="31" t="s">
        <v>19</v>
      </c>
      <c r="D336" s="31"/>
      <c r="E336" s="31" t="s">
        <v>785</v>
      </c>
      <c r="F336" s="31">
        <v>1825</v>
      </c>
      <c r="G336" s="31">
        <v>0</v>
      </c>
      <c r="H336" s="31">
        <f t="shared" si="10"/>
        <v>-1825</v>
      </c>
      <c r="I336" s="31">
        <v>1051</v>
      </c>
      <c r="J336" s="31">
        <f t="shared" si="11"/>
        <v>1</v>
      </c>
      <c r="K336" s="31" t="s">
        <v>179</v>
      </c>
      <c r="L336" s="31" t="str">
        <f>I336 &amp; "-" &amp;VLOOKUP(I336,Střediska!$A$1:$B$40,2,FALSE)</f>
        <v>1051-Mladší žáci</v>
      </c>
      <c r="M336" s="32" t="str">
        <f>VLOOKUP(Zdroj!$I336,Střediska!$A$1:$B$41,2,FALSE)</f>
        <v>Mladší žáci</v>
      </c>
    </row>
    <row r="337" spans="1:13" hidden="1" x14ac:dyDescent="0.2">
      <c r="A337" s="33" t="s">
        <v>794</v>
      </c>
      <c r="B337" s="34" t="s">
        <v>793</v>
      </c>
      <c r="C337" s="34" t="s">
        <v>19</v>
      </c>
      <c r="D337" s="34"/>
      <c r="E337" s="34" t="s">
        <v>785</v>
      </c>
      <c r="F337" s="34">
        <v>3010</v>
      </c>
      <c r="G337" s="34">
        <v>0</v>
      </c>
      <c r="H337" s="34">
        <f t="shared" si="10"/>
        <v>-3010</v>
      </c>
      <c r="I337" s="34">
        <v>1051</v>
      </c>
      <c r="J337" s="34">
        <f t="shared" si="11"/>
        <v>1</v>
      </c>
      <c r="K337" s="34" t="s">
        <v>179</v>
      </c>
      <c r="L337" s="34" t="str">
        <f>I337 &amp; "-" &amp;VLOOKUP(I337,Střediska!$A$1:$B$40,2,FALSE)</f>
        <v>1051-Mladší žáci</v>
      </c>
      <c r="M337" s="35" t="str">
        <f>VLOOKUP(Zdroj!$I337,Střediska!$A$1:$B$41,2,FALSE)</f>
        <v>Mladší žáci</v>
      </c>
    </row>
    <row r="338" spans="1:13" hidden="1" x14ac:dyDescent="0.2">
      <c r="A338" s="36" t="s">
        <v>20</v>
      </c>
      <c r="B338" s="31" t="s">
        <v>59</v>
      </c>
      <c r="C338" s="31" t="s">
        <v>19</v>
      </c>
      <c r="D338" s="31"/>
      <c r="E338" s="31" t="s">
        <v>60</v>
      </c>
      <c r="F338" s="31">
        <v>66510</v>
      </c>
      <c r="G338" s="31">
        <v>0</v>
      </c>
      <c r="H338" s="31">
        <f t="shared" si="10"/>
        <v>-66510</v>
      </c>
      <c r="I338" s="31">
        <v>1051</v>
      </c>
      <c r="J338" s="31">
        <f t="shared" si="11"/>
        <v>1</v>
      </c>
      <c r="K338" s="31" t="s">
        <v>23</v>
      </c>
      <c r="L338" s="31" t="str">
        <f>I338 &amp; "-" &amp;VLOOKUP(I338,Střediska!$A$1:$B$40,2,FALSE)</f>
        <v>1051-Mladší žáci</v>
      </c>
      <c r="M338" s="32" t="str">
        <f>VLOOKUP(Zdroj!$I338,Střediska!$A$1:$B$41,2,FALSE)</f>
        <v>Mladší žáci</v>
      </c>
    </row>
    <row r="339" spans="1:13" hidden="1" x14ac:dyDescent="0.2">
      <c r="A339" s="33" t="s">
        <v>37</v>
      </c>
      <c r="B339" s="34" t="s">
        <v>493</v>
      </c>
      <c r="C339" s="34" t="s">
        <v>19</v>
      </c>
      <c r="D339" s="34"/>
      <c r="E339" s="34" t="s">
        <v>494</v>
      </c>
      <c r="F339" s="34">
        <v>0</v>
      </c>
      <c r="G339" s="34">
        <v>31550</v>
      </c>
      <c r="H339" s="34">
        <f t="shared" si="10"/>
        <v>31550</v>
      </c>
      <c r="I339" s="34">
        <v>1051</v>
      </c>
      <c r="J339" s="34">
        <f t="shared" si="11"/>
        <v>1</v>
      </c>
      <c r="K339" s="34" t="s">
        <v>246</v>
      </c>
      <c r="L339" s="34" t="str">
        <f>I339 &amp; "-" &amp;VLOOKUP(I339,Střediska!$A$1:$B$40,2,FALSE)</f>
        <v>1051-Mladší žáci</v>
      </c>
      <c r="M339" s="35" t="str">
        <f>VLOOKUP(Zdroj!$I339,Střediska!$A$1:$B$41,2,FALSE)</f>
        <v>Mladší žáci</v>
      </c>
    </row>
    <row r="340" spans="1:13" hidden="1" x14ac:dyDescent="0.2">
      <c r="A340" s="36" t="s">
        <v>399</v>
      </c>
      <c r="B340" s="31" t="s">
        <v>795</v>
      </c>
      <c r="C340" s="31" t="s">
        <v>64</v>
      </c>
      <c r="D340" s="31"/>
      <c r="E340" s="31" t="s">
        <v>796</v>
      </c>
      <c r="F340" s="31">
        <v>0</v>
      </c>
      <c r="G340" s="31">
        <v>4600</v>
      </c>
      <c r="H340" s="31">
        <f t="shared" si="10"/>
        <v>4600</v>
      </c>
      <c r="I340" s="31">
        <v>1051</v>
      </c>
      <c r="J340" s="31">
        <f t="shared" si="11"/>
        <v>1</v>
      </c>
      <c r="K340" s="31" t="s">
        <v>90</v>
      </c>
      <c r="L340" s="31" t="str">
        <f>I340 &amp; "-" &amp;VLOOKUP(I340,Střediska!$A$1:$B$40,2,FALSE)</f>
        <v>1051-Mladší žáci</v>
      </c>
      <c r="M340" s="32" t="str">
        <f>VLOOKUP(Zdroj!$I340,Střediska!$A$1:$B$41,2,FALSE)</f>
        <v>Mladší žáci</v>
      </c>
    </row>
    <row r="341" spans="1:13" hidden="1" x14ac:dyDescent="0.2">
      <c r="A341" s="33" t="s">
        <v>399</v>
      </c>
      <c r="B341" s="34" t="s">
        <v>797</v>
      </c>
      <c r="C341" s="34" t="s">
        <v>64</v>
      </c>
      <c r="D341" s="34"/>
      <c r="E341" s="34" t="s">
        <v>798</v>
      </c>
      <c r="F341" s="34">
        <v>0</v>
      </c>
      <c r="G341" s="34">
        <v>4600</v>
      </c>
      <c r="H341" s="34">
        <f t="shared" si="10"/>
        <v>4600</v>
      </c>
      <c r="I341" s="34">
        <v>1051</v>
      </c>
      <c r="J341" s="34">
        <f t="shared" si="11"/>
        <v>1</v>
      </c>
      <c r="K341" s="34" t="s">
        <v>90</v>
      </c>
      <c r="L341" s="34" t="str">
        <f>I341 &amp; "-" &amp;VLOOKUP(I341,Střediska!$A$1:$B$40,2,FALSE)</f>
        <v>1051-Mladší žáci</v>
      </c>
      <c r="M341" s="35" t="str">
        <f>VLOOKUP(Zdroj!$I341,Střediska!$A$1:$B$41,2,FALSE)</f>
        <v>Mladší žáci</v>
      </c>
    </row>
    <row r="342" spans="1:13" hidden="1" x14ac:dyDescent="0.2">
      <c r="A342" s="36" t="s">
        <v>399</v>
      </c>
      <c r="B342" s="31" t="s">
        <v>799</v>
      </c>
      <c r="C342" s="31" t="s">
        <v>64</v>
      </c>
      <c r="D342" s="31"/>
      <c r="E342" s="31" t="s">
        <v>800</v>
      </c>
      <c r="F342" s="31">
        <v>0</v>
      </c>
      <c r="G342" s="31">
        <v>4600</v>
      </c>
      <c r="H342" s="31">
        <f t="shared" si="10"/>
        <v>4600</v>
      </c>
      <c r="I342" s="31">
        <v>1051</v>
      </c>
      <c r="J342" s="31">
        <f t="shared" si="11"/>
        <v>1</v>
      </c>
      <c r="K342" s="31" t="s">
        <v>90</v>
      </c>
      <c r="L342" s="31" t="str">
        <f>I342 &amp; "-" &amp;VLOOKUP(I342,Střediska!$A$1:$B$40,2,FALSE)</f>
        <v>1051-Mladší žáci</v>
      </c>
      <c r="M342" s="32" t="str">
        <f>VLOOKUP(Zdroj!$I342,Střediska!$A$1:$B$41,2,FALSE)</f>
        <v>Mladší žáci</v>
      </c>
    </row>
    <row r="343" spans="1:13" hidden="1" x14ac:dyDescent="0.2">
      <c r="A343" s="33" t="s">
        <v>399</v>
      </c>
      <c r="B343" s="34" t="s">
        <v>802</v>
      </c>
      <c r="C343" s="34" t="s">
        <v>64</v>
      </c>
      <c r="D343" s="34"/>
      <c r="E343" s="34" t="s">
        <v>803</v>
      </c>
      <c r="F343" s="34">
        <v>0</v>
      </c>
      <c r="G343" s="34">
        <v>4600</v>
      </c>
      <c r="H343" s="34">
        <f t="shared" si="10"/>
        <v>4600</v>
      </c>
      <c r="I343" s="34">
        <v>1051</v>
      </c>
      <c r="J343" s="34">
        <f t="shared" si="11"/>
        <v>1</v>
      </c>
      <c r="K343" s="34" t="s">
        <v>90</v>
      </c>
      <c r="L343" s="34" t="str">
        <f>I343 &amp; "-" &amp;VLOOKUP(I343,Střediska!$A$1:$B$40,2,FALSE)</f>
        <v>1051-Mladší žáci</v>
      </c>
      <c r="M343" s="35" t="str">
        <f>VLOOKUP(Zdroj!$I343,Střediska!$A$1:$B$41,2,FALSE)</f>
        <v>Mladší žáci</v>
      </c>
    </row>
    <row r="344" spans="1:13" hidden="1" x14ac:dyDescent="0.2">
      <c r="A344" s="36" t="s">
        <v>630</v>
      </c>
      <c r="B344" s="31" t="s">
        <v>804</v>
      </c>
      <c r="C344" s="31" t="s">
        <v>64</v>
      </c>
      <c r="D344" s="31"/>
      <c r="E344" s="31" t="s">
        <v>805</v>
      </c>
      <c r="F344" s="31">
        <v>0</v>
      </c>
      <c r="G344" s="31">
        <v>4600</v>
      </c>
      <c r="H344" s="31">
        <f t="shared" si="10"/>
        <v>4600</v>
      </c>
      <c r="I344" s="31">
        <v>1051</v>
      </c>
      <c r="J344" s="31">
        <f t="shared" si="11"/>
        <v>1</v>
      </c>
      <c r="K344" s="31" t="s">
        <v>90</v>
      </c>
      <c r="L344" s="31" t="str">
        <f>I344 &amp; "-" &amp;VLOOKUP(I344,Střediska!$A$1:$B$40,2,FALSE)</f>
        <v>1051-Mladší žáci</v>
      </c>
      <c r="M344" s="32" t="str">
        <f>VLOOKUP(Zdroj!$I344,Střediska!$A$1:$B$41,2,FALSE)</f>
        <v>Mladší žáci</v>
      </c>
    </row>
    <row r="345" spans="1:13" hidden="1" x14ac:dyDescent="0.2">
      <c r="A345" s="33" t="s">
        <v>630</v>
      </c>
      <c r="B345" s="34" t="s">
        <v>806</v>
      </c>
      <c r="C345" s="34" t="s">
        <v>64</v>
      </c>
      <c r="D345" s="34"/>
      <c r="E345" s="34" t="s">
        <v>807</v>
      </c>
      <c r="F345" s="34">
        <v>0</v>
      </c>
      <c r="G345" s="34">
        <v>4600</v>
      </c>
      <c r="H345" s="34">
        <f t="shared" si="10"/>
        <v>4600</v>
      </c>
      <c r="I345" s="34">
        <v>1051</v>
      </c>
      <c r="J345" s="34">
        <f t="shared" si="11"/>
        <v>1</v>
      </c>
      <c r="K345" s="34" t="s">
        <v>90</v>
      </c>
      <c r="L345" s="34" t="str">
        <f>I345 &amp; "-" &amp;VLOOKUP(I345,Střediska!$A$1:$B$40,2,FALSE)</f>
        <v>1051-Mladší žáci</v>
      </c>
      <c r="M345" s="35" t="str">
        <f>VLOOKUP(Zdroj!$I345,Střediska!$A$1:$B$41,2,FALSE)</f>
        <v>Mladší žáci</v>
      </c>
    </row>
    <row r="346" spans="1:13" hidden="1" x14ac:dyDescent="0.2">
      <c r="A346" s="36" t="s">
        <v>635</v>
      </c>
      <c r="B346" s="31" t="s">
        <v>808</v>
      </c>
      <c r="C346" s="31" t="s">
        <v>64</v>
      </c>
      <c r="D346" s="31"/>
      <c r="E346" s="31" t="s">
        <v>809</v>
      </c>
      <c r="F346" s="31">
        <v>0</v>
      </c>
      <c r="G346" s="31">
        <v>4600</v>
      </c>
      <c r="H346" s="31">
        <f t="shared" si="10"/>
        <v>4600</v>
      </c>
      <c r="I346" s="31">
        <v>1051</v>
      </c>
      <c r="J346" s="31">
        <f t="shared" si="11"/>
        <v>1</v>
      </c>
      <c r="K346" s="31" t="s">
        <v>90</v>
      </c>
      <c r="L346" s="31" t="str">
        <f>I346 &amp; "-" &amp;VLOOKUP(I346,Střediska!$A$1:$B$40,2,FALSE)</f>
        <v>1051-Mladší žáci</v>
      </c>
      <c r="M346" s="32" t="str">
        <f>VLOOKUP(Zdroj!$I346,Střediska!$A$1:$B$41,2,FALSE)</f>
        <v>Mladší žáci</v>
      </c>
    </row>
    <row r="347" spans="1:13" hidden="1" x14ac:dyDescent="0.2">
      <c r="A347" s="33" t="s">
        <v>811</v>
      </c>
      <c r="B347" s="34" t="s">
        <v>810</v>
      </c>
      <c r="C347" s="34" t="s">
        <v>64</v>
      </c>
      <c r="D347" s="34"/>
      <c r="E347" s="34" t="s">
        <v>722</v>
      </c>
      <c r="F347" s="34">
        <v>0</v>
      </c>
      <c r="G347" s="34">
        <v>4600</v>
      </c>
      <c r="H347" s="34">
        <f t="shared" si="10"/>
        <v>4600</v>
      </c>
      <c r="I347" s="34">
        <v>1051</v>
      </c>
      <c r="J347" s="34">
        <f t="shared" si="11"/>
        <v>1</v>
      </c>
      <c r="K347" s="34" t="s">
        <v>90</v>
      </c>
      <c r="L347" s="34" t="str">
        <f>I347 &amp; "-" &amp;VLOOKUP(I347,Střediska!$A$1:$B$40,2,FALSE)</f>
        <v>1051-Mladší žáci</v>
      </c>
      <c r="M347" s="35" t="str">
        <f>VLOOKUP(Zdroj!$I347,Střediska!$A$1:$B$41,2,FALSE)</f>
        <v>Mladší žáci</v>
      </c>
    </row>
    <row r="348" spans="1:13" hidden="1" x14ac:dyDescent="0.2">
      <c r="A348" s="36" t="s">
        <v>811</v>
      </c>
      <c r="B348" s="31" t="s">
        <v>812</v>
      </c>
      <c r="C348" s="31" t="s">
        <v>64</v>
      </c>
      <c r="D348" s="31"/>
      <c r="E348" s="31" t="s">
        <v>813</v>
      </c>
      <c r="F348" s="31">
        <v>0</v>
      </c>
      <c r="G348" s="31">
        <v>4600</v>
      </c>
      <c r="H348" s="31">
        <f t="shared" si="10"/>
        <v>4600</v>
      </c>
      <c r="I348" s="31">
        <v>1051</v>
      </c>
      <c r="J348" s="31">
        <f t="shared" si="11"/>
        <v>1</v>
      </c>
      <c r="K348" s="31" t="s">
        <v>90</v>
      </c>
      <c r="L348" s="31" t="str">
        <f>I348 &amp; "-" &amp;VLOOKUP(I348,Střediska!$A$1:$B$40,2,FALSE)</f>
        <v>1051-Mladší žáci</v>
      </c>
      <c r="M348" s="32" t="str">
        <f>VLOOKUP(Zdroj!$I348,Střediska!$A$1:$B$41,2,FALSE)</f>
        <v>Mladší žáci</v>
      </c>
    </row>
    <row r="349" spans="1:13" hidden="1" x14ac:dyDescent="0.2">
      <c r="A349" s="33" t="s">
        <v>640</v>
      </c>
      <c r="B349" s="34" t="s">
        <v>814</v>
      </c>
      <c r="C349" s="34" t="s">
        <v>64</v>
      </c>
      <c r="D349" s="34"/>
      <c r="E349" s="34" t="s">
        <v>815</v>
      </c>
      <c r="F349" s="34">
        <v>0</v>
      </c>
      <c r="G349" s="34">
        <v>4600</v>
      </c>
      <c r="H349" s="34">
        <f t="shared" si="10"/>
        <v>4600</v>
      </c>
      <c r="I349" s="34">
        <v>1051</v>
      </c>
      <c r="J349" s="34">
        <f t="shared" si="11"/>
        <v>1</v>
      </c>
      <c r="K349" s="34" t="s">
        <v>90</v>
      </c>
      <c r="L349" s="34" t="str">
        <f>I349 &amp; "-" &amp;VLOOKUP(I349,Střediska!$A$1:$B$40,2,FALSE)</f>
        <v>1051-Mladší žáci</v>
      </c>
      <c r="M349" s="35" t="str">
        <f>VLOOKUP(Zdroj!$I349,Střediska!$A$1:$B$41,2,FALSE)</f>
        <v>Mladší žáci</v>
      </c>
    </row>
    <row r="350" spans="1:13" hidden="1" x14ac:dyDescent="0.2">
      <c r="A350" s="36" t="s">
        <v>817</v>
      </c>
      <c r="B350" s="31" t="s">
        <v>816</v>
      </c>
      <c r="C350" s="31" t="s">
        <v>64</v>
      </c>
      <c r="D350" s="31"/>
      <c r="E350" s="31" t="s">
        <v>818</v>
      </c>
      <c r="F350" s="31">
        <v>0</v>
      </c>
      <c r="G350" s="31">
        <v>2300</v>
      </c>
      <c r="H350" s="31">
        <f t="shared" si="10"/>
        <v>2300</v>
      </c>
      <c r="I350" s="31">
        <v>1051</v>
      </c>
      <c r="J350" s="31">
        <f t="shared" si="11"/>
        <v>1</v>
      </c>
      <c r="K350" s="31" t="s">
        <v>90</v>
      </c>
      <c r="L350" s="31" t="str">
        <f>I350 &amp; "-" &amp;VLOOKUP(I350,Střediska!$A$1:$B$40,2,FALSE)</f>
        <v>1051-Mladší žáci</v>
      </c>
      <c r="M350" s="32" t="str">
        <f>VLOOKUP(Zdroj!$I350,Střediska!$A$1:$B$41,2,FALSE)</f>
        <v>Mladší žáci</v>
      </c>
    </row>
    <row r="351" spans="1:13" hidden="1" x14ac:dyDescent="0.2">
      <c r="A351" s="33" t="s">
        <v>817</v>
      </c>
      <c r="B351" s="34" t="s">
        <v>819</v>
      </c>
      <c r="C351" s="34" t="s">
        <v>64</v>
      </c>
      <c r="D351" s="34"/>
      <c r="E351" s="34" t="s">
        <v>820</v>
      </c>
      <c r="F351" s="34">
        <v>0</v>
      </c>
      <c r="G351" s="34">
        <v>4600</v>
      </c>
      <c r="H351" s="34">
        <f t="shared" si="10"/>
        <v>4600</v>
      </c>
      <c r="I351" s="34">
        <v>1051</v>
      </c>
      <c r="J351" s="34">
        <f t="shared" si="11"/>
        <v>1</v>
      </c>
      <c r="K351" s="34" t="s">
        <v>90</v>
      </c>
      <c r="L351" s="34" t="str">
        <f>I351 &amp; "-" &amp;VLOOKUP(I351,Střediska!$A$1:$B$40,2,FALSE)</f>
        <v>1051-Mladší žáci</v>
      </c>
      <c r="M351" s="35" t="str">
        <f>VLOOKUP(Zdroj!$I351,Střediska!$A$1:$B$41,2,FALSE)</f>
        <v>Mladší žáci</v>
      </c>
    </row>
    <row r="352" spans="1:13" hidden="1" x14ac:dyDescent="0.2">
      <c r="A352" s="36" t="s">
        <v>646</v>
      </c>
      <c r="B352" s="31" t="s">
        <v>821</v>
      </c>
      <c r="C352" s="31" t="s">
        <v>64</v>
      </c>
      <c r="D352" s="31"/>
      <c r="E352" s="31" t="s">
        <v>822</v>
      </c>
      <c r="F352" s="31">
        <v>0</v>
      </c>
      <c r="G352" s="31">
        <v>4600</v>
      </c>
      <c r="H352" s="31">
        <f t="shared" si="10"/>
        <v>4600</v>
      </c>
      <c r="I352" s="31">
        <v>1051</v>
      </c>
      <c r="J352" s="31">
        <f t="shared" si="11"/>
        <v>1</v>
      </c>
      <c r="K352" s="31" t="s">
        <v>90</v>
      </c>
      <c r="L352" s="31" t="str">
        <f>I352 &amp; "-" &amp;VLOOKUP(I352,Střediska!$A$1:$B$40,2,FALSE)</f>
        <v>1051-Mladší žáci</v>
      </c>
      <c r="M352" s="32" t="str">
        <f>VLOOKUP(Zdroj!$I352,Střediska!$A$1:$B$41,2,FALSE)</f>
        <v>Mladší žáci</v>
      </c>
    </row>
    <row r="353" spans="1:13" hidden="1" x14ac:dyDescent="0.2">
      <c r="A353" s="33" t="s">
        <v>646</v>
      </c>
      <c r="B353" s="34" t="s">
        <v>823</v>
      </c>
      <c r="C353" s="34" t="s">
        <v>64</v>
      </c>
      <c r="D353" s="34"/>
      <c r="E353" s="34" t="s">
        <v>824</v>
      </c>
      <c r="F353" s="34">
        <v>0</v>
      </c>
      <c r="G353" s="34">
        <v>4600</v>
      </c>
      <c r="H353" s="34">
        <f t="shared" si="10"/>
        <v>4600</v>
      </c>
      <c r="I353" s="34">
        <v>1051</v>
      </c>
      <c r="J353" s="34">
        <f t="shared" si="11"/>
        <v>1</v>
      </c>
      <c r="K353" s="34" t="s">
        <v>90</v>
      </c>
      <c r="L353" s="34" t="str">
        <f>I353 &amp; "-" &amp;VLOOKUP(I353,Střediska!$A$1:$B$40,2,FALSE)</f>
        <v>1051-Mladší žáci</v>
      </c>
      <c r="M353" s="35" t="str">
        <f>VLOOKUP(Zdroj!$I353,Střediska!$A$1:$B$41,2,FALSE)</f>
        <v>Mladší žáci</v>
      </c>
    </row>
    <row r="354" spans="1:13" hidden="1" x14ac:dyDescent="0.2">
      <c r="A354" s="36" t="s">
        <v>646</v>
      </c>
      <c r="B354" s="31" t="s">
        <v>825</v>
      </c>
      <c r="C354" s="31" t="s">
        <v>64</v>
      </c>
      <c r="D354" s="31"/>
      <c r="E354" s="31" t="s">
        <v>826</v>
      </c>
      <c r="F354" s="31">
        <v>0</v>
      </c>
      <c r="G354" s="31">
        <v>2300</v>
      </c>
      <c r="H354" s="31">
        <f t="shared" si="10"/>
        <v>2300</v>
      </c>
      <c r="I354" s="31">
        <v>1051</v>
      </c>
      <c r="J354" s="31">
        <f t="shared" si="11"/>
        <v>1</v>
      </c>
      <c r="K354" s="31" t="s">
        <v>90</v>
      </c>
      <c r="L354" s="31" t="str">
        <f>I354 &amp; "-" &amp;VLOOKUP(I354,Střediska!$A$1:$B$40,2,FALSE)</f>
        <v>1051-Mladší žáci</v>
      </c>
      <c r="M354" s="32" t="str">
        <f>VLOOKUP(Zdroj!$I354,Střediska!$A$1:$B$41,2,FALSE)</f>
        <v>Mladší žáci</v>
      </c>
    </row>
    <row r="355" spans="1:13" hidden="1" x14ac:dyDescent="0.2">
      <c r="A355" s="33" t="s">
        <v>646</v>
      </c>
      <c r="B355" s="34" t="s">
        <v>827</v>
      </c>
      <c r="C355" s="34" t="s">
        <v>64</v>
      </c>
      <c r="D355" s="34"/>
      <c r="E355" s="34" t="s">
        <v>828</v>
      </c>
      <c r="F355" s="34">
        <v>0</v>
      </c>
      <c r="G355" s="34">
        <v>4600</v>
      </c>
      <c r="H355" s="34">
        <f t="shared" si="10"/>
        <v>4600</v>
      </c>
      <c r="I355" s="34">
        <v>1051</v>
      </c>
      <c r="J355" s="34">
        <f t="shared" si="11"/>
        <v>1</v>
      </c>
      <c r="K355" s="34" t="s">
        <v>90</v>
      </c>
      <c r="L355" s="34" t="str">
        <f>I355 &amp; "-" &amp;VLOOKUP(I355,Střediska!$A$1:$B$40,2,FALSE)</f>
        <v>1051-Mladší žáci</v>
      </c>
      <c r="M355" s="35" t="str">
        <f>VLOOKUP(Zdroj!$I355,Střediska!$A$1:$B$41,2,FALSE)</f>
        <v>Mladší žáci</v>
      </c>
    </row>
    <row r="356" spans="1:13" hidden="1" x14ac:dyDescent="0.2">
      <c r="A356" s="36" t="s">
        <v>502</v>
      </c>
      <c r="B356" s="31" t="s">
        <v>829</v>
      </c>
      <c r="C356" s="31" t="s">
        <v>64</v>
      </c>
      <c r="D356" s="31"/>
      <c r="E356" s="31" t="s">
        <v>830</v>
      </c>
      <c r="F356" s="31">
        <v>0</v>
      </c>
      <c r="G356" s="31">
        <v>4600</v>
      </c>
      <c r="H356" s="31">
        <f t="shared" si="10"/>
        <v>4600</v>
      </c>
      <c r="I356" s="31">
        <v>1051</v>
      </c>
      <c r="J356" s="31">
        <f t="shared" si="11"/>
        <v>1</v>
      </c>
      <c r="K356" s="31" t="s">
        <v>90</v>
      </c>
      <c r="L356" s="31" t="str">
        <f>I356 &amp; "-" &amp;VLOOKUP(I356,Střediska!$A$1:$B$40,2,FALSE)</f>
        <v>1051-Mladší žáci</v>
      </c>
      <c r="M356" s="32" t="str">
        <f>VLOOKUP(Zdroj!$I356,Střediska!$A$1:$B$41,2,FALSE)</f>
        <v>Mladší žáci</v>
      </c>
    </row>
    <row r="357" spans="1:13" hidden="1" x14ac:dyDescent="0.2">
      <c r="A357" s="33" t="s">
        <v>502</v>
      </c>
      <c r="B357" s="34" t="s">
        <v>831</v>
      </c>
      <c r="C357" s="34" t="s">
        <v>64</v>
      </c>
      <c r="D357" s="34"/>
      <c r="E357" s="34" t="s">
        <v>832</v>
      </c>
      <c r="F357" s="34">
        <v>0</v>
      </c>
      <c r="G357" s="34">
        <v>2300</v>
      </c>
      <c r="H357" s="34">
        <f t="shared" si="10"/>
        <v>2300</v>
      </c>
      <c r="I357" s="34">
        <v>1051</v>
      </c>
      <c r="J357" s="34">
        <f t="shared" si="11"/>
        <v>1</v>
      </c>
      <c r="K357" s="34" t="s">
        <v>90</v>
      </c>
      <c r="L357" s="34" t="str">
        <f>I357 &amp; "-" &amp;VLOOKUP(I357,Střediska!$A$1:$B$40,2,FALSE)</f>
        <v>1051-Mladší žáci</v>
      </c>
      <c r="M357" s="35" t="str">
        <f>VLOOKUP(Zdroj!$I357,Střediska!$A$1:$B$41,2,FALSE)</f>
        <v>Mladší žáci</v>
      </c>
    </row>
    <row r="358" spans="1:13" hidden="1" x14ac:dyDescent="0.2">
      <c r="A358" s="36" t="s">
        <v>404</v>
      </c>
      <c r="B358" s="31" t="s">
        <v>833</v>
      </c>
      <c r="C358" s="31" t="s">
        <v>64</v>
      </c>
      <c r="D358" s="31"/>
      <c r="E358" s="31" t="s">
        <v>834</v>
      </c>
      <c r="F358" s="31">
        <v>0</v>
      </c>
      <c r="G358" s="31">
        <v>2300</v>
      </c>
      <c r="H358" s="31">
        <f t="shared" si="10"/>
        <v>2300</v>
      </c>
      <c r="I358" s="31">
        <v>1051</v>
      </c>
      <c r="J358" s="31">
        <f t="shared" si="11"/>
        <v>1</v>
      </c>
      <c r="K358" s="31" t="s">
        <v>90</v>
      </c>
      <c r="L358" s="31" t="str">
        <f>I358 &amp; "-" &amp;VLOOKUP(I358,Střediska!$A$1:$B$40,2,FALSE)</f>
        <v>1051-Mladší žáci</v>
      </c>
      <c r="M358" s="32" t="str">
        <f>VLOOKUP(Zdroj!$I358,Střediska!$A$1:$B$41,2,FALSE)</f>
        <v>Mladší žáci</v>
      </c>
    </row>
    <row r="359" spans="1:13" hidden="1" x14ac:dyDescent="0.2">
      <c r="A359" s="33" t="s">
        <v>836</v>
      </c>
      <c r="B359" s="34" t="s">
        <v>835</v>
      </c>
      <c r="C359" s="34" t="s">
        <v>64</v>
      </c>
      <c r="D359" s="34"/>
      <c r="E359" s="34" t="s">
        <v>837</v>
      </c>
      <c r="F359" s="34">
        <v>0</v>
      </c>
      <c r="G359" s="34">
        <v>4600</v>
      </c>
      <c r="H359" s="34">
        <f t="shared" si="10"/>
        <v>4600</v>
      </c>
      <c r="I359" s="34">
        <v>1051</v>
      </c>
      <c r="J359" s="34">
        <f t="shared" si="11"/>
        <v>1</v>
      </c>
      <c r="K359" s="34" t="s">
        <v>90</v>
      </c>
      <c r="L359" s="34" t="str">
        <f>I359 &amp; "-" &amp;VLOOKUP(I359,Střediska!$A$1:$B$40,2,FALSE)</f>
        <v>1051-Mladší žáci</v>
      </c>
      <c r="M359" s="35" t="str">
        <f>VLOOKUP(Zdroj!$I359,Střediska!$A$1:$B$41,2,FALSE)</f>
        <v>Mladší žáci</v>
      </c>
    </row>
    <row r="360" spans="1:13" hidden="1" x14ac:dyDescent="0.2">
      <c r="A360" s="36" t="s">
        <v>510</v>
      </c>
      <c r="B360" s="31" t="s">
        <v>838</v>
      </c>
      <c r="C360" s="31" t="s">
        <v>64</v>
      </c>
      <c r="D360" s="31"/>
      <c r="E360" s="31" t="s">
        <v>839</v>
      </c>
      <c r="F360" s="31">
        <v>0</v>
      </c>
      <c r="G360" s="31">
        <v>4600</v>
      </c>
      <c r="H360" s="31">
        <f t="shared" si="10"/>
        <v>4600</v>
      </c>
      <c r="I360" s="31">
        <v>1051</v>
      </c>
      <c r="J360" s="31">
        <f t="shared" si="11"/>
        <v>1</v>
      </c>
      <c r="K360" s="31" t="s">
        <v>90</v>
      </c>
      <c r="L360" s="31" t="str">
        <f>I360 &amp; "-" &amp;VLOOKUP(I360,Střediska!$A$1:$B$40,2,FALSE)</f>
        <v>1051-Mladší žáci</v>
      </c>
      <c r="M360" s="32" t="str">
        <f>VLOOKUP(Zdroj!$I360,Střediska!$A$1:$B$41,2,FALSE)</f>
        <v>Mladší žáci</v>
      </c>
    </row>
    <row r="361" spans="1:13" hidden="1" x14ac:dyDescent="0.2">
      <c r="A361" s="33" t="s">
        <v>513</v>
      </c>
      <c r="B361" s="34" t="s">
        <v>840</v>
      </c>
      <c r="C361" s="34" t="s">
        <v>64</v>
      </c>
      <c r="D361" s="34"/>
      <c r="E361" s="34" t="s">
        <v>841</v>
      </c>
      <c r="F361" s="34">
        <v>0</v>
      </c>
      <c r="G361" s="34">
        <v>4600</v>
      </c>
      <c r="H361" s="34">
        <f t="shared" si="10"/>
        <v>4600</v>
      </c>
      <c r="I361" s="34">
        <v>1051</v>
      </c>
      <c r="J361" s="34">
        <f t="shared" si="11"/>
        <v>1</v>
      </c>
      <c r="K361" s="34" t="s">
        <v>90</v>
      </c>
      <c r="L361" s="34" t="str">
        <f>I361 &amp; "-" &amp;VLOOKUP(I361,Střediska!$A$1:$B$40,2,FALSE)</f>
        <v>1051-Mladší žáci</v>
      </c>
      <c r="M361" s="35" t="str">
        <f>VLOOKUP(Zdroj!$I361,Střediska!$A$1:$B$41,2,FALSE)</f>
        <v>Mladší žáci</v>
      </c>
    </row>
    <row r="362" spans="1:13" hidden="1" x14ac:dyDescent="0.2">
      <c r="A362" s="36" t="s">
        <v>513</v>
      </c>
      <c r="B362" s="31" t="s">
        <v>842</v>
      </c>
      <c r="C362" s="31" t="s">
        <v>64</v>
      </c>
      <c r="D362" s="31"/>
      <c r="E362" s="31" t="s">
        <v>843</v>
      </c>
      <c r="F362" s="31">
        <v>0</v>
      </c>
      <c r="G362" s="31">
        <v>4600</v>
      </c>
      <c r="H362" s="31">
        <f t="shared" si="10"/>
        <v>4600</v>
      </c>
      <c r="I362" s="31">
        <v>1051</v>
      </c>
      <c r="J362" s="31">
        <f t="shared" si="11"/>
        <v>1</v>
      </c>
      <c r="K362" s="31" t="s">
        <v>90</v>
      </c>
      <c r="L362" s="31" t="str">
        <f>I362 &amp; "-" &amp;VLOOKUP(I362,Střediska!$A$1:$B$40,2,FALSE)</f>
        <v>1051-Mladší žáci</v>
      </c>
      <c r="M362" s="32" t="str">
        <f>VLOOKUP(Zdroj!$I362,Střediska!$A$1:$B$41,2,FALSE)</f>
        <v>Mladší žáci</v>
      </c>
    </row>
    <row r="363" spans="1:13" hidden="1" x14ac:dyDescent="0.2">
      <c r="A363" s="33" t="s">
        <v>513</v>
      </c>
      <c r="B363" s="34" t="s">
        <v>844</v>
      </c>
      <c r="C363" s="34" t="s">
        <v>64</v>
      </c>
      <c r="D363" s="34"/>
      <c r="E363" s="34" t="s">
        <v>845</v>
      </c>
      <c r="F363" s="34">
        <v>0</v>
      </c>
      <c r="G363" s="34">
        <v>2300</v>
      </c>
      <c r="H363" s="34">
        <f t="shared" si="10"/>
        <v>2300</v>
      </c>
      <c r="I363" s="34">
        <v>1051</v>
      </c>
      <c r="J363" s="34">
        <f t="shared" si="11"/>
        <v>1</v>
      </c>
      <c r="K363" s="34" t="s">
        <v>90</v>
      </c>
      <c r="L363" s="34" t="str">
        <f>I363 &amp; "-" &amp;VLOOKUP(I363,Střediska!$A$1:$B$40,2,FALSE)</f>
        <v>1051-Mladší žáci</v>
      </c>
      <c r="M363" s="35" t="str">
        <f>VLOOKUP(Zdroj!$I363,Střediska!$A$1:$B$41,2,FALSE)</f>
        <v>Mladší žáci</v>
      </c>
    </row>
    <row r="364" spans="1:13" hidden="1" x14ac:dyDescent="0.2">
      <c r="A364" s="36" t="s">
        <v>847</v>
      </c>
      <c r="B364" s="31" t="s">
        <v>846</v>
      </c>
      <c r="C364" s="31" t="s">
        <v>64</v>
      </c>
      <c r="D364" s="31"/>
      <c r="E364" s="31" t="s">
        <v>848</v>
      </c>
      <c r="F364" s="31">
        <v>0</v>
      </c>
      <c r="G364" s="31">
        <v>4600</v>
      </c>
      <c r="H364" s="31">
        <f t="shared" si="10"/>
        <v>4600</v>
      </c>
      <c r="I364" s="31">
        <v>1051</v>
      </c>
      <c r="J364" s="31">
        <f t="shared" si="11"/>
        <v>1</v>
      </c>
      <c r="K364" s="31" t="s">
        <v>90</v>
      </c>
      <c r="L364" s="31" t="str">
        <f>I364 &amp; "-" &amp;VLOOKUP(I364,Střediska!$A$1:$B$40,2,FALSE)</f>
        <v>1051-Mladší žáci</v>
      </c>
      <c r="M364" s="32" t="str">
        <f>VLOOKUP(Zdroj!$I364,Střediska!$A$1:$B$41,2,FALSE)</f>
        <v>Mladší žáci</v>
      </c>
    </row>
    <row r="365" spans="1:13" hidden="1" x14ac:dyDescent="0.2">
      <c r="A365" s="33" t="s">
        <v>407</v>
      </c>
      <c r="B365" s="34" t="s">
        <v>849</v>
      </c>
      <c r="C365" s="34" t="s">
        <v>64</v>
      </c>
      <c r="D365" s="34"/>
      <c r="E365" s="34" t="s">
        <v>850</v>
      </c>
      <c r="F365" s="34">
        <v>0</v>
      </c>
      <c r="G365" s="34">
        <v>4600</v>
      </c>
      <c r="H365" s="34">
        <f t="shared" si="10"/>
        <v>4600</v>
      </c>
      <c r="I365" s="34">
        <v>1051</v>
      </c>
      <c r="J365" s="34">
        <f t="shared" si="11"/>
        <v>1</v>
      </c>
      <c r="K365" s="34" t="s">
        <v>90</v>
      </c>
      <c r="L365" s="34" t="str">
        <f>I365 &amp; "-" &amp;VLOOKUP(I365,Střediska!$A$1:$B$40,2,FALSE)</f>
        <v>1051-Mladší žáci</v>
      </c>
      <c r="M365" s="35" t="str">
        <f>VLOOKUP(Zdroj!$I365,Střediska!$A$1:$B$41,2,FALSE)</f>
        <v>Mladší žáci</v>
      </c>
    </row>
    <row r="366" spans="1:13" hidden="1" x14ac:dyDescent="0.2">
      <c r="A366" s="36" t="s">
        <v>25</v>
      </c>
      <c r="B366" s="31" t="s">
        <v>851</v>
      </c>
      <c r="C366" s="31" t="s">
        <v>64</v>
      </c>
      <c r="D366" s="31"/>
      <c r="E366" s="31" t="s">
        <v>852</v>
      </c>
      <c r="F366" s="31">
        <v>0</v>
      </c>
      <c r="G366" s="31">
        <v>4600</v>
      </c>
      <c r="H366" s="31">
        <f t="shared" si="10"/>
        <v>4600</v>
      </c>
      <c r="I366" s="31">
        <v>1051</v>
      </c>
      <c r="J366" s="31">
        <f t="shared" si="11"/>
        <v>1</v>
      </c>
      <c r="K366" s="31" t="s">
        <v>90</v>
      </c>
      <c r="L366" s="31" t="str">
        <f>I366 &amp; "-" &amp;VLOOKUP(I366,Střediska!$A$1:$B$40,2,FALSE)</f>
        <v>1051-Mladší žáci</v>
      </c>
      <c r="M366" s="32" t="str">
        <f>VLOOKUP(Zdroj!$I366,Střediska!$A$1:$B$41,2,FALSE)</f>
        <v>Mladší žáci</v>
      </c>
    </row>
    <row r="367" spans="1:13" hidden="1" x14ac:dyDescent="0.2">
      <c r="A367" s="33" t="s">
        <v>25</v>
      </c>
      <c r="B367" s="34" t="s">
        <v>853</v>
      </c>
      <c r="C367" s="34" t="s">
        <v>64</v>
      </c>
      <c r="D367" s="34"/>
      <c r="E367" s="34" t="s">
        <v>854</v>
      </c>
      <c r="F367" s="34">
        <v>0</v>
      </c>
      <c r="G367" s="34">
        <v>4600</v>
      </c>
      <c r="H367" s="34">
        <f t="shared" si="10"/>
        <v>4600</v>
      </c>
      <c r="I367" s="34">
        <v>1051</v>
      </c>
      <c r="J367" s="34">
        <f t="shared" si="11"/>
        <v>1</v>
      </c>
      <c r="K367" s="34" t="s">
        <v>90</v>
      </c>
      <c r="L367" s="34" t="str">
        <f>I367 &amp; "-" &amp;VLOOKUP(I367,Střediska!$A$1:$B$40,2,FALSE)</f>
        <v>1051-Mladší žáci</v>
      </c>
      <c r="M367" s="35" t="str">
        <f>VLOOKUP(Zdroj!$I367,Střediska!$A$1:$B$41,2,FALSE)</f>
        <v>Mladší žáci</v>
      </c>
    </row>
    <row r="368" spans="1:13" hidden="1" x14ac:dyDescent="0.2">
      <c r="A368" s="36" t="s">
        <v>25</v>
      </c>
      <c r="B368" s="31" t="s">
        <v>855</v>
      </c>
      <c r="C368" s="31" t="s">
        <v>64</v>
      </c>
      <c r="D368" s="31"/>
      <c r="E368" s="31" t="s">
        <v>856</v>
      </c>
      <c r="F368" s="31">
        <v>0</v>
      </c>
      <c r="G368" s="31">
        <v>4600</v>
      </c>
      <c r="H368" s="31">
        <f t="shared" si="10"/>
        <v>4600</v>
      </c>
      <c r="I368" s="31">
        <v>1051</v>
      </c>
      <c r="J368" s="31">
        <f t="shared" si="11"/>
        <v>1</v>
      </c>
      <c r="K368" s="31" t="s">
        <v>90</v>
      </c>
      <c r="L368" s="31" t="str">
        <f>I368 &amp; "-" &amp;VLOOKUP(I368,Střediska!$A$1:$B$40,2,FALSE)</f>
        <v>1051-Mladší žáci</v>
      </c>
      <c r="M368" s="32" t="str">
        <f>VLOOKUP(Zdroj!$I368,Střediska!$A$1:$B$41,2,FALSE)</f>
        <v>Mladší žáci</v>
      </c>
    </row>
    <row r="369" spans="1:13" hidden="1" x14ac:dyDescent="0.2">
      <c r="A369" s="33" t="s">
        <v>410</v>
      </c>
      <c r="B369" s="34" t="s">
        <v>857</v>
      </c>
      <c r="C369" s="34" t="s">
        <v>64</v>
      </c>
      <c r="D369" s="34"/>
      <c r="E369" s="34" t="s">
        <v>858</v>
      </c>
      <c r="F369" s="34">
        <v>0</v>
      </c>
      <c r="G369" s="34">
        <v>4600</v>
      </c>
      <c r="H369" s="34">
        <f t="shared" si="10"/>
        <v>4600</v>
      </c>
      <c r="I369" s="34">
        <v>1051</v>
      </c>
      <c r="J369" s="34">
        <f t="shared" si="11"/>
        <v>1</v>
      </c>
      <c r="K369" s="34" t="s">
        <v>90</v>
      </c>
      <c r="L369" s="34" t="str">
        <f>I369 &amp; "-" &amp;VLOOKUP(I369,Střediska!$A$1:$B$40,2,FALSE)</f>
        <v>1051-Mladší žáci</v>
      </c>
      <c r="M369" s="35" t="str">
        <f>VLOOKUP(Zdroj!$I369,Střediska!$A$1:$B$41,2,FALSE)</f>
        <v>Mladší žáci</v>
      </c>
    </row>
    <row r="370" spans="1:13" hidden="1" x14ac:dyDescent="0.2">
      <c r="A370" s="36" t="s">
        <v>410</v>
      </c>
      <c r="B370" s="31" t="s">
        <v>859</v>
      </c>
      <c r="C370" s="31" t="s">
        <v>64</v>
      </c>
      <c r="D370" s="31"/>
      <c r="E370" s="31" t="s">
        <v>860</v>
      </c>
      <c r="F370" s="31">
        <v>0</v>
      </c>
      <c r="G370" s="31">
        <v>4600</v>
      </c>
      <c r="H370" s="31">
        <f t="shared" si="10"/>
        <v>4600</v>
      </c>
      <c r="I370" s="31">
        <v>1051</v>
      </c>
      <c r="J370" s="31">
        <f t="shared" si="11"/>
        <v>1</v>
      </c>
      <c r="K370" s="31" t="s">
        <v>90</v>
      </c>
      <c r="L370" s="31" t="str">
        <f>I370 &amp; "-" &amp;VLOOKUP(I370,Střediska!$A$1:$B$40,2,FALSE)</f>
        <v>1051-Mladší žáci</v>
      </c>
      <c r="M370" s="32" t="str">
        <f>VLOOKUP(Zdroj!$I370,Střediska!$A$1:$B$41,2,FALSE)</f>
        <v>Mladší žáci</v>
      </c>
    </row>
    <row r="371" spans="1:13" hidden="1" x14ac:dyDescent="0.2">
      <c r="A371" s="33" t="s">
        <v>410</v>
      </c>
      <c r="B371" s="34" t="s">
        <v>861</v>
      </c>
      <c r="C371" s="34" t="s">
        <v>64</v>
      </c>
      <c r="D371" s="34"/>
      <c r="E371" s="34" t="s">
        <v>95</v>
      </c>
      <c r="F371" s="34">
        <v>0</v>
      </c>
      <c r="G371" s="34">
        <v>4600</v>
      </c>
      <c r="H371" s="34">
        <f t="shared" si="10"/>
        <v>4600</v>
      </c>
      <c r="I371" s="34">
        <v>1051</v>
      </c>
      <c r="J371" s="34">
        <f t="shared" si="11"/>
        <v>1</v>
      </c>
      <c r="K371" s="34" t="s">
        <v>90</v>
      </c>
      <c r="L371" s="34" t="str">
        <f>I371 &amp; "-" &amp;VLOOKUP(I371,Střediska!$A$1:$B$40,2,FALSE)</f>
        <v>1051-Mladší žáci</v>
      </c>
      <c r="M371" s="35" t="str">
        <f>VLOOKUP(Zdroj!$I371,Střediska!$A$1:$B$41,2,FALSE)</f>
        <v>Mladší žáci</v>
      </c>
    </row>
    <row r="372" spans="1:13" hidden="1" x14ac:dyDescent="0.2">
      <c r="A372" s="36" t="s">
        <v>413</v>
      </c>
      <c r="B372" s="31" t="s">
        <v>862</v>
      </c>
      <c r="C372" s="31" t="s">
        <v>64</v>
      </c>
      <c r="D372" s="31"/>
      <c r="E372" s="31" t="s">
        <v>863</v>
      </c>
      <c r="F372" s="31">
        <v>0</v>
      </c>
      <c r="G372" s="31">
        <v>4600</v>
      </c>
      <c r="H372" s="31">
        <f t="shared" si="10"/>
        <v>4600</v>
      </c>
      <c r="I372" s="31">
        <v>1051</v>
      </c>
      <c r="J372" s="31">
        <f t="shared" si="11"/>
        <v>1</v>
      </c>
      <c r="K372" s="31" t="s">
        <v>90</v>
      </c>
      <c r="L372" s="31" t="str">
        <f>I372 &amp; "-" &amp;VLOOKUP(I372,Střediska!$A$1:$B$40,2,FALSE)</f>
        <v>1051-Mladší žáci</v>
      </c>
      <c r="M372" s="32" t="str">
        <f>VLOOKUP(Zdroj!$I372,Střediska!$A$1:$B$41,2,FALSE)</f>
        <v>Mladší žáci</v>
      </c>
    </row>
    <row r="373" spans="1:13" hidden="1" x14ac:dyDescent="0.2">
      <c r="A373" s="33" t="s">
        <v>413</v>
      </c>
      <c r="B373" s="34" t="s">
        <v>864</v>
      </c>
      <c r="C373" s="34" t="s">
        <v>64</v>
      </c>
      <c r="D373" s="34"/>
      <c r="E373" s="34" t="s">
        <v>865</v>
      </c>
      <c r="F373" s="34">
        <v>0</v>
      </c>
      <c r="G373" s="34">
        <v>4600</v>
      </c>
      <c r="H373" s="34">
        <f t="shared" si="10"/>
        <v>4600</v>
      </c>
      <c r="I373" s="34">
        <v>1051</v>
      </c>
      <c r="J373" s="34">
        <f t="shared" si="11"/>
        <v>1</v>
      </c>
      <c r="K373" s="34" t="s">
        <v>90</v>
      </c>
      <c r="L373" s="34" t="str">
        <f>I373 &amp; "-" &amp;VLOOKUP(I373,Střediska!$A$1:$B$40,2,FALSE)</f>
        <v>1051-Mladší žáci</v>
      </c>
      <c r="M373" s="35" t="str">
        <f>VLOOKUP(Zdroj!$I373,Střediska!$A$1:$B$41,2,FALSE)</f>
        <v>Mladší žáci</v>
      </c>
    </row>
    <row r="374" spans="1:13" hidden="1" x14ac:dyDescent="0.2">
      <c r="A374" s="36" t="s">
        <v>357</v>
      </c>
      <c r="B374" s="31" t="s">
        <v>866</v>
      </c>
      <c r="C374" s="31" t="s">
        <v>64</v>
      </c>
      <c r="D374" s="31"/>
      <c r="E374" s="31" t="s">
        <v>867</v>
      </c>
      <c r="F374" s="31">
        <v>0</v>
      </c>
      <c r="G374" s="31">
        <v>4600</v>
      </c>
      <c r="H374" s="31">
        <f t="shared" si="10"/>
        <v>4600</v>
      </c>
      <c r="I374" s="31">
        <v>1051</v>
      </c>
      <c r="J374" s="31">
        <f t="shared" si="11"/>
        <v>1</v>
      </c>
      <c r="K374" s="31" t="s">
        <v>90</v>
      </c>
      <c r="L374" s="31" t="str">
        <f>I374 &amp; "-" &amp;VLOOKUP(I374,Střediska!$A$1:$B$40,2,FALSE)</f>
        <v>1051-Mladší žáci</v>
      </c>
      <c r="M374" s="32" t="str">
        <f>VLOOKUP(Zdroj!$I374,Střediska!$A$1:$B$41,2,FALSE)</f>
        <v>Mladší žáci</v>
      </c>
    </row>
    <row r="375" spans="1:13" hidden="1" x14ac:dyDescent="0.2">
      <c r="A375" s="33" t="s">
        <v>869</v>
      </c>
      <c r="B375" s="34" t="s">
        <v>868</v>
      </c>
      <c r="C375" s="34" t="s">
        <v>64</v>
      </c>
      <c r="D375" s="34"/>
      <c r="E375" s="34" t="s">
        <v>870</v>
      </c>
      <c r="F375" s="34">
        <v>0</v>
      </c>
      <c r="G375" s="34">
        <v>2300</v>
      </c>
      <c r="H375" s="34">
        <f t="shared" si="10"/>
        <v>2300</v>
      </c>
      <c r="I375" s="34">
        <v>1051</v>
      </c>
      <c r="J375" s="34">
        <f t="shared" si="11"/>
        <v>1</v>
      </c>
      <c r="K375" s="34" t="s">
        <v>90</v>
      </c>
      <c r="L375" s="34" t="str">
        <f>I375 &amp; "-" &amp;VLOOKUP(I375,Střediska!$A$1:$B$40,2,FALSE)</f>
        <v>1051-Mladší žáci</v>
      </c>
      <c r="M375" s="35" t="str">
        <f>VLOOKUP(Zdroj!$I375,Střediska!$A$1:$B$41,2,FALSE)</f>
        <v>Mladší žáci</v>
      </c>
    </row>
    <row r="376" spans="1:13" hidden="1" x14ac:dyDescent="0.2">
      <c r="A376" s="36" t="s">
        <v>872</v>
      </c>
      <c r="B376" s="31" t="s">
        <v>871</v>
      </c>
      <c r="C376" s="31" t="s">
        <v>64</v>
      </c>
      <c r="D376" s="31"/>
      <c r="E376" s="31" t="s">
        <v>873</v>
      </c>
      <c r="F376" s="31">
        <v>0</v>
      </c>
      <c r="G376" s="31">
        <v>2300</v>
      </c>
      <c r="H376" s="31">
        <f t="shared" si="10"/>
        <v>2300</v>
      </c>
      <c r="I376" s="31">
        <v>1051</v>
      </c>
      <c r="J376" s="31">
        <f t="shared" si="11"/>
        <v>1</v>
      </c>
      <c r="K376" s="31" t="s">
        <v>90</v>
      </c>
      <c r="L376" s="31" t="str">
        <f>I376 &amp; "-" &amp;VLOOKUP(I376,Střediska!$A$1:$B$40,2,FALSE)</f>
        <v>1051-Mladší žáci</v>
      </c>
      <c r="M376" s="32" t="str">
        <f>VLOOKUP(Zdroj!$I376,Střediska!$A$1:$B$41,2,FALSE)</f>
        <v>Mladší žáci</v>
      </c>
    </row>
    <row r="377" spans="1:13" hidden="1" x14ac:dyDescent="0.2">
      <c r="A377" s="33" t="s">
        <v>875</v>
      </c>
      <c r="B377" s="34" t="s">
        <v>874</v>
      </c>
      <c r="C377" s="34" t="s">
        <v>64</v>
      </c>
      <c r="D377" s="34"/>
      <c r="E377" s="34" t="s">
        <v>876</v>
      </c>
      <c r="F377" s="34">
        <v>0</v>
      </c>
      <c r="G377" s="34">
        <v>2300</v>
      </c>
      <c r="H377" s="34">
        <f t="shared" si="10"/>
        <v>2300</v>
      </c>
      <c r="I377" s="34">
        <v>1051</v>
      </c>
      <c r="J377" s="34">
        <f t="shared" si="11"/>
        <v>1</v>
      </c>
      <c r="K377" s="34" t="s">
        <v>90</v>
      </c>
      <c r="L377" s="34" t="str">
        <f>I377 &amp; "-" &amp;VLOOKUP(I377,Střediska!$A$1:$B$40,2,FALSE)</f>
        <v>1051-Mladší žáci</v>
      </c>
      <c r="M377" s="35" t="str">
        <f>VLOOKUP(Zdroj!$I377,Střediska!$A$1:$B$41,2,FALSE)</f>
        <v>Mladší žáci</v>
      </c>
    </row>
    <row r="378" spans="1:13" hidden="1" x14ac:dyDescent="0.2">
      <c r="A378" s="36" t="s">
        <v>256</v>
      </c>
      <c r="B378" s="31" t="s">
        <v>877</v>
      </c>
      <c r="C378" s="31" t="s">
        <v>64</v>
      </c>
      <c r="D378" s="31"/>
      <c r="E378" s="31" t="s">
        <v>878</v>
      </c>
      <c r="F378" s="31">
        <v>0</v>
      </c>
      <c r="G378" s="31">
        <v>5300</v>
      </c>
      <c r="H378" s="31">
        <f t="shared" si="10"/>
        <v>5300</v>
      </c>
      <c r="I378" s="31">
        <v>1051</v>
      </c>
      <c r="J378" s="31">
        <f t="shared" si="11"/>
        <v>1</v>
      </c>
      <c r="K378" s="31" t="s">
        <v>90</v>
      </c>
      <c r="L378" s="31" t="str">
        <f>I378 &amp; "-" &amp;VLOOKUP(I378,Střediska!$A$1:$B$40,2,FALSE)</f>
        <v>1051-Mladší žáci</v>
      </c>
      <c r="M378" s="32" t="str">
        <f>VLOOKUP(Zdroj!$I378,Střediska!$A$1:$B$41,2,FALSE)</f>
        <v>Mladší žáci</v>
      </c>
    </row>
    <row r="379" spans="1:13" hidden="1" x14ac:dyDescent="0.2">
      <c r="A379" s="33" t="s">
        <v>256</v>
      </c>
      <c r="B379" s="34" t="s">
        <v>879</v>
      </c>
      <c r="C379" s="34" t="s">
        <v>64</v>
      </c>
      <c r="D379" s="34"/>
      <c r="E379" s="34" t="s">
        <v>880</v>
      </c>
      <c r="F379" s="34">
        <v>0</v>
      </c>
      <c r="G379" s="34">
        <v>5300</v>
      </c>
      <c r="H379" s="34">
        <f t="shared" si="10"/>
        <v>5300</v>
      </c>
      <c r="I379" s="34">
        <v>1051</v>
      </c>
      <c r="J379" s="34">
        <f t="shared" si="11"/>
        <v>1</v>
      </c>
      <c r="K379" s="34" t="s">
        <v>90</v>
      </c>
      <c r="L379" s="34" t="str">
        <f>I379 &amp; "-" &amp;VLOOKUP(I379,Střediska!$A$1:$B$40,2,FALSE)</f>
        <v>1051-Mladší žáci</v>
      </c>
      <c r="M379" s="35" t="str">
        <f>VLOOKUP(Zdroj!$I379,Střediska!$A$1:$B$41,2,FALSE)</f>
        <v>Mladší žáci</v>
      </c>
    </row>
    <row r="380" spans="1:13" hidden="1" x14ac:dyDescent="0.2">
      <c r="A380" s="36" t="s">
        <v>256</v>
      </c>
      <c r="B380" s="31" t="s">
        <v>881</v>
      </c>
      <c r="C380" s="31" t="s">
        <v>64</v>
      </c>
      <c r="D380" s="31"/>
      <c r="E380" s="31" t="s">
        <v>882</v>
      </c>
      <c r="F380" s="31">
        <v>0</v>
      </c>
      <c r="G380" s="31">
        <v>5300</v>
      </c>
      <c r="H380" s="31">
        <f t="shared" si="10"/>
        <v>5300</v>
      </c>
      <c r="I380" s="31">
        <v>1051</v>
      </c>
      <c r="J380" s="31">
        <f t="shared" si="11"/>
        <v>1</v>
      </c>
      <c r="K380" s="31" t="s">
        <v>90</v>
      </c>
      <c r="L380" s="31" t="str">
        <f>I380 &amp; "-" &amp;VLOOKUP(I380,Střediska!$A$1:$B$40,2,FALSE)</f>
        <v>1051-Mladší žáci</v>
      </c>
      <c r="M380" s="32" t="str">
        <f>VLOOKUP(Zdroj!$I380,Střediska!$A$1:$B$41,2,FALSE)</f>
        <v>Mladší žáci</v>
      </c>
    </row>
    <row r="381" spans="1:13" hidden="1" x14ac:dyDescent="0.2">
      <c r="A381" s="33" t="s">
        <v>256</v>
      </c>
      <c r="B381" s="34" t="s">
        <v>883</v>
      </c>
      <c r="C381" s="34" t="s">
        <v>64</v>
      </c>
      <c r="D381" s="34"/>
      <c r="E381" s="34" t="s">
        <v>807</v>
      </c>
      <c r="F381" s="34">
        <v>0</v>
      </c>
      <c r="G381" s="34">
        <v>5300</v>
      </c>
      <c r="H381" s="34">
        <f t="shared" si="10"/>
        <v>5300</v>
      </c>
      <c r="I381" s="34">
        <v>1051</v>
      </c>
      <c r="J381" s="34">
        <f t="shared" si="11"/>
        <v>1</v>
      </c>
      <c r="K381" s="34" t="s">
        <v>90</v>
      </c>
      <c r="L381" s="34" t="str">
        <f>I381 &amp; "-" &amp;VLOOKUP(I381,Střediska!$A$1:$B$40,2,FALSE)</f>
        <v>1051-Mladší žáci</v>
      </c>
      <c r="M381" s="35" t="str">
        <f>VLOOKUP(Zdroj!$I381,Střediska!$A$1:$B$41,2,FALSE)</f>
        <v>Mladší žáci</v>
      </c>
    </row>
    <row r="382" spans="1:13" hidden="1" x14ac:dyDescent="0.2">
      <c r="A382" s="36" t="s">
        <v>531</v>
      </c>
      <c r="B382" s="31" t="s">
        <v>884</v>
      </c>
      <c r="C382" s="31" t="s">
        <v>64</v>
      </c>
      <c r="D382" s="31"/>
      <c r="E382" s="31" t="s">
        <v>885</v>
      </c>
      <c r="F382" s="31">
        <v>0</v>
      </c>
      <c r="G382" s="31">
        <v>5300</v>
      </c>
      <c r="H382" s="31">
        <f t="shared" si="10"/>
        <v>5300</v>
      </c>
      <c r="I382" s="31">
        <v>1051</v>
      </c>
      <c r="J382" s="31">
        <f t="shared" si="11"/>
        <v>1</v>
      </c>
      <c r="K382" s="31" t="s">
        <v>90</v>
      </c>
      <c r="L382" s="31" t="str">
        <f>I382 &amp; "-" &amp;VLOOKUP(I382,Střediska!$A$1:$B$40,2,FALSE)</f>
        <v>1051-Mladší žáci</v>
      </c>
      <c r="M382" s="32" t="str">
        <f>VLOOKUP(Zdroj!$I382,Střediska!$A$1:$B$41,2,FALSE)</f>
        <v>Mladší žáci</v>
      </c>
    </row>
    <row r="383" spans="1:13" hidden="1" x14ac:dyDescent="0.2">
      <c r="A383" s="33" t="s">
        <v>531</v>
      </c>
      <c r="B383" s="34" t="s">
        <v>886</v>
      </c>
      <c r="C383" s="34" t="s">
        <v>64</v>
      </c>
      <c r="D383" s="34"/>
      <c r="E383" s="34" t="s">
        <v>887</v>
      </c>
      <c r="F383" s="34">
        <v>0</v>
      </c>
      <c r="G383" s="34">
        <v>5300</v>
      </c>
      <c r="H383" s="34">
        <f t="shared" si="10"/>
        <v>5300</v>
      </c>
      <c r="I383" s="34">
        <v>1051</v>
      </c>
      <c r="J383" s="34">
        <f t="shared" si="11"/>
        <v>1</v>
      </c>
      <c r="K383" s="34" t="s">
        <v>90</v>
      </c>
      <c r="L383" s="34" t="str">
        <f>I383 &amp; "-" &amp;VLOOKUP(I383,Střediska!$A$1:$B$40,2,FALSE)</f>
        <v>1051-Mladší žáci</v>
      </c>
      <c r="M383" s="35" t="str">
        <f>VLOOKUP(Zdroj!$I383,Střediska!$A$1:$B$41,2,FALSE)</f>
        <v>Mladší žáci</v>
      </c>
    </row>
    <row r="384" spans="1:13" hidden="1" x14ac:dyDescent="0.2">
      <c r="A384" s="36" t="s">
        <v>531</v>
      </c>
      <c r="B384" s="31" t="s">
        <v>888</v>
      </c>
      <c r="C384" s="31" t="s">
        <v>64</v>
      </c>
      <c r="D384" s="31"/>
      <c r="E384" s="31" t="s">
        <v>889</v>
      </c>
      <c r="F384" s="31">
        <v>0</v>
      </c>
      <c r="G384" s="31">
        <v>5300</v>
      </c>
      <c r="H384" s="31">
        <f t="shared" si="10"/>
        <v>5300</v>
      </c>
      <c r="I384" s="31">
        <v>1051</v>
      </c>
      <c r="J384" s="31">
        <f t="shared" si="11"/>
        <v>1</v>
      </c>
      <c r="K384" s="31" t="s">
        <v>90</v>
      </c>
      <c r="L384" s="31" t="str">
        <f>I384 &amp; "-" &amp;VLOOKUP(I384,Střediska!$A$1:$B$40,2,FALSE)</f>
        <v>1051-Mladší žáci</v>
      </c>
      <c r="M384" s="32" t="str">
        <f>VLOOKUP(Zdroj!$I384,Střediska!$A$1:$B$41,2,FALSE)</f>
        <v>Mladší žáci</v>
      </c>
    </row>
    <row r="385" spans="1:13" hidden="1" x14ac:dyDescent="0.2">
      <c r="A385" s="33" t="s">
        <v>536</v>
      </c>
      <c r="B385" s="34" t="s">
        <v>890</v>
      </c>
      <c r="C385" s="34" t="s">
        <v>64</v>
      </c>
      <c r="D385" s="34"/>
      <c r="E385" s="34" t="s">
        <v>891</v>
      </c>
      <c r="F385" s="34">
        <v>0</v>
      </c>
      <c r="G385" s="34">
        <v>5300</v>
      </c>
      <c r="H385" s="34">
        <f t="shared" si="10"/>
        <v>5300</v>
      </c>
      <c r="I385" s="34">
        <v>1051</v>
      </c>
      <c r="J385" s="34">
        <f t="shared" si="11"/>
        <v>1</v>
      </c>
      <c r="K385" s="34" t="s">
        <v>90</v>
      </c>
      <c r="L385" s="34" t="str">
        <f>I385 &amp; "-" &amp;VLOOKUP(I385,Střediska!$A$1:$B$40,2,FALSE)</f>
        <v>1051-Mladší žáci</v>
      </c>
      <c r="M385" s="35" t="str">
        <f>VLOOKUP(Zdroj!$I385,Střediska!$A$1:$B$41,2,FALSE)</f>
        <v>Mladší žáci</v>
      </c>
    </row>
    <row r="386" spans="1:13" hidden="1" x14ac:dyDescent="0.2">
      <c r="A386" s="36" t="s">
        <v>536</v>
      </c>
      <c r="B386" s="31" t="s">
        <v>892</v>
      </c>
      <c r="C386" s="31" t="s">
        <v>64</v>
      </c>
      <c r="D386" s="31"/>
      <c r="E386" s="31" t="s">
        <v>893</v>
      </c>
      <c r="F386" s="31">
        <v>0</v>
      </c>
      <c r="G386" s="31">
        <v>5300</v>
      </c>
      <c r="H386" s="31">
        <f t="shared" ref="H386:H449" si="12">-F386+G386</f>
        <v>5300</v>
      </c>
      <c r="I386" s="31">
        <v>1051</v>
      </c>
      <c r="J386" s="31">
        <f t="shared" ref="J386:J449" si="13">VALUE(LEFT(I386,1))</f>
        <v>1</v>
      </c>
      <c r="K386" s="31" t="s">
        <v>90</v>
      </c>
      <c r="L386" s="31" t="str">
        <f>I386 &amp; "-" &amp;VLOOKUP(I386,Střediska!$A$1:$B$40,2,FALSE)</f>
        <v>1051-Mladší žáci</v>
      </c>
      <c r="M386" s="32" t="str">
        <f>VLOOKUP(Zdroj!$I386,Střediska!$A$1:$B$41,2,FALSE)</f>
        <v>Mladší žáci</v>
      </c>
    </row>
    <row r="387" spans="1:13" hidden="1" x14ac:dyDescent="0.2">
      <c r="A387" s="33" t="s">
        <v>536</v>
      </c>
      <c r="B387" s="34" t="s">
        <v>894</v>
      </c>
      <c r="C387" s="34" t="s">
        <v>64</v>
      </c>
      <c r="D387" s="34"/>
      <c r="E387" s="34" t="s">
        <v>895</v>
      </c>
      <c r="F387" s="34">
        <v>0</v>
      </c>
      <c r="G387" s="34">
        <v>5300</v>
      </c>
      <c r="H387" s="34">
        <f t="shared" si="12"/>
        <v>5300</v>
      </c>
      <c r="I387" s="34">
        <v>1051</v>
      </c>
      <c r="J387" s="34">
        <f t="shared" si="13"/>
        <v>1</v>
      </c>
      <c r="K387" s="34" t="s">
        <v>90</v>
      </c>
      <c r="L387" s="34" t="str">
        <f>I387 &amp; "-" &amp;VLOOKUP(I387,Střediska!$A$1:$B$40,2,FALSE)</f>
        <v>1051-Mladší žáci</v>
      </c>
      <c r="M387" s="35" t="str">
        <f>VLOOKUP(Zdroj!$I387,Střediska!$A$1:$B$41,2,FALSE)</f>
        <v>Mladší žáci</v>
      </c>
    </row>
    <row r="388" spans="1:13" hidden="1" x14ac:dyDescent="0.2">
      <c r="A388" s="36" t="s">
        <v>536</v>
      </c>
      <c r="B388" s="31" t="s">
        <v>896</v>
      </c>
      <c r="C388" s="31" t="s">
        <v>64</v>
      </c>
      <c r="D388" s="31"/>
      <c r="E388" s="31" t="s">
        <v>897</v>
      </c>
      <c r="F388" s="31">
        <v>0</v>
      </c>
      <c r="G388" s="31">
        <v>5300</v>
      </c>
      <c r="H388" s="31">
        <f t="shared" si="12"/>
        <v>5300</v>
      </c>
      <c r="I388" s="31">
        <v>1051</v>
      </c>
      <c r="J388" s="31">
        <f t="shared" si="13"/>
        <v>1</v>
      </c>
      <c r="K388" s="31" t="s">
        <v>90</v>
      </c>
      <c r="L388" s="31" t="str">
        <f>I388 &amp; "-" &amp;VLOOKUP(I388,Střediska!$A$1:$B$40,2,FALSE)</f>
        <v>1051-Mladší žáci</v>
      </c>
      <c r="M388" s="32" t="str">
        <f>VLOOKUP(Zdroj!$I388,Střediska!$A$1:$B$41,2,FALSE)</f>
        <v>Mladší žáci</v>
      </c>
    </row>
    <row r="389" spans="1:13" hidden="1" x14ac:dyDescent="0.2">
      <c r="A389" s="33" t="s">
        <v>536</v>
      </c>
      <c r="B389" s="34" t="s">
        <v>898</v>
      </c>
      <c r="C389" s="34" t="s">
        <v>64</v>
      </c>
      <c r="D389" s="34"/>
      <c r="E389" s="34" t="s">
        <v>95</v>
      </c>
      <c r="F389" s="34">
        <v>0</v>
      </c>
      <c r="G389" s="34">
        <v>5300</v>
      </c>
      <c r="H389" s="34">
        <f t="shared" si="12"/>
        <v>5300</v>
      </c>
      <c r="I389" s="34">
        <v>1051</v>
      </c>
      <c r="J389" s="34">
        <f t="shared" si="13"/>
        <v>1</v>
      </c>
      <c r="K389" s="34" t="s">
        <v>90</v>
      </c>
      <c r="L389" s="34" t="str">
        <f>I389 &amp; "-" &amp;VLOOKUP(I389,Střediska!$A$1:$B$40,2,FALSE)</f>
        <v>1051-Mladší žáci</v>
      </c>
      <c r="M389" s="35" t="str">
        <f>VLOOKUP(Zdroj!$I389,Střediska!$A$1:$B$41,2,FALSE)</f>
        <v>Mladší žáci</v>
      </c>
    </row>
    <row r="390" spans="1:13" hidden="1" x14ac:dyDescent="0.2">
      <c r="A390" s="36" t="s">
        <v>541</v>
      </c>
      <c r="B390" s="31" t="s">
        <v>899</v>
      </c>
      <c r="C390" s="31" t="s">
        <v>64</v>
      </c>
      <c r="D390" s="31"/>
      <c r="E390" s="31" t="s">
        <v>900</v>
      </c>
      <c r="F390" s="31">
        <v>0</v>
      </c>
      <c r="G390" s="31">
        <v>5300</v>
      </c>
      <c r="H390" s="31">
        <f t="shared" si="12"/>
        <v>5300</v>
      </c>
      <c r="I390" s="31">
        <v>1051</v>
      </c>
      <c r="J390" s="31">
        <f t="shared" si="13"/>
        <v>1</v>
      </c>
      <c r="K390" s="31" t="s">
        <v>90</v>
      </c>
      <c r="L390" s="31" t="str">
        <f>I390 &amp; "-" &amp;VLOOKUP(I390,Střediska!$A$1:$B$40,2,FALSE)</f>
        <v>1051-Mladší žáci</v>
      </c>
      <c r="M390" s="32" t="str">
        <f>VLOOKUP(Zdroj!$I390,Střediska!$A$1:$B$41,2,FALSE)</f>
        <v>Mladší žáci</v>
      </c>
    </row>
    <row r="391" spans="1:13" hidden="1" x14ac:dyDescent="0.2">
      <c r="A391" s="33" t="s">
        <v>220</v>
      </c>
      <c r="B391" s="34" t="s">
        <v>901</v>
      </c>
      <c r="C391" s="34" t="s">
        <v>64</v>
      </c>
      <c r="D391" s="34"/>
      <c r="E391" s="34" t="s">
        <v>902</v>
      </c>
      <c r="F391" s="34">
        <v>0</v>
      </c>
      <c r="G391" s="34">
        <v>5300</v>
      </c>
      <c r="H391" s="34">
        <f t="shared" si="12"/>
        <v>5300</v>
      </c>
      <c r="I391" s="34">
        <v>1051</v>
      </c>
      <c r="J391" s="34">
        <f t="shared" si="13"/>
        <v>1</v>
      </c>
      <c r="K391" s="34" t="s">
        <v>90</v>
      </c>
      <c r="L391" s="34" t="str">
        <f>I391 &amp; "-" &amp;VLOOKUP(I391,Střediska!$A$1:$B$40,2,FALSE)</f>
        <v>1051-Mladší žáci</v>
      </c>
      <c r="M391" s="35" t="str">
        <f>VLOOKUP(Zdroj!$I391,Střediska!$A$1:$B$41,2,FALSE)</f>
        <v>Mladší žáci</v>
      </c>
    </row>
    <row r="392" spans="1:13" hidden="1" x14ac:dyDescent="0.2">
      <c r="A392" s="36" t="s">
        <v>544</v>
      </c>
      <c r="B392" s="31" t="s">
        <v>903</v>
      </c>
      <c r="C392" s="31" t="s">
        <v>64</v>
      </c>
      <c r="D392" s="31"/>
      <c r="E392" s="31" t="s">
        <v>95</v>
      </c>
      <c r="F392" s="31">
        <v>0</v>
      </c>
      <c r="G392" s="31">
        <v>2650</v>
      </c>
      <c r="H392" s="31">
        <f t="shared" si="12"/>
        <v>2650</v>
      </c>
      <c r="I392" s="31">
        <v>1051</v>
      </c>
      <c r="J392" s="31">
        <f t="shared" si="13"/>
        <v>1</v>
      </c>
      <c r="K392" s="31" t="s">
        <v>90</v>
      </c>
      <c r="L392" s="31" t="str">
        <f>I392 &amp; "-" &amp;VLOOKUP(I392,Střediska!$A$1:$B$40,2,FALSE)</f>
        <v>1051-Mladší žáci</v>
      </c>
      <c r="M392" s="32" t="str">
        <f>VLOOKUP(Zdroj!$I392,Střediska!$A$1:$B$41,2,FALSE)</f>
        <v>Mladší žáci</v>
      </c>
    </row>
    <row r="393" spans="1:13" hidden="1" x14ac:dyDescent="0.2">
      <c r="A393" s="33" t="s">
        <v>544</v>
      </c>
      <c r="B393" s="34" t="s">
        <v>904</v>
      </c>
      <c r="C393" s="34" t="s">
        <v>64</v>
      </c>
      <c r="D393" s="34"/>
      <c r="E393" s="34" t="s">
        <v>820</v>
      </c>
      <c r="F393" s="34">
        <v>0</v>
      </c>
      <c r="G393" s="34">
        <v>2650</v>
      </c>
      <c r="H393" s="34">
        <f t="shared" si="12"/>
        <v>2650</v>
      </c>
      <c r="I393" s="34">
        <v>1051</v>
      </c>
      <c r="J393" s="34">
        <f t="shared" si="13"/>
        <v>1</v>
      </c>
      <c r="K393" s="34" t="s">
        <v>90</v>
      </c>
      <c r="L393" s="34" t="str">
        <f>I393 &amp; "-" &amp;VLOOKUP(I393,Střediska!$A$1:$B$40,2,FALSE)</f>
        <v>1051-Mladší žáci</v>
      </c>
      <c r="M393" s="35" t="str">
        <f>VLOOKUP(Zdroj!$I393,Střediska!$A$1:$B$41,2,FALSE)</f>
        <v>Mladší žáci</v>
      </c>
    </row>
    <row r="394" spans="1:13" hidden="1" x14ac:dyDescent="0.2">
      <c r="A394" s="36" t="s">
        <v>544</v>
      </c>
      <c r="B394" s="31" t="s">
        <v>905</v>
      </c>
      <c r="C394" s="31" t="s">
        <v>64</v>
      </c>
      <c r="D394" s="31"/>
      <c r="E394" s="31" t="s">
        <v>906</v>
      </c>
      <c r="F394" s="31">
        <v>0</v>
      </c>
      <c r="G394" s="31">
        <v>5300</v>
      </c>
      <c r="H394" s="31">
        <f t="shared" si="12"/>
        <v>5300</v>
      </c>
      <c r="I394" s="31">
        <v>1051</v>
      </c>
      <c r="J394" s="31">
        <f t="shared" si="13"/>
        <v>1</v>
      </c>
      <c r="K394" s="31" t="s">
        <v>90</v>
      </c>
      <c r="L394" s="31" t="str">
        <f>I394 &amp; "-" &amp;VLOOKUP(I394,Střediska!$A$1:$B$40,2,FALSE)</f>
        <v>1051-Mladší žáci</v>
      </c>
      <c r="M394" s="32" t="str">
        <f>VLOOKUP(Zdroj!$I394,Střediska!$A$1:$B$41,2,FALSE)</f>
        <v>Mladší žáci</v>
      </c>
    </row>
    <row r="395" spans="1:13" hidden="1" x14ac:dyDescent="0.2">
      <c r="A395" s="33" t="s">
        <v>544</v>
      </c>
      <c r="B395" s="34" t="s">
        <v>907</v>
      </c>
      <c r="C395" s="34" t="s">
        <v>64</v>
      </c>
      <c r="D395" s="34"/>
      <c r="E395" s="34" t="s">
        <v>908</v>
      </c>
      <c r="F395" s="34">
        <v>0</v>
      </c>
      <c r="G395" s="34">
        <v>2650</v>
      </c>
      <c r="H395" s="34">
        <f t="shared" si="12"/>
        <v>2650</v>
      </c>
      <c r="I395" s="34">
        <v>1051</v>
      </c>
      <c r="J395" s="34">
        <f t="shared" si="13"/>
        <v>1</v>
      </c>
      <c r="K395" s="34" t="s">
        <v>90</v>
      </c>
      <c r="L395" s="34" t="str">
        <f>I395 &amp; "-" &amp;VLOOKUP(I395,Střediska!$A$1:$B$40,2,FALSE)</f>
        <v>1051-Mladší žáci</v>
      </c>
      <c r="M395" s="35" t="str">
        <f>VLOOKUP(Zdroj!$I395,Střediska!$A$1:$B$41,2,FALSE)</f>
        <v>Mladší žáci</v>
      </c>
    </row>
    <row r="396" spans="1:13" hidden="1" x14ac:dyDescent="0.2">
      <c r="A396" s="36" t="s">
        <v>544</v>
      </c>
      <c r="B396" s="31" t="s">
        <v>909</v>
      </c>
      <c r="C396" s="31" t="s">
        <v>64</v>
      </c>
      <c r="D396" s="31"/>
      <c r="E396" s="31" t="s">
        <v>910</v>
      </c>
      <c r="F396" s="31">
        <v>0</v>
      </c>
      <c r="G396" s="31">
        <v>5300</v>
      </c>
      <c r="H396" s="31">
        <f t="shared" si="12"/>
        <v>5300</v>
      </c>
      <c r="I396" s="31">
        <v>1051</v>
      </c>
      <c r="J396" s="31">
        <f t="shared" si="13"/>
        <v>1</v>
      </c>
      <c r="K396" s="31" t="s">
        <v>90</v>
      </c>
      <c r="L396" s="31" t="str">
        <f>I396 &amp; "-" &amp;VLOOKUP(I396,Střediska!$A$1:$B$40,2,FALSE)</f>
        <v>1051-Mladší žáci</v>
      </c>
      <c r="M396" s="32" t="str">
        <f>VLOOKUP(Zdroj!$I396,Střediska!$A$1:$B$41,2,FALSE)</f>
        <v>Mladší žáci</v>
      </c>
    </row>
    <row r="397" spans="1:13" hidden="1" x14ac:dyDescent="0.2">
      <c r="A397" s="33" t="s">
        <v>433</v>
      </c>
      <c r="B397" s="34" t="s">
        <v>911</v>
      </c>
      <c r="C397" s="34" t="s">
        <v>64</v>
      </c>
      <c r="D397" s="34"/>
      <c r="E397" s="34" t="s">
        <v>912</v>
      </c>
      <c r="F397" s="34">
        <v>0</v>
      </c>
      <c r="G397" s="34">
        <v>5300</v>
      </c>
      <c r="H397" s="34">
        <f t="shared" si="12"/>
        <v>5300</v>
      </c>
      <c r="I397" s="34">
        <v>1051</v>
      </c>
      <c r="J397" s="34">
        <f t="shared" si="13"/>
        <v>1</v>
      </c>
      <c r="K397" s="34" t="s">
        <v>90</v>
      </c>
      <c r="L397" s="34" t="str">
        <f>I397 &amp; "-" &amp;VLOOKUP(I397,Střediska!$A$1:$B$40,2,FALSE)</f>
        <v>1051-Mladší žáci</v>
      </c>
      <c r="M397" s="35" t="str">
        <f>VLOOKUP(Zdroj!$I397,Střediska!$A$1:$B$41,2,FALSE)</f>
        <v>Mladší žáci</v>
      </c>
    </row>
    <row r="398" spans="1:13" hidden="1" x14ac:dyDescent="0.2">
      <c r="A398" s="36" t="s">
        <v>261</v>
      </c>
      <c r="B398" s="31" t="s">
        <v>913</v>
      </c>
      <c r="C398" s="31" t="s">
        <v>64</v>
      </c>
      <c r="D398" s="31"/>
      <c r="E398" s="31" t="s">
        <v>914</v>
      </c>
      <c r="F398" s="31">
        <v>0</v>
      </c>
      <c r="G398" s="31">
        <v>5300</v>
      </c>
      <c r="H398" s="31">
        <f t="shared" si="12"/>
        <v>5300</v>
      </c>
      <c r="I398" s="31">
        <v>1051</v>
      </c>
      <c r="J398" s="31">
        <f t="shared" si="13"/>
        <v>1</v>
      </c>
      <c r="K398" s="31" t="s">
        <v>90</v>
      </c>
      <c r="L398" s="31" t="str">
        <f>I398 &amp; "-" &amp;VLOOKUP(I398,Střediska!$A$1:$B$40,2,FALSE)</f>
        <v>1051-Mladší žáci</v>
      </c>
      <c r="M398" s="32" t="str">
        <f>VLOOKUP(Zdroj!$I398,Střediska!$A$1:$B$41,2,FALSE)</f>
        <v>Mladší žáci</v>
      </c>
    </row>
    <row r="399" spans="1:13" hidden="1" x14ac:dyDescent="0.2">
      <c r="A399" s="33" t="s">
        <v>261</v>
      </c>
      <c r="B399" s="34" t="s">
        <v>915</v>
      </c>
      <c r="C399" s="34" t="s">
        <v>64</v>
      </c>
      <c r="D399" s="34"/>
      <c r="E399" s="34" t="s">
        <v>916</v>
      </c>
      <c r="F399" s="34">
        <v>0</v>
      </c>
      <c r="G399" s="34">
        <v>5300</v>
      </c>
      <c r="H399" s="34">
        <f t="shared" si="12"/>
        <v>5300</v>
      </c>
      <c r="I399" s="34">
        <v>1051</v>
      </c>
      <c r="J399" s="34">
        <f t="shared" si="13"/>
        <v>1</v>
      </c>
      <c r="K399" s="34" t="s">
        <v>90</v>
      </c>
      <c r="L399" s="34" t="str">
        <f>I399 &amp; "-" &amp;VLOOKUP(I399,Střediska!$A$1:$B$40,2,FALSE)</f>
        <v>1051-Mladší žáci</v>
      </c>
      <c r="M399" s="35" t="str">
        <f>VLOOKUP(Zdroj!$I399,Střediska!$A$1:$B$41,2,FALSE)</f>
        <v>Mladší žáci</v>
      </c>
    </row>
    <row r="400" spans="1:13" hidden="1" x14ac:dyDescent="0.2">
      <c r="A400" s="36" t="s">
        <v>261</v>
      </c>
      <c r="B400" s="31" t="s">
        <v>917</v>
      </c>
      <c r="C400" s="31" t="s">
        <v>64</v>
      </c>
      <c r="D400" s="31"/>
      <c r="E400" s="31" t="s">
        <v>918</v>
      </c>
      <c r="F400" s="31">
        <v>0</v>
      </c>
      <c r="G400" s="31">
        <v>5300</v>
      </c>
      <c r="H400" s="31">
        <f t="shared" si="12"/>
        <v>5300</v>
      </c>
      <c r="I400" s="31">
        <v>1051</v>
      </c>
      <c r="J400" s="31">
        <f t="shared" si="13"/>
        <v>1</v>
      </c>
      <c r="K400" s="31" t="s">
        <v>90</v>
      </c>
      <c r="L400" s="31" t="str">
        <f>I400 &amp; "-" &amp;VLOOKUP(I400,Střediska!$A$1:$B$40,2,FALSE)</f>
        <v>1051-Mladší žáci</v>
      </c>
      <c r="M400" s="32" t="str">
        <f>VLOOKUP(Zdroj!$I400,Střediska!$A$1:$B$41,2,FALSE)</f>
        <v>Mladší žáci</v>
      </c>
    </row>
    <row r="401" spans="1:13" hidden="1" x14ac:dyDescent="0.2">
      <c r="A401" s="33" t="s">
        <v>705</v>
      </c>
      <c r="B401" s="34" t="s">
        <v>919</v>
      </c>
      <c r="C401" s="34" t="s">
        <v>64</v>
      </c>
      <c r="D401" s="34"/>
      <c r="E401" s="34" t="s">
        <v>920</v>
      </c>
      <c r="F401" s="34">
        <v>0</v>
      </c>
      <c r="G401" s="34">
        <v>5300</v>
      </c>
      <c r="H401" s="34">
        <f t="shared" si="12"/>
        <v>5300</v>
      </c>
      <c r="I401" s="34">
        <v>1051</v>
      </c>
      <c r="J401" s="34">
        <f t="shared" si="13"/>
        <v>1</v>
      </c>
      <c r="K401" s="34" t="s">
        <v>90</v>
      </c>
      <c r="L401" s="34" t="str">
        <f>I401 &amp; "-" &amp;VLOOKUP(I401,Střediska!$A$1:$B$40,2,FALSE)</f>
        <v>1051-Mladší žáci</v>
      </c>
      <c r="M401" s="35" t="str">
        <f>VLOOKUP(Zdroj!$I401,Střediska!$A$1:$B$41,2,FALSE)</f>
        <v>Mladší žáci</v>
      </c>
    </row>
    <row r="402" spans="1:13" hidden="1" x14ac:dyDescent="0.2">
      <c r="A402" s="36" t="s">
        <v>709</v>
      </c>
      <c r="B402" s="31" t="s">
        <v>921</v>
      </c>
      <c r="C402" s="31" t="s">
        <v>64</v>
      </c>
      <c r="D402" s="31"/>
      <c r="E402" s="31" t="s">
        <v>922</v>
      </c>
      <c r="F402" s="31">
        <v>0</v>
      </c>
      <c r="G402" s="31">
        <v>5300</v>
      </c>
      <c r="H402" s="31">
        <f t="shared" si="12"/>
        <v>5300</v>
      </c>
      <c r="I402" s="31">
        <v>1051</v>
      </c>
      <c r="J402" s="31">
        <f t="shared" si="13"/>
        <v>1</v>
      </c>
      <c r="K402" s="31" t="s">
        <v>90</v>
      </c>
      <c r="L402" s="31" t="str">
        <f>I402 &amp; "-" &amp;VLOOKUP(I402,Střediska!$A$1:$B$40,2,FALSE)</f>
        <v>1051-Mladší žáci</v>
      </c>
      <c r="M402" s="32" t="str">
        <f>VLOOKUP(Zdroj!$I402,Střediska!$A$1:$B$41,2,FALSE)</f>
        <v>Mladší žáci</v>
      </c>
    </row>
    <row r="403" spans="1:13" hidden="1" x14ac:dyDescent="0.2">
      <c r="A403" s="33" t="s">
        <v>709</v>
      </c>
      <c r="B403" s="34" t="s">
        <v>923</v>
      </c>
      <c r="C403" s="34" t="s">
        <v>64</v>
      </c>
      <c r="D403" s="34"/>
      <c r="E403" s="34" t="s">
        <v>924</v>
      </c>
      <c r="F403" s="34">
        <v>0</v>
      </c>
      <c r="G403" s="34">
        <v>5300</v>
      </c>
      <c r="H403" s="34">
        <f t="shared" si="12"/>
        <v>5300</v>
      </c>
      <c r="I403" s="34">
        <v>1051</v>
      </c>
      <c r="J403" s="34">
        <f t="shared" si="13"/>
        <v>1</v>
      </c>
      <c r="K403" s="34" t="s">
        <v>90</v>
      </c>
      <c r="L403" s="34" t="str">
        <f>I403 &amp; "-" &amp;VLOOKUP(I403,Střediska!$A$1:$B$40,2,FALSE)</f>
        <v>1051-Mladší žáci</v>
      </c>
      <c r="M403" s="35" t="str">
        <f>VLOOKUP(Zdroj!$I403,Střediska!$A$1:$B$41,2,FALSE)</f>
        <v>Mladší žáci</v>
      </c>
    </row>
    <row r="404" spans="1:13" hidden="1" x14ac:dyDescent="0.2">
      <c r="A404" s="36" t="s">
        <v>264</v>
      </c>
      <c r="B404" s="31" t="s">
        <v>925</v>
      </c>
      <c r="C404" s="31" t="s">
        <v>64</v>
      </c>
      <c r="D404" s="31"/>
      <c r="E404" s="31" t="s">
        <v>95</v>
      </c>
      <c r="F404" s="31">
        <v>0</v>
      </c>
      <c r="G404" s="31">
        <v>5300</v>
      </c>
      <c r="H404" s="31">
        <f t="shared" si="12"/>
        <v>5300</v>
      </c>
      <c r="I404" s="31">
        <v>1051</v>
      </c>
      <c r="J404" s="31">
        <f t="shared" si="13"/>
        <v>1</v>
      </c>
      <c r="K404" s="31" t="s">
        <v>90</v>
      </c>
      <c r="L404" s="31" t="str">
        <f>I404 &amp; "-" &amp;VLOOKUP(I404,Střediska!$A$1:$B$40,2,FALSE)</f>
        <v>1051-Mladší žáci</v>
      </c>
      <c r="M404" s="32" t="str">
        <f>VLOOKUP(Zdroj!$I404,Střediska!$A$1:$B$41,2,FALSE)</f>
        <v>Mladší žáci</v>
      </c>
    </row>
    <row r="405" spans="1:13" hidden="1" x14ac:dyDescent="0.2">
      <c r="A405" s="33" t="s">
        <v>264</v>
      </c>
      <c r="B405" s="34" t="s">
        <v>926</v>
      </c>
      <c r="C405" s="34" t="s">
        <v>64</v>
      </c>
      <c r="D405" s="34"/>
      <c r="E405" s="34" t="s">
        <v>927</v>
      </c>
      <c r="F405" s="34">
        <v>0</v>
      </c>
      <c r="G405" s="34">
        <v>5300</v>
      </c>
      <c r="H405" s="34">
        <f t="shared" si="12"/>
        <v>5300</v>
      </c>
      <c r="I405" s="34">
        <v>1051</v>
      </c>
      <c r="J405" s="34">
        <f t="shared" si="13"/>
        <v>1</v>
      </c>
      <c r="K405" s="34" t="s">
        <v>90</v>
      </c>
      <c r="L405" s="34" t="str">
        <f>I405 &amp; "-" &amp;VLOOKUP(I405,Střediska!$A$1:$B$40,2,FALSE)</f>
        <v>1051-Mladší žáci</v>
      </c>
      <c r="M405" s="35" t="str">
        <f>VLOOKUP(Zdroj!$I405,Střediska!$A$1:$B$41,2,FALSE)</f>
        <v>Mladší žáci</v>
      </c>
    </row>
    <row r="406" spans="1:13" hidden="1" x14ac:dyDescent="0.2">
      <c r="A406" s="36" t="s">
        <v>264</v>
      </c>
      <c r="B406" s="31" t="s">
        <v>928</v>
      </c>
      <c r="C406" s="31" t="s">
        <v>64</v>
      </c>
      <c r="D406" s="31"/>
      <c r="E406" s="31" t="s">
        <v>929</v>
      </c>
      <c r="F406" s="31">
        <v>0</v>
      </c>
      <c r="G406" s="31">
        <v>5300</v>
      </c>
      <c r="H406" s="31">
        <f t="shared" si="12"/>
        <v>5300</v>
      </c>
      <c r="I406" s="31">
        <v>1051</v>
      </c>
      <c r="J406" s="31">
        <f t="shared" si="13"/>
        <v>1</v>
      </c>
      <c r="K406" s="31" t="s">
        <v>90</v>
      </c>
      <c r="L406" s="31" t="str">
        <f>I406 &amp; "-" &amp;VLOOKUP(I406,Střediska!$A$1:$B$40,2,FALSE)</f>
        <v>1051-Mladší žáci</v>
      </c>
      <c r="M406" s="32" t="str">
        <f>VLOOKUP(Zdroj!$I406,Střediska!$A$1:$B$41,2,FALSE)</f>
        <v>Mladší žáci</v>
      </c>
    </row>
    <row r="407" spans="1:13" hidden="1" x14ac:dyDescent="0.2">
      <c r="A407" s="33" t="s">
        <v>267</v>
      </c>
      <c r="B407" s="34" t="s">
        <v>930</v>
      </c>
      <c r="C407" s="34" t="s">
        <v>64</v>
      </c>
      <c r="D407" s="34"/>
      <c r="E407" s="34" t="s">
        <v>931</v>
      </c>
      <c r="F407" s="34">
        <v>0</v>
      </c>
      <c r="G407" s="34">
        <v>5300</v>
      </c>
      <c r="H407" s="34">
        <f t="shared" si="12"/>
        <v>5300</v>
      </c>
      <c r="I407" s="34">
        <v>1051</v>
      </c>
      <c r="J407" s="34">
        <f t="shared" si="13"/>
        <v>1</v>
      </c>
      <c r="K407" s="34" t="s">
        <v>90</v>
      </c>
      <c r="L407" s="34" t="str">
        <f>I407 &amp; "-" &amp;VLOOKUP(I407,Střediska!$A$1:$B$40,2,FALSE)</f>
        <v>1051-Mladší žáci</v>
      </c>
      <c r="M407" s="35" t="str">
        <f>VLOOKUP(Zdroj!$I407,Střediska!$A$1:$B$41,2,FALSE)</f>
        <v>Mladší žáci</v>
      </c>
    </row>
    <row r="408" spans="1:13" hidden="1" x14ac:dyDescent="0.2">
      <c r="A408" s="36" t="s">
        <v>267</v>
      </c>
      <c r="B408" s="31" t="s">
        <v>932</v>
      </c>
      <c r="C408" s="31" t="s">
        <v>64</v>
      </c>
      <c r="D408" s="31"/>
      <c r="E408" s="31" t="s">
        <v>95</v>
      </c>
      <c r="F408" s="31">
        <v>0</v>
      </c>
      <c r="G408" s="31">
        <v>5300</v>
      </c>
      <c r="H408" s="31">
        <f t="shared" si="12"/>
        <v>5300</v>
      </c>
      <c r="I408" s="31">
        <v>1051</v>
      </c>
      <c r="J408" s="31">
        <f t="shared" si="13"/>
        <v>1</v>
      </c>
      <c r="K408" s="31" t="s">
        <v>90</v>
      </c>
      <c r="L408" s="31" t="str">
        <f>I408 &amp; "-" &amp;VLOOKUP(I408,Střediska!$A$1:$B$40,2,FALSE)</f>
        <v>1051-Mladší žáci</v>
      </c>
      <c r="M408" s="32" t="str">
        <f>VLOOKUP(Zdroj!$I408,Střediska!$A$1:$B$41,2,FALSE)</f>
        <v>Mladší žáci</v>
      </c>
    </row>
    <row r="409" spans="1:13" hidden="1" x14ac:dyDescent="0.2">
      <c r="A409" s="33" t="s">
        <v>267</v>
      </c>
      <c r="B409" s="34" t="s">
        <v>933</v>
      </c>
      <c r="C409" s="34" t="s">
        <v>64</v>
      </c>
      <c r="D409" s="34"/>
      <c r="E409" s="34" t="s">
        <v>934</v>
      </c>
      <c r="F409" s="34">
        <v>0</v>
      </c>
      <c r="G409" s="34">
        <v>5300</v>
      </c>
      <c r="H409" s="34">
        <f t="shared" si="12"/>
        <v>5300</v>
      </c>
      <c r="I409" s="34">
        <v>1051</v>
      </c>
      <c r="J409" s="34">
        <f t="shared" si="13"/>
        <v>1</v>
      </c>
      <c r="K409" s="34" t="s">
        <v>90</v>
      </c>
      <c r="L409" s="34" t="str">
        <f>I409 &amp; "-" &amp;VLOOKUP(I409,Střediska!$A$1:$B$40,2,FALSE)</f>
        <v>1051-Mladší žáci</v>
      </c>
      <c r="M409" s="35" t="str">
        <f>VLOOKUP(Zdroj!$I409,Střediska!$A$1:$B$41,2,FALSE)</f>
        <v>Mladší žáci</v>
      </c>
    </row>
    <row r="410" spans="1:13" hidden="1" x14ac:dyDescent="0.2">
      <c r="A410" s="36" t="s">
        <v>481</v>
      </c>
      <c r="B410" s="31" t="s">
        <v>935</v>
      </c>
      <c r="C410" s="31" t="s">
        <v>64</v>
      </c>
      <c r="D410" s="31"/>
      <c r="E410" s="31" t="s">
        <v>936</v>
      </c>
      <c r="F410" s="31">
        <v>0</v>
      </c>
      <c r="G410" s="31">
        <v>2650</v>
      </c>
      <c r="H410" s="31">
        <f t="shared" si="12"/>
        <v>2650</v>
      </c>
      <c r="I410" s="31">
        <v>1051</v>
      </c>
      <c r="J410" s="31">
        <f t="shared" si="13"/>
        <v>1</v>
      </c>
      <c r="K410" s="31" t="s">
        <v>90</v>
      </c>
      <c r="L410" s="31" t="str">
        <f>I410 &amp; "-" &amp;VLOOKUP(I410,Střediska!$A$1:$B$40,2,FALSE)</f>
        <v>1051-Mladší žáci</v>
      </c>
      <c r="M410" s="32" t="str">
        <f>VLOOKUP(Zdroj!$I410,Střediska!$A$1:$B$41,2,FALSE)</f>
        <v>Mladší žáci</v>
      </c>
    </row>
    <row r="411" spans="1:13" hidden="1" x14ac:dyDescent="0.2">
      <c r="A411" s="33" t="s">
        <v>49</v>
      </c>
      <c r="B411" s="34" t="s">
        <v>91</v>
      </c>
      <c r="C411" s="34" t="s">
        <v>19</v>
      </c>
      <c r="D411" s="34"/>
      <c r="E411" s="34" t="s">
        <v>93</v>
      </c>
      <c r="F411" s="34">
        <v>0</v>
      </c>
      <c r="G411" s="34">
        <v>31850.980000000003</v>
      </c>
      <c r="H411" s="34">
        <f t="shared" si="12"/>
        <v>31850.980000000003</v>
      </c>
      <c r="I411" s="34">
        <v>1051</v>
      </c>
      <c r="J411" s="34">
        <f t="shared" si="13"/>
        <v>1</v>
      </c>
      <c r="K411" s="34" t="s">
        <v>90</v>
      </c>
      <c r="L411" s="34" t="str">
        <f>I411 &amp; "-" &amp;VLOOKUP(I411,Střediska!$A$1:$B$40,2,FALSE)</f>
        <v>1051-Mladší žáci</v>
      </c>
      <c r="M411" s="35" t="str">
        <f>VLOOKUP(Zdroj!$I411,Střediska!$A$1:$B$41,2,FALSE)</f>
        <v>Mladší žáci</v>
      </c>
    </row>
    <row r="412" spans="1:13" hidden="1" x14ac:dyDescent="0.2">
      <c r="A412" s="36" t="s">
        <v>49</v>
      </c>
      <c r="B412" s="31" t="s">
        <v>937</v>
      </c>
      <c r="C412" s="31" t="s">
        <v>64</v>
      </c>
      <c r="D412" s="31"/>
      <c r="E412" s="31" t="s">
        <v>95</v>
      </c>
      <c r="F412" s="31">
        <v>0</v>
      </c>
      <c r="G412" s="31">
        <v>5300</v>
      </c>
      <c r="H412" s="31">
        <f t="shared" si="12"/>
        <v>5300</v>
      </c>
      <c r="I412" s="31">
        <v>1051</v>
      </c>
      <c r="J412" s="31">
        <f t="shared" si="13"/>
        <v>1</v>
      </c>
      <c r="K412" s="31" t="s">
        <v>90</v>
      </c>
      <c r="L412" s="31" t="str">
        <f>I412 &amp; "-" &amp;VLOOKUP(I412,Střediska!$A$1:$B$40,2,FALSE)</f>
        <v>1051-Mladší žáci</v>
      </c>
      <c r="M412" s="32" t="str">
        <f>VLOOKUP(Zdroj!$I412,Střediska!$A$1:$B$41,2,FALSE)</f>
        <v>Mladší žáci</v>
      </c>
    </row>
    <row r="413" spans="1:13" hidden="1" x14ac:dyDescent="0.2">
      <c r="A413" s="33" t="s">
        <v>733</v>
      </c>
      <c r="B413" s="34" t="s">
        <v>938</v>
      </c>
      <c r="C413" s="34" t="s">
        <v>64</v>
      </c>
      <c r="D413" s="34"/>
      <c r="E413" s="34" t="s">
        <v>939</v>
      </c>
      <c r="F413" s="34">
        <v>0</v>
      </c>
      <c r="G413" s="34">
        <v>5300</v>
      </c>
      <c r="H413" s="34">
        <f t="shared" si="12"/>
        <v>5300</v>
      </c>
      <c r="I413" s="34">
        <v>1051</v>
      </c>
      <c r="J413" s="34">
        <f t="shared" si="13"/>
        <v>1</v>
      </c>
      <c r="K413" s="34" t="s">
        <v>90</v>
      </c>
      <c r="L413" s="34" t="str">
        <f>I413 &amp; "-" &amp;VLOOKUP(I413,Střediska!$A$1:$B$40,2,FALSE)</f>
        <v>1051-Mladší žáci</v>
      </c>
      <c r="M413" s="35" t="str">
        <f>VLOOKUP(Zdroj!$I413,Střediska!$A$1:$B$41,2,FALSE)</f>
        <v>Mladší žáci</v>
      </c>
    </row>
    <row r="414" spans="1:13" hidden="1" x14ac:dyDescent="0.2">
      <c r="A414" s="36" t="s">
        <v>349</v>
      </c>
      <c r="B414" s="31" t="s">
        <v>941</v>
      </c>
      <c r="C414" s="31" t="s">
        <v>64</v>
      </c>
      <c r="D414" s="31"/>
      <c r="E414" s="31" t="s">
        <v>942</v>
      </c>
      <c r="F414" s="31">
        <v>0</v>
      </c>
      <c r="G414" s="31">
        <v>5300</v>
      </c>
      <c r="H414" s="31">
        <f t="shared" si="12"/>
        <v>5300</v>
      </c>
      <c r="I414" s="31">
        <v>1051</v>
      </c>
      <c r="J414" s="31">
        <f t="shared" si="13"/>
        <v>1</v>
      </c>
      <c r="K414" s="31" t="s">
        <v>90</v>
      </c>
      <c r="L414" s="31" t="str">
        <f>I414 &amp; "-" &amp;VLOOKUP(I414,Střediska!$A$1:$B$40,2,FALSE)</f>
        <v>1051-Mladší žáci</v>
      </c>
      <c r="M414" s="32" t="str">
        <f>VLOOKUP(Zdroj!$I414,Střediska!$A$1:$B$41,2,FALSE)</f>
        <v>Mladší žáci</v>
      </c>
    </row>
    <row r="415" spans="1:13" hidden="1" x14ac:dyDescent="0.2">
      <c r="A415" s="33" t="s">
        <v>944</v>
      </c>
      <c r="B415" s="34" t="s">
        <v>943</v>
      </c>
      <c r="C415" s="34" t="s">
        <v>64</v>
      </c>
      <c r="D415" s="34"/>
      <c r="E415" s="34" t="s">
        <v>945</v>
      </c>
      <c r="F415" s="34">
        <v>0</v>
      </c>
      <c r="G415" s="34">
        <v>5300</v>
      </c>
      <c r="H415" s="34">
        <f t="shared" si="12"/>
        <v>5300</v>
      </c>
      <c r="I415" s="34">
        <v>1051</v>
      </c>
      <c r="J415" s="34">
        <f t="shared" si="13"/>
        <v>1</v>
      </c>
      <c r="K415" s="34" t="s">
        <v>90</v>
      </c>
      <c r="L415" s="34" t="str">
        <f>I415 &amp; "-" &amp;VLOOKUP(I415,Střediska!$A$1:$B$40,2,FALSE)</f>
        <v>1051-Mladší žáci</v>
      </c>
      <c r="M415" s="35" t="str">
        <f>VLOOKUP(Zdroj!$I415,Střediska!$A$1:$B$41,2,FALSE)</f>
        <v>Mladší žáci</v>
      </c>
    </row>
    <row r="416" spans="1:13" hidden="1" x14ac:dyDescent="0.2">
      <c r="A416" s="36" t="s">
        <v>352</v>
      </c>
      <c r="B416" s="31" t="s">
        <v>946</v>
      </c>
      <c r="C416" s="31" t="s">
        <v>64</v>
      </c>
      <c r="D416" s="31"/>
      <c r="E416" s="31" t="s">
        <v>95</v>
      </c>
      <c r="F416" s="31">
        <v>0</v>
      </c>
      <c r="G416" s="31">
        <v>5300</v>
      </c>
      <c r="H416" s="31">
        <f t="shared" si="12"/>
        <v>5300</v>
      </c>
      <c r="I416" s="31">
        <v>1051</v>
      </c>
      <c r="J416" s="31">
        <f t="shared" si="13"/>
        <v>1</v>
      </c>
      <c r="K416" s="31" t="s">
        <v>90</v>
      </c>
      <c r="L416" s="31" t="str">
        <f>I416 &amp; "-" &amp;VLOOKUP(I416,Střediska!$A$1:$B$40,2,FALSE)</f>
        <v>1051-Mladší žáci</v>
      </c>
      <c r="M416" s="32" t="str">
        <f>VLOOKUP(Zdroj!$I416,Střediska!$A$1:$B$41,2,FALSE)</f>
        <v>Mladší žáci</v>
      </c>
    </row>
    <row r="417" spans="1:13" hidden="1" x14ac:dyDescent="0.2">
      <c r="A417" s="33" t="s">
        <v>948</v>
      </c>
      <c r="B417" s="34" t="s">
        <v>947</v>
      </c>
      <c r="C417" s="34" t="s">
        <v>64</v>
      </c>
      <c r="D417" s="34"/>
      <c r="E417" s="34" t="s">
        <v>949</v>
      </c>
      <c r="F417" s="34">
        <v>0</v>
      </c>
      <c r="G417" s="34">
        <v>5300</v>
      </c>
      <c r="H417" s="34">
        <f t="shared" si="12"/>
        <v>5300</v>
      </c>
      <c r="I417" s="34">
        <v>1051</v>
      </c>
      <c r="J417" s="34">
        <f t="shared" si="13"/>
        <v>1</v>
      </c>
      <c r="K417" s="34" t="s">
        <v>90</v>
      </c>
      <c r="L417" s="34" t="str">
        <f>I417 &amp; "-" &amp;VLOOKUP(I417,Střediska!$A$1:$B$40,2,FALSE)</f>
        <v>1051-Mladší žáci</v>
      </c>
      <c r="M417" s="35" t="str">
        <f>VLOOKUP(Zdroj!$I417,Střediska!$A$1:$B$41,2,FALSE)</f>
        <v>Mladší žáci</v>
      </c>
    </row>
    <row r="418" spans="1:13" hidden="1" x14ac:dyDescent="0.2">
      <c r="A418" s="36" t="s">
        <v>951</v>
      </c>
      <c r="B418" s="31" t="s">
        <v>950</v>
      </c>
      <c r="C418" s="31" t="s">
        <v>64</v>
      </c>
      <c r="D418" s="31"/>
      <c r="E418" s="31" t="s">
        <v>952</v>
      </c>
      <c r="F418" s="31">
        <v>0</v>
      </c>
      <c r="G418" s="31">
        <v>5300</v>
      </c>
      <c r="H418" s="31">
        <f t="shared" si="12"/>
        <v>5300</v>
      </c>
      <c r="I418" s="31">
        <v>1051</v>
      </c>
      <c r="J418" s="31">
        <f t="shared" si="13"/>
        <v>1</v>
      </c>
      <c r="K418" s="31" t="s">
        <v>90</v>
      </c>
      <c r="L418" s="31" t="str">
        <f>I418 &amp; "-" &amp;VLOOKUP(I418,Střediska!$A$1:$B$40,2,FALSE)</f>
        <v>1051-Mladší žáci</v>
      </c>
      <c r="M418" s="32" t="str">
        <f>VLOOKUP(Zdroj!$I418,Střediska!$A$1:$B$41,2,FALSE)</f>
        <v>Mladší žáci</v>
      </c>
    </row>
    <row r="419" spans="1:13" hidden="1" x14ac:dyDescent="0.2">
      <c r="A419" s="33" t="s">
        <v>20</v>
      </c>
      <c r="B419" s="34" t="s">
        <v>338</v>
      </c>
      <c r="C419" s="34" t="s">
        <v>19</v>
      </c>
      <c r="D419" s="34"/>
      <c r="E419" s="34" t="s">
        <v>339</v>
      </c>
      <c r="F419" s="34">
        <v>0</v>
      </c>
      <c r="G419" s="34">
        <v>-40806.54</v>
      </c>
      <c r="H419" s="34">
        <f t="shared" si="12"/>
        <v>-40806.54</v>
      </c>
      <c r="I419" s="34">
        <v>1051</v>
      </c>
      <c r="J419" s="34">
        <f t="shared" si="13"/>
        <v>1</v>
      </c>
      <c r="K419" s="34" t="s">
        <v>90</v>
      </c>
      <c r="L419" s="34" t="str">
        <f>I419 &amp; "-" &amp;VLOOKUP(I419,Střediska!$A$1:$B$40,2,FALSE)</f>
        <v>1051-Mladší žáci</v>
      </c>
      <c r="M419" s="35" t="str">
        <f>VLOOKUP(Zdroj!$I419,Střediska!$A$1:$B$41,2,FALSE)</f>
        <v>Mladší žáci</v>
      </c>
    </row>
    <row r="420" spans="1:13" hidden="1" x14ac:dyDescent="0.2">
      <c r="A420" s="36" t="s">
        <v>958</v>
      </c>
      <c r="B420" s="31" t="s">
        <v>957</v>
      </c>
      <c r="C420" s="31" t="s">
        <v>209</v>
      </c>
      <c r="D420" s="31"/>
      <c r="E420" s="31" t="s">
        <v>959</v>
      </c>
      <c r="F420" s="31">
        <v>827</v>
      </c>
      <c r="G420" s="31">
        <v>0</v>
      </c>
      <c r="H420" s="31">
        <f t="shared" si="12"/>
        <v>-827</v>
      </c>
      <c r="I420" s="31">
        <v>1061</v>
      </c>
      <c r="J420" s="31">
        <f t="shared" si="13"/>
        <v>1</v>
      </c>
      <c r="K420" s="31" t="s">
        <v>956</v>
      </c>
      <c r="L420" s="31" t="str">
        <f>I420 &amp; "-" &amp;VLOOKUP(I420,Střediska!$A$1:$B$40,2,FALSE)</f>
        <v>1061-Elévové</v>
      </c>
      <c r="M420" s="32" t="str">
        <f>VLOOKUP(Zdroj!$I420,Střediska!$A$1:$B$41,2,FALSE)</f>
        <v>Elévové</v>
      </c>
    </row>
    <row r="421" spans="1:13" hidden="1" x14ac:dyDescent="0.2">
      <c r="A421" s="33" t="s">
        <v>961</v>
      </c>
      <c r="B421" s="34" t="s">
        <v>960</v>
      </c>
      <c r="C421" s="34" t="s">
        <v>106</v>
      </c>
      <c r="D421" s="34" t="s">
        <v>600</v>
      </c>
      <c r="E421" s="34" t="s">
        <v>962</v>
      </c>
      <c r="F421" s="34">
        <v>10200</v>
      </c>
      <c r="G421" s="34">
        <v>0</v>
      </c>
      <c r="H421" s="34">
        <f t="shared" si="12"/>
        <v>-10200</v>
      </c>
      <c r="I421" s="34">
        <v>1061</v>
      </c>
      <c r="J421" s="34">
        <f t="shared" si="13"/>
        <v>1</v>
      </c>
      <c r="K421" s="34" t="s">
        <v>956</v>
      </c>
      <c r="L421" s="34" t="str">
        <f>I421 &amp; "-" &amp;VLOOKUP(I421,Střediska!$A$1:$B$40,2,FALSE)</f>
        <v>1061-Elévové</v>
      </c>
      <c r="M421" s="35" t="str">
        <f>VLOOKUP(Zdroj!$I421,Střediska!$A$1:$B$41,2,FALSE)</f>
        <v>Elévové</v>
      </c>
    </row>
    <row r="422" spans="1:13" hidden="1" x14ac:dyDescent="0.2">
      <c r="A422" s="36" t="s">
        <v>958</v>
      </c>
      <c r="B422" s="31" t="s">
        <v>963</v>
      </c>
      <c r="C422" s="31" t="s">
        <v>209</v>
      </c>
      <c r="D422" s="31"/>
      <c r="E422" s="31" t="s">
        <v>964</v>
      </c>
      <c r="F422" s="31">
        <v>3990</v>
      </c>
      <c r="G422" s="31">
        <v>0</v>
      </c>
      <c r="H422" s="31">
        <f t="shared" si="12"/>
        <v>-3990</v>
      </c>
      <c r="I422" s="31">
        <v>1061</v>
      </c>
      <c r="J422" s="31">
        <f t="shared" si="13"/>
        <v>1</v>
      </c>
      <c r="K422" s="31" t="s">
        <v>103</v>
      </c>
      <c r="L422" s="31" t="str">
        <f>I422 &amp; "-" &amp;VLOOKUP(I422,Střediska!$A$1:$B$40,2,FALSE)</f>
        <v>1061-Elévové</v>
      </c>
      <c r="M422" s="32" t="str">
        <f>VLOOKUP(Zdroj!$I422,Střediska!$A$1:$B$41,2,FALSE)</f>
        <v>Elévové</v>
      </c>
    </row>
    <row r="423" spans="1:13" hidden="1" x14ac:dyDescent="0.2">
      <c r="A423" s="33" t="s">
        <v>601</v>
      </c>
      <c r="B423" s="34" t="s">
        <v>599</v>
      </c>
      <c r="C423" s="34" t="s">
        <v>106</v>
      </c>
      <c r="D423" s="34" t="s">
        <v>600</v>
      </c>
      <c r="E423" s="34" t="s">
        <v>602</v>
      </c>
      <c r="F423" s="34">
        <v>4600</v>
      </c>
      <c r="G423" s="34">
        <v>0</v>
      </c>
      <c r="H423" s="34">
        <f t="shared" si="12"/>
        <v>-4600</v>
      </c>
      <c r="I423" s="34">
        <v>1061</v>
      </c>
      <c r="J423" s="34">
        <f t="shared" si="13"/>
        <v>1</v>
      </c>
      <c r="K423" s="34" t="s">
        <v>148</v>
      </c>
      <c r="L423" s="34" t="str">
        <f>I423 &amp; "-" &amp;VLOOKUP(I423,Střediska!$A$1:$B$40,2,FALSE)</f>
        <v>1061-Elévové</v>
      </c>
      <c r="M423" s="35" t="str">
        <f>VLOOKUP(Zdroj!$I423,Střediska!$A$1:$B$41,2,FALSE)</f>
        <v>Elévové</v>
      </c>
    </row>
    <row r="424" spans="1:13" hidden="1" x14ac:dyDescent="0.2">
      <c r="A424" s="36" t="s">
        <v>967</v>
      </c>
      <c r="B424" s="31" t="s">
        <v>965</v>
      </c>
      <c r="C424" s="31" t="s">
        <v>106</v>
      </c>
      <c r="D424" s="31" t="s">
        <v>966</v>
      </c>
      <c r="E424" s="31" t="s">
        <v>968</v>
      </c>
      <c r="F424" s="31">
        <v>3000</v>
      </c>
      <c r="G424" s="31">
        <v>0</v>
      </c>
      <c r="H424" s="31">
        <f t="shared" si="12"/>
        <v>-3000</v>
      </c>
      <c r="I424" s="31">
        <v>1061</v>
      </c>
      <c r="J424" s="31">
        <f t="shared" si="13"/>
        <v>1</v>
      </c>
      <c r="K424" s="31" t="s">
        <v>148</v>
      </c>
      <c r="L424" s="31" t="str">
        <f>I424 &amp; "-" &amp;VLOOKUP(I424,Střediska!$A$1:$B$40,2,FALSE)</f>
        <v>1061-Elévové</v>
      </c>
      <c r="M424" s="32" t="str">
        <f>VLOOKUP(Zdroj!$I424,Střediska!$A$1:$B$41,2,FALSE)</f>
        <v>Elévové</v>
      </c>
    </row>
    <row r="425" spans="1:13" hidden="1" x14ac:dyDescent="0.2">
      <c r="A425" s="33" t="s">
        <v>37</v>
      </c>
      <c r="B425" s="34" t="s">
        <v>969</v>
      </c>
      <c r="C425" s="34" t="s">
        <v>106</v>
      </c>
      <c r="D425" s="34" t="s">
        <v>970</v>
      </c>
      <c r="E425" s="34" t="s">
        <v>971</v>
      </c>
      <c r="F425" s="34">
        <v>2000</v>
      </c>
      <c r="G425" s="34">
        <v>0</v>
      </c>
      <c r="H425" s="34">
        <f t="shared" si="12"/>
        <v>-2000</v>
      </c>
      <c r="I425" s="34">
        <v>1061</v>
      </c>
      <c r="J425" s="34">
        <f t="shared" si="13"/>
        <v>1</v>
      </c>
      <c r="K425" s="34" t="s">
        <v>148</v>
      </c>
      <c r="L425" s="34" t="str">
        <f>I425 &amp; "-" &amp;VLOOKUP(I425,Střediska!$A$1:$B$40,2,FALSE)</f>
        <v>1061-Elévové</v>
      </c>
      <c r="M425" s="35" t="str">
        <f>VLOOKUP(Zdroj!$I425,Střediska!$A$1:$B$41,2,FALSE)</f>
        <v>Elévové</v>
      </c>
    </row>
    <row r="426" spans="1:13" hidden="1" x14ac:dyDescent="0.2">
      <c r="A426" s="36" t="s">
        <v>961</v>
      </c>
      <c r="B426" s="31" t="s">
        <v>960</v>
      </c>
      <c r="C426" s="31" t="s">
        <v>106</v>
      </c>
      <c r="D426" s="31" t="s">
        <v>600</v>
      </c>
      <c r="E426" s="31" t="s">
        <v>962</v>
      </c>
      <c r="F426" s="31">
        <v>9000</v>
      </c>
      <c r="G426" s="31">
        <v>0</v>
      </c>
      <c r="H426" s="31">
        <f t="shared" si="12"/>
        <v>-9000</v>
      </c>
      <c r="I426" s="31">
        <v>1061</v>
      </c>
      <c r="J426" s="31">
        <f t="shared" si="13"/>
        <v>1</v>
      </c>
      <c r="K426" s="31" t="s">
        <v>148</v>
      </c>
      <c r="L426" s="31" t="str">
        <f>I426 &amp; "-" &amp;VLOOKUP(I426,Střediska!$A$1:$B$40,2,FALSE)</f>
        <v>1061-Elévové</v>
      </c>
      <c r="M426" s="32" t="str">
        <f>VLOOKUP(Zdroj!$I426,Střediska!$A$1:$B$41,2,FALSE)</f>
        <v>Elévové</v>
      </c>
    </row>
    <row r="427" spans="1:13" hidden="1" x14ac:dyDescent="0.2">
      <c r="A427" s="33" t="s">
        <v>20</v>
      </c>
      <c r="B427" s="34" t="s">
        <v>18</v>
      </c>
      <c r="C427" s="34" t="s">
        <v>19</v>
      </c>
      <c r="D427" s="34"/>
      <c r="E427" s="34" t="s">
        <v>21</v>
      </c>
      <c r="F427" s="34">
        <v>108976.61</v>
      </c>
      <c r="G427" s="34">
        <v>0</v>
      </c>
      <c r="H427" s="34">
        <f t="shared" si="12"/>
        <v>-108976.61</v>
      </c>
      <c r="I427" s="34">
        <v>1061</v>
      </c>
      <c r="J427" s="34">
        <f t="shared" si="13"/>
        <v>1</v>
      </c>
      <c r="K427" s="34" t="s">
        <v>17</v>
      </c>
      <c r="L427" s="34" t="str">
        <f>I427 &amp; "-" &amp;VLOOKUP(I427,Střediska!$A$1:$B$40,2,FALSE)</f>
        <v>1061-Elévové</v>
      </c>
      <c r="M427" s="35" t="str">
        <f>VLOOKUP(Zdroj!$I427,Střediska!$A$1:$B$41,2,FALSE)</f>
        <v>Elévové</v>
      </c>
    </row>
    <row r="428" spans="1:13" hidden="1" x14ac:dyDescent="0.2">
      <c r="A428" s="36" t="s">
        <v>961</v>
      </c>
      <c r="B428" s="31" t="s">
        <v>960</v>
      </c>
      <c r="C428" s="31" t="s">
        <v>106</v>
      </c>
      <c r="D428" s="31" t="s">
        <v>600</v>
      </c>
      <c r="E428" s="31" t="s">
        <v>962</v>
      </c>
      <c r="F428" s="31">
        <v>29750</v>
      </c>
      <c r="G428" s="31">
        <v>0</v>
      </c>
      <c r="H428" s="31">
        <f t="shared" si="12"/>
        <v>-29750</v>
      </c>
      <c r="I428" s="31">
        <v>1061</v>
      </c>
      <c r="J428" s="31">
        <f t="shared" si="13"/>
        <v>1</v>
      </c>
      <c r="K428" s="31" t="s">
        <v>154</v>
      </c>
      <c r="L428" s="31" t="str">
        <f>I428 &amp; "-" &amp;VLOOKUP(I428,Střediska!$A$1:$B$40,2,FALSE)</f>
        <v>1061-Elévové</v>
      </c>
      <c r="M428" s="32" t="str">
        <f>VLOOKUP(Zdroj!$I428,Střediska!$A$1:$B$41,2,FALSE)</f>
        <v>Elévové</v>
      </c>
    </row>
    <row r="429" spans="1:13" hidden="1" x14ac:dyDescent="0.2">
      <c r="A429" s="33" t="s">
        <v>974</v>
      </c>
      <c r="B429" s="34" t="s">
        <v>972</v>
      </c>
      <c r="C429" s="34" t="s">
        <v>106</v>
      </c>
      <c r="D429" s="34" t="s">
        <v>973</v>
      </c>
      <c r="E429" s="34" t="s">
        <v>975</v>
      </c>
      <c r="F429" s="34">
        <v>32400</v>
      </c>
      <c r="G429" s="34">
        <v>0</v>
      </c>
      <c r="H429" s="34">
        <f t="shared" si="12"/>
        <v>-32400</v>
      </c>
      <c r="I429" s="34">
        <v>1061</v>
      </c>
      <c r="J429" s="34">
        <f t="shared" si="13"/>
        <v>1</v>
      </c>
      <c r="K429" s="34" t="s">
        <v>154</v>
      </c>
      <c r="L429" s="34" t="str">
        <f>I429 &amp; "-" &amp;VLOOKUP(I429,Střediska!$A$1:$B$40,2,FALSE)</f>
        <v>1061-Elévové</v>
      </c>
      <c r="M429" s="35" t="str">
        <f>VLOOKUP(Zdroj!$I429,Střediska!$A$1:$B$41,2,FALSE)</f>
        <v>Elévové</v>
      </c>
    </row>
    <row r="430" spans="1:13" hidden="1" x14ac:dyDescent="0.2">
      <c r="A430" s="36" t="s">
        <v>977</v>
      </c>
      <c r="B430" s="31" t="s">
        <v>976</v>
      </c>
      <c r="C430" s="31" t="s">
        <v>19</v>
      </c>
      <c r="D430" s="31"/>
      <c r="E430" s="31" t="s">
        <v>978</v>
      </c>
      <c r="F430" s="31">
        <v>2716</v>
      </c>
      <c r="G430" s="31">
        <v>0</v>
      </c>
      <c r="H430" s="31">
        <f t="shared" si="12"/>
        <v>-2716</v>
      </c>
      <c r="I430" s="31">
        <v>1061</v>
      </c>
      <c r="J430" s="31">
        <f t="shared" si="13"/>
        <v>1</v>
      </c>
      <c r="K430" s="31" t="s">
        <v>179</v>
      </c>
      <c r="L430" s="31" t="str">
        <f>I430 &amp; "-" &amp;VLOOKUP(I430,Střediska!$A$1:$B$40,2,FALSE)</f>
        <v>1061-Elévové</v>
      </c>
      <c r="M430" s="32" t="str">
        <f>VLOOKUP(Zdroj!$I430,Střediska!$A$1:$B$41,2,FALSE)</f>
        <v>Elévové</v>
      </c>
    </row>
    <row r="431" spans="1:13" hidden="1" x14ac:dyDescent="0.2">
      <c r="A431" s="33" t="s">
        <v>980</v>
      </c>
      <c r="B431" s="34" t="s">
        <v>979</v>
      </c>
      <c r="C431" s="34" t="s">
        <v>19</v>
      </c>
      <c r="D431" s="34"/>
      <c r="E431" s="34" t="s">
        <v>978</v>
      </c>
      <c r="F431" s="34">
        <v>3000</v>
      </c>
      <c r="G431" s="34">
        <v>0</v>
      </c>
      <c r="H431" s="34">
        <f t="shared" si="12"/>
        <v>-3000</v>
      </c>
      <c r="I431" s="34">
        <v>1061</v>
      </c>
      <c r="J431" s="34">
        <f t="shared" si="13"/>
        <v>1</v>
      </c>
      <c r="K431" s="34" t="s">
        <v>179</v>
      </c>
      <c r="L431" s="34" t="str">
        <f>I431 &amp; "-" &amp;VLOOKUP(I431,Střediska!$A$1:$B$40,2,FALSE)</f>
        <v>1061-Elévové</v>
      </c>
      <c r="M431" s="35" t="str">
        <f>VLOOKUP(Zdroj!$I431,Střediska!$A$1:$B$41,2,FALSE)</f>
        <v>Elévové</v>
      </c>
    </row>
    <row r="432" spans="1:13" hidden="1" x14ac:dyDescent="0.2">
      <c r="A432" s="36" t="s">
        <v>205</v>
      </c>
      <c r="B432" s="31" t="s">
        <v>981</v>
      </c>
      <c r="C432" s="31" t="s">
        <v>19</v>
      </c>
      <c r="D432" s="31"/>
      <c r="E432" s="31" t="s">
        <v>978</v>
      </c>
      <c r="F432" s="31">
        <v>3088</v>
      </c>
      <c r="G432" s="31">
        <v>0</v>
      </c>
      <c r="H432" s="31">
        <f t="shared" si="12"/>
        <v>-3088</v>
      </c>
      <c r="I432" s="31">
        <v>1061</v>
      </c>
      <c r="J432" s="31">
        <f t="shared" si="13"/>
        <v>1</v>
      </c>
      <c r="K432" s="31" t="s">
        <v>179</v>
      </c>
      <c r="L432" s="31" t="str">
        <f>I432 &amp; "-" &amp;VLOOKUP(I432,Střediska!$A$1:$B$40,2,FALSE)</f>
        <v>1061-Elévové</v>
      </c>
      <c r="M432" s="32" t="str">
        <f>VLOOKUP(Zdroj!$I432,Střediska!$A$1:$B$41,2,FALSE)</f>
        <v>Elévové</v>
      </c>
    </row>
    <row r="433" spans="1:13" hidden="1" x14ac:dyDescent="0.2">
      <c r="A433" s="33" t="s">
        <v>20</v>
      </c>
      <c r="B433" s="34" t="s">
        <v>59</v>
      </c>
      <c r="C433" s="34" t="s">
        <v>19</v>
      </c>
      <c r="D433" s="34"/>
      <c r="E433" s="34" t="s">
        <v>60</v>
      </c>
      <c r="F433" s="34">
        <v>49910</v>
      </c>
      <c r="G433" s="34">
        <v>0</v>
      </c>
      <c r="H433" s="34">
        <f t="shared" si="12"/>
        <v>-49910</v>
      </c>
      <c r="I433" s="34">
        <v>1061</v>
      </c>
      <c r="J433" s="34">
        <f t="shared" si="13"/>
        <v>1</v>
      </c>
      <c r="K433" s="34" t="s">
        <v>23</v>
      </c>
      <c r="L433" s="34" t="str">
        <f>I433 &amp; "-" &amp;VLOOKUP(I433,Střediska!$A$1:$B$40,2,FALSE)</f>
        <v>1061-Elévové</v>
      </c>
      <c r="M433" s="35" t="str">
        <f>VLOOKUP(Zdroj!$I433,Střediska!$A$1:$B$41,2,FALSE)</f>
        <v>Elévové</v>
      </c>
    </row>
    <row r="434" spans="1:13" hidden="1" x14ac:dyDescent="0.2">
      <c r="A434" s="36" t="s">
        <v>37</v>
      </c>
      <c r="B434" s="31" t="s">
        <v>982</v>
      </c>
      <c r="C434" s="31" t="s">
        <v>19</v>
      </c>
      <c r="D434" s="31"/>
      <c r="E434" s="31" t="s">
        <v>983</v>
      </c>
      <c r="F434" s="31">
        <v>0</v>
      </c>
      <c r="G434" s="31">
        <v>37620</v>
      </c>
      <c r="H434" s="31">
        <f t="shared" si="12"/>
        <v>37620</v>
      </c>
      <c r="I434" s="31">
        <v>1061</v>
      </c>
      <c r="J434" s="31">
        <f t="shared" si="13"/>
        <v>1</v>
      </c>
      <c r="K434" s="31" t="s">
        <v>246</v>
      </c>
      <c r="L434" s="31" t="str">
        <f>I434 &amp; "-" &amp;VLOOKUP(I434,Střediska!$A$1:$B$40,2,FALSE)</f>
        <v>1061-Elévové</v>
      </c>
      <c r="M434" s="32" t="str">
        <f>VLOOKUP(Zdroj!$I434,Střediska!$A$1:$B$41,2,FALSE)</f>
        <v>Elévové</v>
      </c>
    </row>
    <row r="435" spans="1:13" hidden="1" x14ac:dyDescent="0.2">
      <c r="A435" s="33" t="s">
        <v>37</v>
      </c>
      <c r="B435" s="34" t="s">
        <v>984</v>
      </c>
      <c r="C435" s="34" t="s">
        <v>19</v>
      </c>
      <c r="D435" s="34"/>
      <c r="E435" s="34" t="s">
        <v>985</v>
      </c>
      <c r="F435" s="34">
        <v>0</v>
      </c>
      <c r="G435" s="34">
        <v>5000</v>
      </c>
      <c r="H435" s="34">
        <f t="shared" si="12"/>
        <v>5000</v>
      </c>
      <c r="I435" s="34">
        <v>1061</v>
      </c>
      <c r="J435" s="34">
        <f t="shared" si="13"/>
        <v>1</v>
      </c>
      <c r="K435" s="34" t="s">
        <v>246</v>
      </c>
      <c r="L435" s="34" t="str">
        <f>I435 &amp; "-" &amp;VLOOKUP(I435,Střediska!$A$1:$B$40,2,FALSE)</f>
        <v>1061-Elévové</v>
      </c>
      <c r="M435" s="35" t="str">
        <f>VLOOKUP(Zdroj!$I435,Střediska!$A$1:$B$41,2,FALSE)</f>
        <v>Elévové</v>
      </c>
    </row>
    <row r="436" spans="1:13" hidden="1" x14ac:dyDescent="0.2">
      <c r="A436" s="36" t="s">
        <v>40</v>
      </c>
      <c r="B436" s="31" t="s">
        <v>986</v>
      </c>
      <c r="C436" s="31" t="s">
        <v>19</v>
      </c>
      <c r="D436" s="31"/>
      <c r="E436" s="31" t="s">
        <v>987</v>
      </c>
      <c r="F436" s="31">
        <v>0</v>
      </c>
      <c r="G436" s="31">
        <v>2000</v>
      </c>
      <c r="H436" s="31">
        <f t="shared" si="12"/>
        <v>2000</v>
      </c>
      <c r="I436" s="31">
        <v>1061</v>
      </c>
      <c r="J436" s="31">
        <f t="shared" si="13"/>
        <v>1</v>
      </c>
      <c r="K436" s="31" t="s">
        <v>246</v>
      </c>
      <c r="L436" s="31" t="str">
        <f>I436 &amp; "-" &amp;VLOOKUP(I436,Střediska!$A$1:$B$40,2,FALSE)</f>
        <v>1061-Elévové</v>
      </c>
      <c r="M436" s="32" t="str">
        <f>VLOOKUP(Zdroj!$I436,Střediska!$A$1:$B$41,2,FALSE)</f>
        <v>Elévové</v>
      </c>
    </row>
    <row r="437" spans="1:13" hidden="1" x14ac:dyDescent="0.2">
      <c r="A437" s="33" t="s">
        <v>43</v>
      </c>
      <c r="B437" s="34" t="s">
        <v>618</v>
      </c>
      <c r="C437" s="34" t="s">
        <v>19</v>
      </c>
      <c r="D437" s="34"/>
      <c r="E437" s="34" t="s">
        <v>619</v>
      </c>
      <c r="F437" s="34">
        <v>0</v>
      </c>
      <c r="G437" s="34">
        <v>40000</v>
      </c>
      <c r="H437" s="34">
        <f t="shared" si="12"/>
        <v>40000</v>
      </c>
      <c r="I437" s="34">
        <v>1061</v>
      </c>
      <c r="J437" s="34">
        <f t="shared" si="13"/>
        <v>1</v>
      </c>
      <c r="K437" s="34" t="s">
        <v>246</v>
      </c>
      <c r="L437" s="34" t="str">
        <f>I437 &amp; "-" &amp;VLOOKUP(I437,Střediska!$A$1:$B$40,2,FALSE)</f>
        <v>1061-Elévové</v>
      </c>
      <c r="M437" s="35" t="str">
        <f>VLOOKUP(Zdroj!$I437,Střediska!$A$1:$B$41,2,FALSE)</f>
        <v>Elévové</v>
      </c>
    </row>
    <row r="438" spans="1:13" hidden="1" x14ac:dyDescent="0.2">
      <c r="A438" s="36" t="s">
        <v>623</v>
      </c>
      <c r="B438" s="31" t="s">
        <v>988</v>
      </c>
      <c r="C438" s="31" t="s">
        <v>64</v>
      </c>
      <c r="D438" s="31"/>
      <c r="E438" s="31" t="s">
        <v>989</v>
      </c>
      <c r="F438" s="31">
        <v>0</v>
      </c>
      <c r="G438" s="31">
        <v>4000</v>
      </c>
      <c r="H438" s="31">
        <f t="shared" si="12"/>
        <v>4000</v>
      </c>
      <c r="I438" s="31">
        <v>1061</v>
      </c>
      <c r="J438" s="31">
        <f t="shared" si="13"/>
        <v>1</v>
      </c>
      <c r="K438" s="31" t="s">
        <v>90</v>
      </c>
      <c r="L438" s="31" t="str">
        <f>I438 &amp; "-" &amp;VLOOKUP(I438,Střediska!$A$1:$B$40,2,FALSE)</f>
        <v>1061-Elévové</v>
      </c>
      <c r="M438" s="32" t="str">
        <f>VLOOKUP(Zdroj!$I438,Střediska!$A$1:$B$41,2,FALSE)</f>
        <v>Elévové</v>
      </c>
    </row>
    <row r="439" spans="1:13" hidden="1" x14ac:dyDescent="0.2">
      <c r="A439" s="33" t="s">
        <v>623</v>
      </c>
      <c r="B439" s="34" t="s">
        <v>990</v>
      </c>
      <c r="C439" s="34" t="s">
        <v>64</v>
      </c>
      <c r="D439" s="34"/>
      <c r="E439" s="34" t="s">
        <v>991</v>
      </c>
      <c r="F439" s="34">
        <v>0</v>
      </c>
      <c r="G439" s="34">
        <v>2000</v>
      </c>
      <c r="H439" s="34">
        <f t="shared" si="12"/>
        <v>2000</v>
      </c>
      <c r="I439" s="34">
        <v>1061</v>
      </c>
      <c r="J439" s="34">
        <f t="shared" si="13"/>
        <v>1</v>
      </c>
      <c r="K439" s="34" t="s">
        <v>90</v>
      </c>
      <c r="L439" s="34" t="str">
        <f>I439 &amp; "-" &amp;VLOOKUP(I439,Střediska!$A$1:$B$40,2,FALSE)</f>
        <v>1061-Elévové</v>
      </c>
      <c r="M439" s="35" t="str">
        <f>VLOOKUP(Zdroj!$I439,Střediska!$A$1:$B$41,2,FALSE)</f>
        <v>Elévové</v>
      </c>
    </row>
    <row r="440" spans="1:13" hidden="1" x14ac:dyDescent="0.2">
      <c r="A440" s="36" t="s">
        <v>399</v>
      </c>
      <c r="B440" s="31" t="s">
        <v>992</v>
      </c>
      <c r="C440" s="31" t="s">
        <v>64</v>
      </c>
      <c r="D440" s="31"/>
      <c r="E440" s="31" t="s">
        <v>993</v>
      </c>
      <c r="F440" s="31">
        <v>0</v>
      </c>
      <c r="G440" s="31">
        <v>4000</v>
      </c>
      <c r="H440" s="31">
        <f t="shared" si="12"/>
        <v>4000</v>
      </c>
      <c r="I440" s="31">
        <v>1061</v>
      </c>
      <c r="J440" s="31">
        <f t="shared" si="13"/>
        <v>1</v>
      </c>
      <c r="K440" s="31" t="s">
        <v>90</v>
      </c>
      <c r="L440" s="31" t="str">
        <f>I440 &amp; "-" &amp;VLOOKUP(I440,Střediska!$A$1:$B$40,2,FALSE)</f>
        <v>1061-Elévové</v>
      </c>
      <c r="M440" s="32" t="str">
        <f>VLOOKUP(Zdroj!$I440,Střediska!$A$1:$B$41,2,FALSE)</f>
        <v>Elévové</v>
      </c>
    </row>
    <row r="441" spans="1:13" hidden="1" x14ac:dyDescent="0.2">
      <c r="A441" s="33" t="s">
        <v>399</v>
      </c>
      <c r="B441" s="34" t="s">
        <v>994</v>
      </c>
      <c r="C441" s="34" t="s">
        <v>64</v>
      </c>
      <c r="D441" s="34"/>
      <c r="E441" s="34" t="s">
        <v>95</v>
      </c>
      <c r="F441" s="34">
        <v>0</v>
      </c>
      <c r="G441" s="34">
        <v>4000</v>
      </c>
      <c r="H441" s="34">
        <f t="shared" si="12"/>
        <v>4000</v>
      </c>
      <c r="I441" s="34">
        <v>1061</v>
      </c>
      <c r="J441" s="34">
        <f t="shared" si="13"/>
        <v>1</v>
      </c>
      <c r="K441" s="34" t="s">
        <v>90</v>
      </c>
      <c r="L441" s="34" t="str">
        <f>I441 &amp; "-" &amp;VLOOKUP(I441,Střediska!$A$1:$B$40,2,FALSE)</f>
        <v>1061-Elévové</v>
      </c>
      <c r="M441" s="35" t="str">
        <f>VLOOKUP(Zdroj!$I441,Střediska!$A$1:$B$41,2,FALSE)</f>
        <v>Elévové</v>
      </c>
    </row>
    <row r="442" spans="1:13" hidden="1" x14ac:dyDescent="0.2">
      <c r="A442" s="36" t="s">
        <v>399</v>
      </c>
      <c r="B442" s="31" t="s">
        <v>995</v>
      </c>
      <c r="C442" s="31" t="s">
        <v>64</v>
      </c>
      <c r="D442" s="31"/>
      <c r="E442" s="31" t="s">
        <v>996</v>
      </c>
      <c r="F442" s="31">
        <v>0</v>
      </c>
      <c r="G442" s="31">
        <v>4000</v>
      </c>
      <c r="H442" s="31">
        <f t="shared" si="12"/>
        <v>4000</v>
      </c>
      <c r="I442" s="31">
        <v>1061</v>
      </c>
      <c r="J442" s="31">
        <f t="shared" si="13"/>
        <v>1</v>
      </c>
      <c r="K442" s="31" t="s">
        <v>90</v>
      </c>
      <c r="L442" s="31" t="str">
        <f>I442 &amp; "-" &amp;VLOOKUP(I442,Střediska!$A$1:$B$40,2,FALSE)</f>
        <v>1061-Elévové</v>
      </c>
      <c r="M442" s="32" t="str">
        <f>VLOOKUP(Zdroj!$I442,Střediska!$A$1:$B$41,2,FALSE)</f>
        <v>Elévové</v>
      </c>
    </row>
    <row r="443" spans="1:13" hidden="1" x14ac:dyDescent="0.2">
      <c r="A443" s="33" t="s">
        <v>181</v>
      </c>
      <c r="B443" s="34" t="s">
        <v>997</v>
      </c>
      <c r="C443" s="34" t="s">
        <v>64</v>
      </c>
      <c r="D443" s="34"/>
      <c r="E443" s="34" t="s">
        <v>998</v>
      </c>
      <c r="F443" s="34">
        <v>0</v>
      </c>
      <c r="G443" s="34">
        <v>4000</v>
      </c>
      <c r="H443" s="34">
        <f t="shared" si="12"/>
        <v>4000</v>
      </c>
      <c r="I443" s="34">
        <v>1061</v>
      </c>
      <c r="J443" s="34">
        <f t="shared" si="13"/>
        <v>1</v>
      </c>
      <c r="K443" s="34" t="s">
        <v>90</v>
      </c>
      <c r="L443" s="34" t="str">
        <f>I443 &amp; "-" &amp;VLOOKUP(I443,Střediska!$A$1:$B$40,2,FALSE)</f>
        <v>1061-Elévové</v>
      </c>
      <c r="M443" s="35" t="str">
        <f>VLOOKUP(Zdroj!$I443,Střediska!$A$1:$B$41,2,FALSE)</f>
        <v>Elévové</v>
      </c>
    </row>
    <row r="444" spans="1:13" hidden="1" x14ac:dyDescent="0.2">
      <c r="A444" s="36" t="s">
        <v>181</v>
      </c>
      <c r="B444" s="31" t="s">
        <v>999</v>
      </c>
      <c r="C444" s="31" t="s">
        <v>64</v>
      </c>
      <c r="D444" s="31"/>
      <c r="E444" s="31" t="s">
        <v>1000</v>
      </c>
      <c r="F444" s="31">
        <v>0</v>
      </c>
      <c r="G444" s="31">
        <v>4000</v>
      </c>
      <c r="H444" s="31">
        <f t="shared" si="12"/>
        <v>4000</v>
      </c>
      <c r="I444" s="31">
        <v>1061</v>
      </c>
      <c r="J444" s="31">
        <f t="shared" si="13"/>
        <v>1</v>
      </c>
      <c r="K444" s="31" t="s">
        <v>90</v>
      </c>
      <c r="L444" s="31" t="str">
        <f>I444 &amp; "-" &amp;VLOOKUP(I444,Střediska!$A$1:$B$40,2,FALSE)</f>
        <v>1061-Elévové</v>
      </c>
      <c r="M444" s="32" t="str">
        <f>VLOOKUP(Zdroj!$I444,Střediska!$A$1:$B$41,2,FALSE)</f>
        <v>Elévové</v>
      </c>
    </row>
    <row r="445" spans="1:13" hidden="1" x14ac:dyDescent="0.2">
      <c r="A445" s="33" t="s">
        <v>630</v>
      </c>
      <c r="B445" s="34" t="s">
        <v>1001</v>
      </c>
      <c r="C445" s="34" t="s">
        <v>64</v>
      </c>
      <c r="D445" s="34"/>
      <c r="E445" s="34" t="s">
        <v>1002</v>
      </c>
      <c r="F445" s="34">
        <v>0</v>
      </c>
      <c r="G445" s="34">
        <v>4000</v>
      </c>
      <c r="H445" s="34">
        <f t="shared" si="12"/>
        <v>4000</v>
      </c>
      <c r="I445" s="34">
        <v>1061</v>
      </c>
      <c r="J445" s="34">
        <f t="shared" si="13"/>
        <v>1</v>
      </c>
      <c r="K445" s="34" t="s">
        <v>90</v>
      </c>
      <c r="L445" s="34" t="str">
        <f>I445 &amp; "-" &amp;VLOOKUP(I445,Střediska!$A$1:$B$40,2,FALSE)</f>
        <v>1061-Elévové</v>
      </c>
      <c r="M445" s="35" t="str">
        <f>VLOOKUP(Zdroj!$I445,Střediska!$A$1:$B$41,2,FALSE)</f>
        <v>Elévové</v>
      </c>
    </row>
    <row r="446" spans="1:13" hidden="1" x14ac:dyDescent="0.2">
      <c r="A446" s="36" t="s">
        <v>630</v>
      </c>
      <c r="B446" s="31" t="s">
        <v>1003</v>
      </c>
      <c r="C446" s="31" t="s">
        <v>64</v>
      </c>
      <c r="D446" s="31"/>
      <c r="E446" s="31" t="s">
        <v>1004</v>
      </c>
      <c r="F446" s="31">
        <v>0</v>
      </c>
      <c r="G446" s="31">
        <v>4000</v>
      </c>
      <c r="H446" s="31">
        <f t="shared" si="12"/>
        <v>4000</v>
      </c>
      <c r="I446" s="31">
        <v>1061</v>
      </c>
      <c r="J446" s="31">
        <f t="shared" si="13"/>
        <v>1</v>
      </c>
      <c r="K446" s="31" t="s">
        <v>90</v>
      </c>
      <c r="L446" s="31" t="str">
        <f>I446 &amp; "-" &amp;VLOOKUP(I446,Střediska!$A$1:$B$40,2,FALSE)</f>
        <v>1061-Elévové</v>
      </c>
      <c r="M446" s="32" t="str">
        <f>VLOOKUP(Zdroj!$I446,Střediska!$A$1:$B$41,2,FALSE)</f>
        <v>Elévové</v>
      </c>
    </row>
    <row r="447" spans="1:13" hidden="1" x14ac:dyDescent="0.2">
      <c r="A447" s="33" t="s">
        <v>635</v>
      </c>
      <c r="B447" s="34" t="s">
        <v>1005</v>
      </c>
      <c r="C447" s="34" t="s">
        <v>64</v>
      </c>
      <c r="D447" s="34"/>
      <c r="E447" s="34" t="s">
        <v>1006</v>
      </c>
      <c r="F447" s="34">
        <v>0</v>
      </c>
      <c r="G447" s="34">
        <v>4000</v>
      </c>
      <c r="H447" s="34">
        <f t="shared" si="12"/>
        <v>4000</v>
      </c>
      <c r="I447" s="34">
        <v>1061</v>
      </c>
      <c r="J447" s="34">
        <f t="shared" si="13"/>
        <v>1</v>
      </c>
      <c r="K447" s="34" t="s">
        <v>90</v>
      </c>
      <c r="L447" s="34" t="str">
        <f>I447 &amp; "-" &amp;VLOOKUP(I447,Střediska!$A$1:$B$40,2,FALSE)</f>
        <v>1061-Elévové</v>
      </c>
      <c r="M447" s="35" t="str">
        <f>VLOOKUP(Zdroj!$I447,Střediska!$A$1:$B$41,2,FALSE)</f>
        <v>Elévové</v>
      </c>
    </row>
    <row r="448" spans="1:13" hidden="1" x14ac:dyDescent="0.2">
      <c r="A448" s="36" t="s">
        <v>811</v>
      </c>
      <c r="B448" s="31" t="s">
        <v>1007</v>
      </c>
      <c r="C448" s="31" t="s">
        <v>64</v>
      </c>
      <c r="D448" s="31"/>
      <c r="E448" s="31" t="s">
        <v>936</v>
      </c>
      <c r="F448" s="31">
        <v>0</v>
      </c>
      <c r="G448" s="31">
        <v>2000</v>
      </c>
      <c r="H448" s="31">
        <f t="shared" si="12"/>
        <v>2000</v>
      </c>
      <c r="I448" s="31">
        <v>1061</v>
      </c>
      <c r="J448" s="31">
        <f t="shared" si="13"/>
        <v>1</v>
      </c>
      <c r="K448" s="31" t="s">
        <v>90</v>
      </c>
      <c r="L448" s="31" t="str">
        <f>I448 &amp; "-" &amp;VLOOKUP(I448,Střediska!$A$1:$B$40,2,FALSE)</f>
        <v>1061-Elévové</v>
      </c>
      <c r="M448" s="32" t="str">
        <f>VLOOKUP(Zdroj!$I448,Střediska!$A$1:$B$41,2,FALSE)</f>
        <v>Elévové</v>
      </c>
    </row>
    <row r="449" spans="1:13" hidden="1" x14ac:dyDescent="0.2">
      <c r="A449" s="33" t="s">
        <v>817</v>
      </c>
      <c r="B449" s="34" t="s">
        <v>1008</v>
      </c>
      <c r="C449" s="34" t="s">
        <v>64</v>
      </c>
      <c r="D449" s="34"/>
      <c r="E449" s="34" t="s">
        <v>1009</v>
      </c>
      <c r="F449" s="34">
        <v>0</v>
      </c>
      <c r="G449" s="34">
        <v>4000</v>
      </c>
      <c r="H449" s="34">
        <f t="shared" si="12"/>
        <v>4000</v>
      </c>
      <c r="I449" s="34">
        <v>1061</v>
      </c>
      <c r="J449" s="34">
        <f t="shared" si="13"/>
        <v>1</v>
      </c>
      <c r="K449" s="34" t="s">
        <v>90</v>
      </c>
      <c r="L449" s="34" t="str">
        <f>I449 &amp; "-" &amp;VLOOKUP(I449,Střediska!$A$1:$B$40,2,FALSE)</f>
        <v>1061-Elévové</v>
      </c>
      <c r="M449" s="35" t="str">
        <f>VLOOKUP(Zdroj!$I449,Střediska!$A$1:$B$41,2,FALSE)</f>
        <v>Elévové</v>
      </c>
    </row>
    <row r="450" spans="1:13" hidden="1" x14ac:dyDescent="0.2">
      <c r="A450" s="36" t="s">
        <v>646</v>
      </c>
      <c r="B450" s="31" t="s">
        <v>1011</v>
      </c>
      <c r="C450" s="31" t="s">
        <v>64</v>
      </c>
      <c r="D450" s="31"/>
      <c r="E450" s="31" t="s">
        <v>1012</v>
      </c>
      <c r="F450" s="31">
        <v>0</v>
      </c>
      <c r="G450" s="31">
        <v>4000</v>
      </c>
      <c r="H450" s="31">
        <f t="shared" ref="H450:H513" si="14">-F450+G450</f>
        <v>4000</v>
      </c>
      <c r="I450" s="31">
        <v>1061</v>
      </c>
      <c r="J450" s="31">
        <f t="shared" ref="J450:J513" si="15">VALUE(LEFT(I450,1))</f>
        <v>1</v>
      </c>
      <c r="K450" s="31" t="s">
        <v>90</v>
      </c>
      <c r="L450" s="31" t="str">
        <f>I450 &amp; "-" &amp;VLOOKUP(I450,Střediska!$A$1:$B$40,2,FALSE)</f>
        <v>1061-Elévové</v>
      </c>
      <c r="M450" s="32" t="str">
        <f>VLOOKUP(Zdroj!$I450,Střediska!$A$1:$B$41,2,FALSE)</f>
        <v>Elévové</v>
      </c>
    </row>
    <row r="451" spans="1:13" hidden="1" x14ac:dyDescent="0.2">
      <c r="A451" s="33" t="s">
        <v>502</v>
      </c>
      <c r="B451" s="34" t="s">
        <v>1013</v>
      </c>
      <c r="C451" s="34" t="s">
        <v>64</v>
      </c>
      <c r="D451" s="34"/>
      <c r="E451" s="34" t="s">
        <v>1014</v>
      </c>
      <c r="F451" s="34">
        <v>0</v>
      </c>
      <c r="G451" s="34">
        <v>4000</v>
      </c>
      <c r="H451" s="34">
        <f t="shared" si="14"/>
        <v>4000</v>
      </c>
      <c r="I451" s="34">
        <v>1061</v>
      </c>
      <c r="J451" s="34">
        <f t="shared" si="15"/>
        <v>1</v>
      </c>
      <c r="K451" s="34" t="s">
        <v>90</v>
      </c>
      <c r="L451" s="34" t="str">
        <f>I451 &amp; "-" &amp;VLOOKUP(I451,Střediska!$A$1:$B$40,2,FALSE)</f>
        <v>1061-Elévové</v>
      </c>
      <c r="M451" s="35" t="str">
        <f>VLOOKUP(Zdroj!$I451,Střediska!$A$1:$B$41,2,FALSE)</f>
        <v>Elévové</v>
      </c>
    </row>
    <row r="452" spans="1:13" hidden="1" x14ac:dyDescent="0.2">
      <c r="A452" s="36" t="s">
        <v>651</v>
      </c>
      <c r="B452" s="31" t="s">
        <v>1015</v>
      </c>
      <c r="C452" s="31" t="s">
        <v>64</v>
      </c>
      <c r="D452" s="31"/>
      <c r="E452" s="31" t="s">
        <v>95</v>
      </c>
      <c r="F452" s="31">
        <v>0</v>
      </c>
      <c r="G452" s="31">
        <v>4000</v>
      </c>
      <c r="H452" s="31">
        <f t="shared" si="14"/>
        <v>4000</v>
      </c>
      <c r="I452" s="31">
        <v>1061</v>
      </c>
      <c r="J452" s="31">
        <f t="shared" si="15"/>
        <v>1</v>
      </c>
      <c r="K452" s="31" t="s">
        <v>90</v>
      </c>
      <c r="L452" s="31" t="str">
        <f>I452 &amp; "-" &amp;VLOOKUP(I452,Střediska!$A$1:$B$40,2,FALSE)</f>
        <v>1061-Elévové</v>
      </c>
      <c r="M452" s="32" t="str">
        <f>VLOOKUP(Zdroj!$I452,Střediska!$A$1:$B$41,2,FALSE)</f>
        <v>Elévové</v>
      </c>
    </row>
    <row r="453" spans="1:13" hidden="1" x14ac:dyDescent="0.2">
      <c r="A453" s="33" t="s">
        <v>651</v>
      </c>
      <c r="B453" s="34" t="s">
        <v>1016</v>
      </c>
      <c r="C453" s="34" t="s">
        <v>64</v>
      </c>
      <c r="D453" s="34"/>
      <c r="E453" s="34" t="s">
        <v>95</v>
      </c>
      <c r="F453" s="34">
        <v>0</v>
      </c>
      <c r="G453" s="34">
        <v>4000</v>
      </c>
      <c r="H453" s="34">
        <f t="shared" si="14"/>
        <v>4000</v>
      </c>
      <c r="I453" s="34">
        <v>1061</v>
      </c>
      <c r="J453" s="34">
        <f t="shared" si="15"/>
        <v>1</v>
      </c>
      <c r="K453" s="34" t="s">
        <v>90</v>
      </c>
      <c r="L453" s="34" t="str">
        <f>I453 &amp; "-" &amp;VLOOKUP(I453,Střediska!$A$1:$B$40,2,FALSE)</f>
        <v>1061-Elévové</v>
      </c>
      <c r="M453" s="35" t="str">
        <f>VLOOKUP(Zdroj!$I453,Střediska!$A$1:$B$41,2,FALSE)</f>
        <v>Elévové</v>
      </c>
    </row>
    <row r="454" spans="1:13" hidden="1" x14ac:dyDescent="0.2">
      <c r="A454" s="36" t="s">
        <v>651</v>
      </c>
      <c r="B454" s="31" t="s">
        <v>1017</v>
      </c>
      <c r="C454" s="31" t="s">
        <v>64</v>
      </c>
      <c r="D454" s="31"/>
      <c r="E454" s="31" t="s">
        <v>1018</v>
      </c>
      <c r="F454" s="31">
        <v>0</v>
      </c>
      <c r="G454" s="31">
        <v>2000</v>
      </c>
      <c r="H454" s="31">
        <f t="shared" si="14"/>
        <v>2000</v>
      </c>
      <c r="I454" s="31">
        <v>1061</v>
      </c>
      <c r="J454" s="31">
        <f t="shared" si="15"/>
        <v>1</v>
      </c>
      <c r="K454" s="31" t="s">
        <v>90</v>
      </c>
      <c r="L454" s="31" t="str">
        <f>I454 &amp; "-" &amp;VLOOKUP(I454,Střediska!$A$1:$B$40,2,FALSE)</f>
        <v>1061-Elévové</v>
      </c>
      <c r="M454" s="32" t="str">
        <f>VLOOKUP(Zdroj!$I454,Střediska!$A$1:$B$41,2,FALSE)</f>
        <v>Elévové</v>
      </c>
    </row>
    <row r="455" spans="1:13" hidden="1" x14ac:dyDescent="0.2">
      <c r="A455" s="33" t="s">
        <v>507</v>
      </c>
      <c r="B455" s="34" t="s">
        <v>1019</v>
      </c>
      <c r="C455" s="34" t="s">
        <v>64</v>
      </c>
      <c r="D455" s="34"/>
      <c r="E455" s="34" t="s">
        <v>1020</v>
      </c>
      <c r="F455" s="34">
        <v>0</v>
      </c>
      <c r="G455" s="34">
        <v>4000</v>
      </c>
      <c r="H455" s="34">
        <f t="shared" si="14"/>
        <v>4000</v>
      </c>
      <c r="I455" s="34">
        <v>1061</v>
      </c>
      <c r="J455" s="34">
        <f t="shared" si="15"/>
        <v>1</v>
      </c>
      <c r="K455" s="34" t="s">
        <v>90</v>
      </c>
      <c r="L455" s="34" t="str">
        <f>I455 &amp; "-" &amp;VLOOKUP(I455,Střediska!$A$1:$B$40,2,FALSE)</f>
        <v>1061-Elévové</v>
      </c>
      <c r="M455" s="35" t="str">
        <f>VLOOKUP(Zdroj!$I455,Střediska!$A$1:$B$41,2,FALSE)</f>
        <v>Elévové</v>
      </c>
    </row>
    <row r="456" spans="1:13" hidden="1" x14ac:dyDescent="0.2">
      <c r="A456" s="36" t="s">
        <v>510</v>
      </c>
      <c r="B456" s="31" t="s">
        <v>1021</v>
      </c>
      <c r="C456" s="31" t="s">
        <v>64</v>
      </c>
      <c r="D456" s="31"/>
      <c r="E456" s="31" t="s">
        <v>1022</v>
      </c>
      <c r="F456" s="31">
        <v>0</v>
      </c>
      <c r="G456" s="31">
        <v>4000</v>
      </c>
      <c r="H456" s="31">
        <f t="shared" si="14"/>
        <v>4000</v>
      </c>
      <c r="I456" s="31">
        <v>1061</v>
      </c>
      <c r="J456" s="31">
        <f t="shared" si="15"/>
        <v>1</v>
      </c>
      <c r="K456" s="31" t="s">
        <v>90</v>
      </c>
      <c r="L456" s="31" t="str">
        <f>I456 &amp; "-" &amp;VLOOKUP(I456,Střediska!$A$1:$B$40,2,FALSE)</f>
        <v>1061-Elévové</v>
      </c>
      <c r="M456" s="32" t="str">
        <f>VLOOKUP(Zdroj!$I456,Střediska!$A$1:$B$41,2,FALSE)</f>
        <v>Elévové</v>
      </c>
    </row>
    <row r="457" spans="1:13" hidden="1" x14ac:dyDescent="0.2">
      <c r="A457" s="33" t="s">
        <v>847</v>
      </c>
      <c r="B457" s="34" t="s">
        <v>1023</v>
      </c>
      <c r="C457" s="34" t="s">
        <v>64</v>
      </c>
      <c r="D457" s="34"/>
      <c r="E457" s="34" t="s">
        <v>1024</v>
      </c>
      <c r="F457" s="34">
        <v>0</v>
      </c>
      <c r="G457" s="34">
        <v>4000</v>
      </c>
      <c r="H457" s="34">
        <f t="shared" si="14"/>
        <v>4000</v>
      </c>
      <c r="I457" s="34">
        <v>1061</v>
      </c>
      <c r="J457" s="34">
        <f t="shared" si="15"/>
        <v>1</v>
      </c>
      <c r="K457" s="34" t="s">
        <v>90</v>
      </c>
      <c r="L457" s="34" t="str">
        <f>I457 &amp; "-" &amp;VLOOKUP(I457,Střediska!$A$1:$B$40,2,FALSE)</f>
        <v>1061-Elévové</v>
      </c>
      <c r="M457" s="35" t="str">
        <f>VLOOKUP(Zdroj!$I457,Střediska!$A$1:$B$41,2,FALSE)</f>
        <v>Elévové</v>
      </c>
    </row>
    <row r="458" spans="1:13" hidden="1" x14ac:dyDescent="0.2">
      <c r="A458" s="36" t="s">
        <v>407</v>
      </c>
      <c r="B458" s="31" t="s">
        <v>1025</v>
      </c>
      <c r="C458" s="31" t="s">
        <v>64</v>
      </c>
      <c r="D458" s="31"/>
      <c r="E458" s="31" t="s">
        <v>95</v>
      </c>
      <c r="F458" s="31">
        <v>0</v>
      </c>
      <c r="G458" s="31">
        <v>4000</v>
      </c>
      <c r="H458" s="31">
        <f t="shared" si="14"/>
        <v>4000</v>
      </c>
      <c r="I458" s="31">
        <v>1061</v>
      </c>
      <c r="J458" s="31">
        <f t="shared" si="15"/>
        <v>1</v>
      </c>
      <c r="K458" s="31" t="s">
        <v>90</v>
      </c>
      <c r="L458" s="31" t="str">
        <f>I458 &amp; "-" &amp;VLOOKUP(I458,Střediska!$A$1:$B$40,2,FALSE)</f>
        <v>1061-Elévové</v>
      </c>
      <c r="M458" s="32" t="str">
        <f>VLOOKUP(Zdroj!$I458,Střediska!$A$1:$B$41,2,FALSE)</f>
        <v>Elévové</v>
      </c>
    </row>
    <row r="459" spans="1:13" hidden="1" x14ac:dyDescent="0.2">
      <c r="A459" s="33" t="s">
        <v>407</v>
      </c>
      <c r="B459" s="34" t="s">
        <v>1026</v>
      </c>
      <c r="C459" s="34" t="s">
        <v>64</v>
      </c>
      <c r="D459" s="34"/>
      <c r="E459" s="34" t="s">
        <v>95</v>
      </c>
      <c r="F459" s="34">
        <v>0</v>
      </c>
      <c r="G459" s="34">
        <v>4000</v>
      </c>
      <c r="H459" s="34">
        <f t="shared" si="14"/>
        <v>4000</v>
      </c>
      <c r="I459" s="34">
        <v>1061</v>
      </c>
      <c r="J459" s="34">
        <f t="shared" si="15"/>
        <v>1</v>
      </c>
      <c r="K459" s="34" t="s">
        <v>90</v>
      </c>
      <c r="L459" s="34" t="str">
        <f>I459 &amp; "-" &amp;VLOOKUP(I459,Střediska!$A$1:$B$40,2,FALSE)</f>
        <v>1061-Elévové</v>
      </c>
      <c r="M459" s="35" t="str">
        <f>VLOOKUP(Zdroj!$I459,Střediska!$A$1:$B$41,2,FALSE)</f>
        <v>Elévové</v>
      </c>
    </row>
    <row r="460" spans="1:13" hidden="1" x14ac:dyDescent="0.2">
      <c r="A460" s="36" t="s">
        <v>407</v>
      </c>
      <c r="B460" s="31" t="s">
        <v>1027</v>
      </c>
      <c r="C460" s="31" t="s">
        <v>64</v>
      </c>
      <c r="D460" s="31"/>
      <c r="E460" s="31" t="s">
        <v>95</v>
      </c>
      <c r="F460" s="31">
        <v>0</v>
      </c>
      <c r="G460" s="31">
        <v>4000</v>
      </c>
      <c r="H460" s="31">
        <f t="shared" si="14"/>
        <v>4000</v>
      </c>
      <c r="I460" s="31">
        <v>1061</v>
      </c>
      <c r="J460" s="31">
        <f t="shared" si="15"/>
        <v>1</v>
      </c>
      <c r="K460" s="31" t="s">
        <v>90</v>
      </c>
      <c r="L460" s="31" t="str">
        <f>I460 &amp; "-" &amp;VLOOKUP(I460,Střediska!$A$1:$B$40,2,FALSE)</f>
        <v>1061-Elévové</v>
      </c>
      <c r="M460" s="32" t="str">
        <f>VLOOKUP(Zdroj!$I460,Střediska!$A$1:$B$41,2,FALSE)</f>
        <v>Elévové</v>
      </c>
    </row>
    <row r="461" spans="1:13" hidden="1" x14ac:dyDescent="0.2">
      <c r="A461" s="33" t="s">
        <v>25</v>
      </c>
      <c r="B461" s="34" t="s">
        <v>1028</v>
      </c>
      <c r="C461" s="34" t="s">
        <v>64</v>
      </c>
      <c r="D461" s="34"/>
      <c r="E461" s="34" t="s">
        <v>1029</v>
      </c>
      <c r="F461" s="34">
        <v>0</v>
      </c>
      <c r="G461" s="34">
        <v>4000</v>
      </c>
      <c r="H461" s="34">
        <f t="shared" si="14"/>
        <v>4000</v>
      </c>
      <c r="I461" s="34">
        <v>1061</v>
      </c>
      <c r="J461" s="34">
        <f t="shared" si="15"/>
        <v>1</v>
      </c>
      <c r="K461" s="34" t="s">
        <v>90</v>
      </c>
      <c r="L461" s="34" t="str">
        <f>I461 &amp; "-" &amp;VLOOKUP(I461,Střediska!$A$1:$B$40,2,FALSE)</f>
        <v>1061-Elévové</v>
      </c>
      <c r="M461" s="35" t="str">
        <f>VLOOKUP(Zdroj!$I461,Střediska!$A$1:$B$41,2,FALSE)</f>
        <v>Elévové</v>
      </c>
    </row>
    <row r="462" spans="1:13" hidden="1" x14ac:dyDescent="0.2">
      <c r="A462" s="36" t="s">
        <v>25</v>
      </c>
      <c r="B462" s="31" t="s">
        <v>1030</v>
      </c>
      <c r="C462" s="31" t="s">
        <v>64</v>
      </c>
      <c r="D462" s="31"/>
      <c r="E462" s="31" t="s">
        <v>1031</v>
      </c>
      <c r="F462" s="31">
        <v>0</v>
      </c>
      <c r="G462" s="31">
        <v>4000</v>
      </c>
      <c r="H462" s="31">
        <f t="shared" si="14"/>
        <v>4000</v>
      </c>
      <c r="I462" s="31">
        <v>1061</v>
      </c>
      <c r="J462" s="31">
        <f t="shared" si="15"/>
        <v>1</v>
      </c>
      <c r="K462" s="31" t="s">
        <v>90</v>
      </c>
      <c r="L462" s="31" t="str">
        <f>I462 &amp; "-" &amp;VLOOKUP(I462,Střediska!$A$1:$B$40,2,FALSE)</f>
        <v>1061-Elévové</v>
      </c>
      <c r="M462" s="32" t="str">
        <f>VLOOKUP(Zdroj!$I462,Střediska!$A$1:$B$41,2,FALSE)</f>
        <v>Elévové</v>
      </c>
    </row>
    <row r="463" spans="1:13" hidden="1" x14ac:dyDescent="0.2">
      <c r="A463" s="33" t="s">
        <v>25</v>
      </c>
      <c r="B463" s="34" t="s">
        <v>1032</v>
      </c>
      <c r="C463" s="34" t="s">
        <v>64</v>
      </c>
      <c r="D463" s="34"/>
      <c r="E463" s="34" t="s">
        <v>1033</v>
      </c>
      <c r="F463" s="34">
        <v>0</v>
      </c>
      <c r="G463" s="34">
        <v>4000</v>
      </c>
      <c r="H463" s="34">
        <f t="shared" si="14"/>
        <v>4000</v>
      </c>
      <c r="I463" s="34">
        <v>1061</v>
      </c>
      <c r="J463" s="34">
        <f t="shared" si="15"/>
        <v>1</v>
      </c>
      <c r="K463" s="34" t="s">
        <v>90</v>
      </c>
      <c r="L463" s="34" t="str">
        <f>I463 &amp; "-" &amp;VLOOKUP(I463,Střediska!$A$1:$B$40,2,FALSE)</f>
        <v>1061-Elévové</v>
      </c>
      <c r="M463" s="35" t="str">
        <f>VLOOKUP(Zdroj!$I463,Střediska!$A$1:$B$41,2,FALSE)</f>
        <v>Elévové</v>
      </c>
    </row>
    <row r="464" spans="1:13" hidden="1" x14ac:dyDescent="0.2">
      <c r="A464" s="36" t="s">
        <v>415</v>
      </c>
      <c r="B464" s="31" t="s">
        <v>1034</v>
      </c>
      <c r="C464" s="31" t="s">
        <v>64</v>
      </c>
      <c r="D464" s="31"/>
      <c r="E464" s="31" t="s">
        <v>1035</v>
      </c>
      <c r="F464" s="31">
        <v>0</v>
      </c>
      <c r="G464" s="31">
        <v>4000</v>
      </c>
      <c r="H464" s="31">
        <f t="shared" si="14"/>
        <v>4000</v>
      </c>
      <c r="I464" s="31">
        <v>1061</v>
      </c>
      <c r="J464" s="31">
        <f t="shared" si="15"/>
        <v>1</v>
      </c>
      <c r="K464" s="31" t="s">
        <v>90</v>
      </c>
      <c r="L464" s="31" t="str">
        <f>I464 &amp; "-" &amp;VLOOKUP(I464,Střediska!$A$1:$B$40,2,FALSE)</f>
        <v>1061-Elévové</v>
      </c>
      <c r="M464" s="32" t="str">
        <f>VLOOKUP(Zdroj!$I464,Střediska!$A$1:$B$41,2,FALSE)</f>
        <v>Elévové</v>
      </c>
    </row>
    <row r="465" spans="1:13" hidden="1" x14ac:dyDescent="0.2">
      <c r="A465" s="33" t="s">
        <v>1037</v>
      </c>
      <c r="B465" s="34" t="s">
        <v>1036</v>
      </c>
      <c r="C465" s="34" t="s">
        <v>64</v>
      </c>
      <c r="D465" s="34"/>
      <c r="E465" s="34" t="s">
        <v>1038</v>
      </c>
      <c r="F465" s="34">
        <v>0</v>
      </c>
      <c r="G465" s="34">
        <v>4000</v>
      </c>
      <c r="H465" s="34">
        <f t="shared" si="14"/>
        <v>4000</v>
      </c>
      <c r="I465" s="34">
        <v>1061</v>
      </c>
      <c r="J465" s="34">
        <f t="shared" si="15"/>
        <v>1</v>
      </c>
      <c r="K465" s="34" t="s">
        <v>90</v>
      </c>
      <c r="L465" s="34" t="str">
        <f>I465 &amp; "-" &amp;VLOOKUP(I465,Střediska!$A$1:$B$40,2,FALSE)</f>
        <v>1061-Elévové</v>
      </c>
      <c r="M465" s="35" t="str">
        <f>VLOOKUP(Zdroj!$I465,Střediska!$A$1:$B$41,2,FALSE)</f>
        <v>Elévové</v>
      </c>
    </row>
    <row r="466" spans="1:13" hidden="1" x14ac:dyDescent="0.2">
      <c r="A466" s="36" t="s">
        <v>383</v>
      </c>
      <c r="B466" s="31" t="s">
        <v>1039</v>
      </c>
      <c r="C466" s="31" t="s">
        <v>64</v>
      </c>
      <c r="D466" s="31"/>
      <c r="E466" s="31" t="s">
        <v>1040</v>
      </c>
      <c r="F466" s="31">
        <v>0</v>
      </c>
      <c r="G466" s="31">
        <v>1000</v>
      </c>
      <c r="H466" s="31">
        <f t="shared" si="14"/>
        <v>1000</v>
      </c>
      <c r="I466" s="31">
        <v>1061</v>
      </c>
      <c r="J466" s="31">
        <f t="shared" si="15"/>
        <v>1</v>
      </c>
      <c r="K466" s="31" t="s">
        <v>90</v>
      </c>
      <c r="L466" s="31" t="str">
        <f>I466 &amp; "-" &amp;VLOOKUP(I466,Střediska!$A$1:$B$40,2,FALSE)</f>
        <v>1061-Elévové</v>
      </c>
      <c r="M466" s="32" t="str">
        <f>VLOOKUP(Zdroj!$I466,Střediska!$A$1:$B$41,2,FALSE)</f>
        <v>Elévové</v>
      </c>
    </row>
    <row r="467" spans="1:13" hidden="1" x14ac:dyDescent="0.2">
      <c r="A467" s="33" t="s">
        <v>1042</v>
      </c>
      <c r="B467" s="34" t="s">
        <v>1041</v>
      </c>
      <c r="C467" s="34" t="s">
        <v>64</v>
      </c>
      <c r="D467" s="34"/>
      <c r="E467" s="34" t="s">
        <v>1043</v>
      </c>
      <c r="F467" s="34">
        <v>0</v>
      </c>
      <c r="G467" s="34">
        <v>-4000</v>
      </c>
      <c r="H467" s="34">
        <f t="shared" si="14"/>
        <v>-4000</v>
      </c>
      <c r="I467" s="34">
        <v>1061</v>
      </c>
      <c r="J467" s="34">
        <f t="shared" si="15"/>
        <v>1</v>
      </c>
      <c r="K467" s="34" t="s">
        <v>90</v>
      </c>
      <c r="L467" s="34" t="str">
        <f>I467 &amp; "-" &amp;VLOOKUP(I467,Střediska!$A$1:$B$40,2,FALSE)</f>
        <v>1061-Elévové</v>
      </c>
      <c r="M467" s="35" t="str">
        <f>VLOOKUP(Zdroj!$I467,Střediska!$A$1:$B$41,2,FALSE)</f>
        <v>Elévové</v>
      </c>
    </row>
    <row r="468" spans="1:13" hidden="1" x14ac:dyDescent="0.2">
      <c r="A468" s="36" t="s">
        <v>1045</v>
      </c>
      <c r="B468" s="31" t="s">
        <v>1044</v>
      </c>
      <c r="C468" s="31" t="s">
        <v>64</v>
      </c>
      <c r="D468" s="31"/>
      <c r="E468" s="31" t="s">
        <v>1046</v>
      </c>
      <c r="F468" s="31">
        <v>0</v>
      </c>
      <c r="G468" s="31">
        <v>4000</v>
      </c>
      <c r="H468" s="31">
        <f t="shared" si="14"/>
        <v>4000</v>
      </c>
      <c r="I468" s="31">
        <v>1061</v>
      </c>
      <c r="J468" s="31">
        <f t="shared" si="15"/>
        <v>1</v>
      </c>
      <c r="K468" s="31" t="s">
        <v>90</v>
      </c>
      <c r="L468" s="31" t="str">
        <f>I468 &amp; "-" &amp;VLOOKUP(I468,Střediska!$A$1:$B$40,2,FALSE)</f>
        <v>1061-Elévové</v>
      </c>
      <c r="M468" s="32" t="str">
        <f>VLOOKUP(Zdroj!$I468,Střediska!$A$1:$B$41,2,FALSE)</f>
        <v>Elévové</v>
      </c>
    </row>
    <row r="469" spans="1:13" hidden="1" x14ac:dyDescent="0.2">
      <c r="A469" s="33" t="s">
        <v>1048</v>
      </c>
      <c r="B469" s="34" t="s">
        <v>1047</v>
      </c>
      <c r="C469" s="34" t="s">
        <v>64</v>
      </c>
      <c r="D469" s="34"/>
      <c r="E469" s="34" t="s">
        <v>1049</v>
      </c>
      <c r="F469" s="34">
        <v>0</v>
      </c>
      <c r="G469" s="34">
        <v>2000</v>
      </c>
      <c r="H469" s="34">
        <f t="shared" si="14"/>
        <v>2000</v>
      </c>
      <c r="I469" s="34">
        <v>1061</v>
      </c>
      <c r="J469" s="34">
        <f t="shared" si="15"/>
        <v>1</v>
      </c>
      <c r="K469" s="34" t="s">
        <v>90</v>
      </c>
      <c r="L469" s="34" t="str">
        <f>I469 &amp; "-" &amp;VLOOKUP(I469,Střediska!$A$1:$B$40,2,FALSE)</f>
        <v>1061-Elévové</v>
      </c>
      <c r="M469" s="35" t="str">
        <f>VLOOKUP(Zdroj!$I469,Střediska!$A$1:$B$41,2,FALSE)</f>
        <v>Elévové</v>
      </c>
    </row>
    <row r="470" spans="1:13" hidden="1" x14ac:dyDescent="0.2">
      <c r="A470" s="36" t="s">
        <v>875</v>
      </c>
      <c r="B470" s="31" t="s">
        <v>1050</v>
      </c>
      <c r="C470" s="31" t="s">
        <v>64</v>
      </c>
      <c r="D470" s="31"/>
      <c r="E470" s="31" t="s">
        <v>1051</v>
      </c>
      <c r="F470" s="31">
        <v>0</v>
      </c>
      <c r="G470" s="31">
        <v>1000</v>
      </c>
      <c r="H470" s="31">
        <f t="shared" si="14"/>
        <v>1000</v>
      </c>
      <c r="I470" s="31">
        <v>1061</v>
      </c>
      <c r="J470" s="31">
        <f t="shared" si="15"/>
        <v>1</v>
      </c>
      <c r="K470" s="31" t="s">
        <v>90</v>
      </c>
      <c r="L470" s="31" t="str">
        <f>I470 &amp; "-" &amp;VLOOKUP(I470,Střediska!$A$1:$B$40,2,FALSE)</f>
        <v>1061-Elévové</v>
      </c>
      <c r="M470" s="32" t="str">
        <f>VLOOKUP(Zdroj!$I470,Střediska!$A$1:$B$41,2,FALSE)</f>
        <v>Elévové</v>
      </c>
    </row>
    <row r="471" spans="1:13" hidden="1" x14ac:dyDescent="0.2">
      <c r="A471" s="33" t="s">
        <v>875</v>
      </c>
      <c r="B471" s="34" t="s">
        <v>1052</v>
      </c>
      <c r="C471" s="34" t="s">
        <v>64</v>
      </c>
      <c r="D471" s="34"/>
      <c r="E471" s="34" t="s">
        <v>1053</v>
      </c>
      <c r="F471" s="34">
        <v>0</v>
      </c>
      <c r="G471" s="34">
        <v>1600</v>
      </c>
      <c r="H471" s="34">
        <f t="shared" si="14"/>
        <v>1600</v>
      </c>
      <c r="I471" s="34">
        <v>1061</v>
      </c>
      <c r="J471" s="34">
        <f t="shared" si="15"/>
        <v>1</v>
      </c>
      <c r="K471" s="34" t="s">
        <v>90</v>
      </c>
      <c r="L471" s="34" t="str">
        <f>I471 &amp; "-" &amp;VLOOKUP(I471,Střediska!$A$1:$B$40,2,FALSE)</f>
        <v>1061-Elévové</v>
      </c>
      <c r="M471" s="35" t="str">
        <f>VLOOKUP(Zdroj!$I471,Střediska!$A$1:$B$41,2,FALSE)</f>
        <v>Elévové</v>
      </c>
    </row>
    <row r="472" spans="1:13" hidden="1" x14ac:dyDescent="0.2">
      <c r="A472" s="36" t="s">
        <v>37</v>
      </c>
      <c r="B472" s="31" t="s">
        <v>94</v>
      </c>
      <c r="C472" s="31" t="s">
        <v>64</v>
      </c>
      <c r="D472" s="31"/>
      <c r="E472" s="31" t="s">
        <v>95</v>
      </c>
      <c r="F472" s="31">
        <v>0</v>
      </c>
      <c r="G472" s="31">
        <v>5000</v>
      </c>
      <c r="H472" s="31">
        <f t="shared" si="14"/>
        <v>5000</v>
      </c>
      <c r="I472" s="31">
        <v>1061</v>
      </c>
      <c r="J472" s="31">
        <f t="shared" si="15"/>
        <v>1</v>
      </c>
      <c r="K472" s="31" t="s">
        <v>90</v>
      </c>
      <c r="L472" s="31" t="str">
        <f>I472 &amp; "-" &amp;VLOOKUP(I472,Střediska!$A$1:$B$40,2,FALSE)</f>
        <v>1061-Elévové</v>
      </c>
      <c r="M472" s="32" t="str">
        <f>VLOOKUP(Zdroj!$I472,Střediska!$A$1:$B$41,2,FALSE)</f>
        <v>Elévové</v>
      </c>
    </row>
    <row r="473" spans="1:13" hidden="1" x14ac:dyDescent="0.2">
      <c r="A473" s="33" t="s">
        <v>256</v>
      </c>
      <c r="B473" s="34" t="s">
        <v>1054</v>
      </c>
      <c r="C473" s="34" t="s">
        <v>64</v>
      </c>
      <c r="D473" s="34"/>
      <c r="E473" s="34" t="s">
        <v>1055</v>
      </c>
      <c r="F473" s="34">
        <v>0</v>
      </c>
      <c r="G473" s="34">
        <v>4100</v>
      </c>
      <c r="H473" s="34">
        <f t="shared" si="14"/>
        <v>4100</v>
      </c>
      <c r="I473" s="34">
        <v>1061</v>
      </c>
      <c r="J473" s="34">
        <f t="shared" si="15"/>
        <v>1</v>
      </c>
      <c r="K473" s="34" t="s">
        <v>90</v>
      </c>
      <c r="L473" s="34" t="str">
        <f>I473 &amp; "-" &amp;VLOOKUP(I473,Střediska!$A$1:$B$40,2,FALSE)</f>
        <v>1061-Elévové</v>
      </c>
      <c r="M473" s="35" t="str">
        <f>VLOOKUP(Zdroj!$I473,Střediska!$A$1:$B$41,2,FALSE)</f>
        <v>Elévové</v>
      </c>
    </row>
    <row r="474" spans="1:13" hidden="1" x14ac:dyDescent="0.2">
      <c r="A474" s="36" t="s">
        <v>256</v>
      </c>
      <c r="B474" s="31" t="s">
        <v>1056</v>
      </c>
      <c r="C474" s="31" t="s">
        <v>64</v>
      </c>
      <c r="D474" s="31"/>
      <c r="E474" s="31" t="s">
        <v>1057</v>
      </c>
      <c r="F474" s="31">
        <v>0</v>
      </c>
      <c r="G474" s="31">
        <v>4100</v>
      </c>
      <c r="H474" s="31">
        <f t="shared" si="14"/>
        <v>4100</v>
      </c>
      <c r="I474" s="31">
        <v>1061</v>
      </c>
      <c r="J474" s="31">
        <f t="shared" si="15"/>
        <v>1</v>
      </c>
      <c r="K474" s="31" t="s">
        <v>90</v>
      </c>
      <c r="L474" s="31" t="str">
        <f>I474 &amp; "-" &amp;VLOOKUP(I474,Střediska!$A$1:$B$40,2,FALSE)</f>
        <v>1061-Elévové</v>
      </c>
      <c r="M474" s="32" t="str">
        <f>VLOOKUP(Zdroj!$I474,Střediska!$A$1:$B$41,2,FALSE)</f>
        <v>Elévové</v>
      </c>
    </row>
    <row r="475" spans="1:13" hidden="1" x14ac:dyDescent="0.2">
      <c r="A475" s="33" t="s">
        <v>256</v>
      </c>
      <c r="B475" s="34" t="s">
        <v>1058</v>
      </c>
      <c r="C475" s="34" t="s">
        <v>64</v>
      </c>
      <c r="D475" s="34"/>
      <c r="E475" s="34" t="s">
        <v>1059</v>
      </c>
      <c r="F475" s="34">
        <v>0</v>
      </c>
      <c r="G475" s="34">
        <v>4100</v>
      </c>
      <c r="H475" s="34">
        <f t="shared" si="14"/>
        <v>4100</v>
      </c>
      <c r="I475" s="34">
        <v>1061</v>
      </c>
      <c r="J475" s="34">
        <f t="shared" si="15"/>
        <v>1</v>
      </c>
      <c r="K475" s="34" t="s">
        <v>90</v>
      </c>
      <c r="L475" s="34" t="str">
        <f>I475 &amp; "-" &amp;VLOOKUP(I475,Střediska!$A$1:$B$40,2,FALSE)</f>
        <v>1061-Elévové</v>
      </c>
      <c r="M475" s="35" t="str">
        <f>VLOOKUP(Zdroj!$I475,Střediska!$A$1:$B$41,2,FALSE)</f>
        <v>Elévové</v>
      </c>
    </row>
    <row r="476" spans="1:13" hidden="1" x14ac:dyDescent="0.2">
      <c r="A476" s="36" t="s">
        <v>531</v>
      </c>
      <c r="B476" s="31" t="s">
        <v>1060</v>
      </c>
      <c r="C476" s="31" t="s">
        <v>64</v>
      </c>
      <c r="D476" s="31"/>
      <c r="E476" s="31" t="s">
        <v>1061</v>
      </c>
      <c r="F476" s="31">
        <v>0</v>
      </c>
      <c r="G476" s="31">
        <v>4100</v>
      </c>
      <c r="H476" s="31">
        <f t="shared" si="14"/>
        <v>4100</v>
      </c>
      <c r="I476" s="31">
        <v>1061</v>
      </c>
      <c r="J476" s="31">
        <f t="shared" si="15"/>
        <v>1</v>
      </c>
      <c r="K476" s="31" t="s">
        <v>90</v>
      </c>
      <c r="L476" s="31" t="str">
        <f>I476 &amp; "-" &amp;VLOOKUP(I476,Střediska!$A$1:$B$40,2,FALSE)</f>
        <v>1061-Elévové</v>
      </c>
      <c r="M476" s="32" t="str">
        <f>VLOOKUP(Zdroj!$I476,Střediska!$A$1:$B$41,2,FALSE)</f>
        <v>Elévové</v>
      </c>
    </row>
    <row r="477" spans="1:13" hidden="1" x14ac:dyDescent="0.2">
      <c r="A477" s="33" t="s">
        <v>531</v>
      </c>
      <c r="B477" s="34" t="s">
        <v>1062</v>
      </c>
      <c r="C477" s="34" t="s">
        <v>64</v>
      </c>
      <c r="D477" s="34"/>
      <c r="E477" s="34" t="s">
        <v>1063</v>
      </c>
      <c r="F477" s="34">
        <v>0</v>
      </c>
      <c r="G477" s="34">
        <v>4100</v>
      </c>
      <c r="H477" s="34">
        <f t="shared" si="14"/>
        <v>4100</v>
      </c>
      <c r="I477" s="34">
        <v>1061</v>
      </c>
      <c r="J477" s="34">
        <f t="shared" si="15"/>
        <v>1</v>
      </c>
      <c r="K477" s="34" t="s">
        <v>90</v>
      </c>
      <c r="L477" s="34" t="str">
        <f>I477 &amp; "-" &amp;VLOOKUP(I477,Střediska!$A$1:$B$40,2,FALSE)</f>
        <v>1061-Elévové</v>
      </c>
      <c r="M477" s="35" t="str">
        <f>VLOOKUP(Zdroj!$I477,Střediska!$A$1:$B$41,2,FALSE)</f>
        <v>Elévové</v>
      </c>
    </row>
    <row r="478" spans="1:13" hidden="1" x14ac:dyDescent="0.2">
      <c r="A478" s="36" t="s">
        <v>531</v>
      </c>
      <c r="B478" s="31" t="s">
        <v>1064</v>
      </c>
      <c r="C478" s="31" t="s">
        <v>64</v>
      </c>
      <c r="D478" s="31"/>
      <c r="E478" s="31" t="s">
        <v>1065</v>
      </c>
      <c r="F478" s="31">
        <v>0</v>
      </c>
      <c r="G478" s="31">
        <v>4100</v>
      </c>
      <c r="H478" s="31">
        <f t="shared" si="14"/>
        <v>4100</v>
      </c>
      <c r="I478" s="31">
        <v>1061</v>
      </c>
      <c r="J478" s="31">
        <f t="shared" si="15"/>
        <v>1</v>
      </c>
      <c r="K478" s="31" t="s">
        <v>90</v>
      </c>
      <c r="L478" s="31" t="str">
        <f>I478 &amp; "-" &amp;VLOOKUP(I478,Střediska!$A$1:$B$40,2,FALSE)</f>
        <v>1061-Elévové</v>
      </c>
      <c r="M478" s="32" t="str">
        <f>VLOOKUP(Zdroj!$I478,Střediska!$A$1:$B$41,2,FALSE)</f>
        <v>Elévové</v>
      </c>
    </row>
    <row r="479" spans="1:13" hidden="1" x14ac:dyDescent="0.2">
      <c r="A479" s="33" t="s">
        <v>531</v>
      </c>
      <c r="B479" s="34" t="s">
        <v>1066</v>
      </c>
      <c r="C479" s="34" t="s">
        <v>64</v>
      </c>
      <c r="D479" s="34"/>
      <c r="E479" s="34" t="s">
        <v>95</v>
      </c>
      <c r="F479" s="34">
        <v>0</v>
      </c>
      <c r="G479" s="34">
        <v>4100</v>
      </c>
      <c r="H479" s="34">
        <f t="shared" si="14"/>
        <v>4100</v>
      </c>
      <c r="I479" s="34">
        <v>1061</v>
      </c>
      <c r="J479" s="34">
        <f t="shared" si="15"/>
        <v>1</v>
      </c>
      <c r="K479" s="34" t="s">
        <v>90</v>
      </c>
      <c r="L479" s="34" t="str">
        <f>I479 &amp; "-" &amp;VLOOKUP(I479,Střediska!$A$1:$B$40,2,FALSE)</f>
        <v>1061-Elévové</v>
      </c>
      <c r="M479" s="35" t="str">
        <f>VLOOKUP(Zdroj!$I479,Střediska!$A$1:$B$41,2,FALSE)</f>
        <v>Elévové</v>
      </c>
    </row>
    <row r="480" spans="1:13" hidden="1" x14ac:dyDescent="0.2">
      <c r="A480" s="36" t="s">
        <v>536</v>
      </c>
      <c r="B480" s="31" t="s">
        <v>1067</v>
      </c>
      <c r="C480" s="31" t="s">
        <v>64</v>
      </c>
      <c r="D480" s="31"/>
      <c r="E480" s="31" t="s">
        <v>1068</v>
      </c>
      <c r="F480" s="31">
        <v>0</v>
      </c>
      <c r="G480" s="31">
        <v>4100</v>
      </c>
      <c r="H480" s="31">
        <f t="shared" si="14"/>
        <v>4100</v>
      </c>
      <c r="I480" s="31">
        <v>1061</v>
      </c>
      <c r="J480" s="31">
        <f t="shared" si="15"/>
        <v>1</v>
      </c>
      <c r="K480" s="31" t="s">
        <v>90</v>
      </c>
      <c r="L480" s="31" t="str">
        <f>I480 &amp; "-" &amp;VLOOKUP(I480,Střediska!$A$1:$B$40,2,FALSE)</f>
        <v>1061-Elévové</v>
      </c>
      <c r="M480" s="32" t="str">
        <f>VLOOKUP(Zdroj!$I480,Střediska!$A$1:$B$41,2,FALSE)</f>
        <v>Elévové</v>
      </c>
    </row>
    <row r="481" spans="1:13" hidden="1" x14ac:dyDescent="0.2">
      <c r="A481" s="33" t="s">
        <v>536</v>
      </c>
      <c r="B481" s="34" t="s">
        <v>1069</v>
      </c>
      <c r="C481" s="34" t="s">
        <v>64</v>
      </c>
      <c r="D481" s="34"/>
      <c r="E481" s="34" t="s">
        <v>1070</v>
      </c>
      <c r="F481" s="34">
        <v>0</v>
      </c>
      <c r="G481" s="34">
        <v>4100</v>
      </c>
      <c r="H481" s="34">
        <f t="shared" si="14"/>
        <v>4100</v>
      </c>
      <c r="I481" s="34">
        <v>1061</v>
      </c>
      <c r="J481" s="34">
        <f t="shared" si="15"/>
        <v>1</v>
      </c>
      <c r="K481" s="34" t="s">
        <v>90</v>
      </c>
      <c r="L481" s="34" t="str">
        <f>I481 &amp; "-" &amp;VLOOKUP(I481,Střediska!$A$1:$B$40,2,FALSE)</f>
        <v>1061-Elévové</v>
      </c>
      <c r="M481" s="35" t="str">
        <f>VLOOKUP(Zdroj!$I481,Střediska!$A$1:$B$41,2,FALSE)</f>
        <v>Elévové</v>
      </c>
    </row>
    <row r="482" spans="1:13" hidden="1" x14ac:dyDescent="0.2">
      <c r="A482" s="36" t="s">
        <v>536</v>
      </c>
      <c r="B482" s="31" t="s">
        <v>1071</v>
      </c>
      <c r="C482" s="31" t="s">
        <v>64</v>
      </c>
      <c r="D482" s="31"/>
      <c r="E482" s="31" t="s">
        <v>95</v>
      </c>
      <c r="F482" s="31">
        <v>0</v>
      </c>
      <c r="G482" s="31">
        <v>4100</v>
      </c>
      <c r="H482" s="31">
        <f t="shared" si="14"/>
        <v>4100</v>
      </c>
      <c r="I482" s="31">
        <v>1061</v>
      </c>
      <c r="J482" s="31">
        <f t="shared" si="15"/>
        <v>1</v>
      </c>
      <c r="K482" s="31" t="s">
        <v>90</v>
      </c>
      <c r="L482" s="31" t="str">
        <f>I482 &amp; "-" &amp;VLOOKUP(I482,Střediska!$A$1:$B$40,2,FALSE)</f>
        <v>1061-Elévové</v>
      </c>
      <c r="M482" s="32" t="str">
        <f>VLOOKUP(Zdroj!$I482,Střediska!$A$1:$B$41,2,FALSE)</f>
        <v>Elévové</v>
      </c>
    </row>
    <row r="483" spans="1:13" hidden="1" x14ac:dyDescent="0.2">
      <c r="A483" s="33" t="s">
        <v>536</v>
      </c>
      <c r="B483" s="34" t="s">
        <v>1072</v>
      </c>
      <c r="C483" s="34" t="s">
        <v>64</v>
      </c>
      <c r="D483" s="34"/>
      <c r="E483" s="34" t="s">
        <v>1073</v>
      </c>
      <c r="F483" s="34">
        <v>0</v>
      </c>
      <c r="G483" s="34">
        <v>4100</v>
      </c>
      <c r="H483" s="34">
        <f t="shared" si="14"/>
        <v>4100</v>
      </c>
      <c r="I483" s="34">
        <v>1061</v>
      </c>
      <c r="J483" s="34">
        <f t="shared" si="15"/>
        <v>1</v>
      </c>
      <c r="K483" s="34" t="s">
        <v>90</v>
      </c>
      <c r="L483" s="34" t="str">
        <f>I483 &amp; "-" &amp;VLOOKUP(I483,Střediska!$A$1:$B$40,2,FALSE)</f>
        <v>1061-Elévové</v>
      </c>
      <c r="M483" s="35" t="str">
        <f>VLOOKUP(Zdroj!$I483,Střediska!$A$1:$B$41,2,FALSE)</f>
        <v>Elévové</v>
      </c>
    </row>
    <row r="484" spans="1:13" hidden="1" x14ac:dyDescent="0.2">
      <c r="A484" s="36" t="s">
        <v>541</v>
      </c>
      <c r="B484" s="31" t="s">
        <v>1074</v>
      </c>
      <c r="C484" s="31" t="s">
        <v>64</v>
      </c>
      <c r="D484" s="31"/>
      <c r="E484" s="31" t="s">
        <v>1075</v>
      </c>
      <c r="F484" s="31">
        <v>0</v>
      </c>
      <c r="G484" s="31">
        <v>4100</v>
      </c>
      <c r="H484" s="31">
        <f t="shared" si="14"/>
        <v>4100</v>
      </c>
      <c r="I484" s="31">
        <v>1061</v>
      </c>
      <c r="J484" s="31">
        <f t="shared" si="15"/>
        <v>1</v>
      </c>
      <c r="K484" s="31" t="s">
        <v>90</v>
      </c>
      <c r="L484" s="31" t="str">
        <f>I484 &amp; "-" &amp;VLOOKUP(I484,Střediska!$A$1:$B$40,2,FALSE)</f>
        <v>1061-Elévové</v>
      </c>
      <c r="M484" s="32" t="str">
        <f>VLOOKUP(Zdroj!$I484,Střediska!$A$1:$B$41,2,FALSE)</f>
        <v>Elévové</v>
      </c>
    </row>
    <row r="485" spans="1:13" hidden="1" x14ac:dyDescent="0.2">
      <c r="A485" s="33" t="s">
        <v>541</v>
      </c>
      <c r="B485" s="34" t="s">
        <v>1076</v>
      </c>
      <c r="C485" s="34" t="s">
        <v>64</v>
      </c>
      <c r="D485" s="34"/>
      <c r="E485" s="34" t="s">
        <v>1077</v>
      </c>
      <c r="F485" s="34">
        <v>0</v>
      </c>
      <c r="G485" s="34">
        <v>4100</v>
      </c>
      <c r="H485" s="34">
        <f t="shared" si="14"/>
        <v>4100</v>
      </c>
      <c r="I485" s="34">
        <v>1061</v>
      </c>
      <c r="J485" s="34">
        <f t="shared" si="15"/>
        <v>1</v>
      </c>
      <c r="K485" s="34" t="s">
        <v>90</v>
      </c>
      <c r="L485" s="34" t="str">
        <f>I485 &amp; "-" &amp;VLOOKUP(I485,Střediska!$A$1:$B$40,2,FALSE)</f>
        <v>1061-Elévové</v>
      </c>
      <c r="M485" s="35" t="str">
        <f>VLOOKUP(Zdroj!$I485,Střediska!$A$1:$B$41,2,FALSE)</f>
        <v>Elévové</v>
      </c>
    </row>
    <row r="486" spans="1:13" hidden="1" x14ac:dyDescent="0.2">
      <c r="A486" s="36" t="s">
        <v>220</v>
      </c>
      <c r="B486" s="31" t="s">
        <v>1078</v>
      </c>
      <c r="C486" s="31" t="s">
        <v>64</v>
      </c>
      <c r="D486" s="31"/>
      <c r="E486" s="31" t="s">
        <v>1079</v>
      </c>
      <c r="F486" s="31">
        <v>0</v>
      </c>
      <c r="G486" s="31">
        <v>4100</v>
      </c>
      <c r="H486" s="31">
        <f t="shared" si="14"/>
        <v>4100</v>
      </c>
      <c r="I486" s="31">
        <v>1061</v>
      </c>
      <c r="J486" s="31">
        <f t="shared" si="15"/>
        <v>1</v>
      </c>
      <c r="K486" s="31" t="s">
        <v>90</v>
      </c>
      <c r="L486" s="31" t="str">
        <f>I486 &amp; "-" &amp;VLOOKUP(I486,Střediska!$A$1:$B$40,2,FALSE)</f>
        <v>1061-Elévové</v>
      </c>
      <c r="M486" s="32" t="str">
        <f>VLOOKUP(Zdroj!$I486,Střediska!$A$1:$B$41,2,FALSE)</f>
        <v>Elévové</v>
      </c>
    </row>
    <row r="487" spans="1:13" hidden="1" x14ac:dyDescent="0.2">
      <c r="A487" s="33" t="s">
        <v>433</v>
      </c>
      <c r="B487" s="34" t="s">
        <v>1080</v>
      </c>
      <c r="C487" s="34" t="s">
        <v>64</v>
      </c>
      <c r="D487" s="34"/>
      <c r="E487" s="34" t="s">
        <v>1081</v>
      </c>
      <c r="F487" s="34">
        <v>0</v>
      </c>
      <c r="G487" s="34">
        <v>4100</v>
      </c>
      <c r="H487" s="34">
        <f t="shared" si="14"/>
        <v>4100</v>
      </c>
      <c r="I487" s="34">
        <v>1061</v>
      </c>
      <c r="J487" s="34">
        <f t="shared" si="15"/>
        <v>1</v>
      </c>
      <c r="K487" s="34" t="s">
        <v>90</v>
      </c>
      <c r="L487" s="34" t="str">
        <f>I487 &amp; "-" &amp;VLOOKUP(I487,Střediska!$A$1:$B$40,2,FALSE)</f>
        <v>1061-Elévové</v>
      </c>
      <c r="M487" s="35" t="str">
        <f>VLOOKUP(Zdroj!$I487,Střediska!$A$1:$B$41,2,FALSE)</f>
        <v>Elévové</v>
      </c>
    </row>
    <row r="488" spans="1:13" hidden="1" x14ac:dyDescent="0.2">
      <c r="A488" s="36" t="s">
        <v>433</v>
      </c>
      <c r="B488" s="31" t="s">
        <v>1082</v>
      </c>
      <c r="C488" s="31" t="s">
        <v>64</v>
      </c>
      <c r="D488" s="31"/>
      <c r="E488" s="31" t="s">
        <v>1083</v>
      </c>
      <c r="F488" s="31">
        <v>0</v>
      </c>
      <c r="G488" s="31">
        <v>4100</v>
      </c>
      <c r="H488" s="31">
        <f t="shared" si="14"/>
        <v>4100</v>
      </c>
      <c r="I488" s="31">
        <v>1061</v>
      </c>
      <c r="J488" s="31">
        <f t="shared" si="15"/>
        <v>1</v>
      </c>
      <c r="K488" s="31" t="s">
        <v>90</v>
      </c>
      <c r="L488" s="31" t="str">
        <f>I488 &amp; "-" &amp;VLOOKUP(I488,Střediska!$A$1:$B$40,2,FALSE)</f>
        <v>1061-Elévové</v>
      </c>
      <c r="M488" s="32" t="str">
        <f>VLOOKUP(Zdroj!$I488,Střediska!$A$1:$B$41,2,FALSE)</f>
        <v>Elévové</v>
      </c>
    </row>
    <row r="489" spans="1:13" hidden="1" x14ac:dyDescent="0.2">
      <c r="A489" s="33" t="s">
        <v>261</v>
      </c>
      <c r="B489" s="34" t="s">
        <v>1084</v>
      </c>
      <c r="C489" s="34" t="s">
        <v>64</v>
      </c>
      <c r="D489" s="34"/>
      <c r="E489" s="34" t="s">
        <v>1085</v>
      </c>
      <c r="F489" s="34">
        <v>0</v>
      </c>
      <c r="G489" s="34">
        <v>4100</v>
      </c>
      <c r="H489" s="34">
        <f t="shared" si="14"/>
        <v>4100</v>
      </c>
      <c r="I489" s="34">
        <v>1061</v>
      </c>
      <c r="J489" s="34">
        <f t="shared" si="15"/>
        <v>1</v>
      </c>
      <c r="K489" s="34" t="s">
        <v>90</v>
      </c>
      <c r="L489" s="34" t="str">
        <f>I489 &amp; "-" &amp;VLOOKUP(I489,Střediska!$A$1:$B$40,2,FALSE)</f>
        <v>1061-Elévové</v>
      </c>
      <c r="M489" s="35" t="str">
        <f>VLOOKUP(Zdroj!$I489,Střediska!$A$1:$B$41,2,FALSE)</f>
        <v>Elévové</v>
      </c>
    </row>
    <row r="490" spans="1:13" hidden="1" x14ac:dyDescent="0.2">
      <c r="A490" s="36" t="s">
        <v>261</v>
      </c>
      <c r="B490" s="31" t="s">
        <v>1086</v>
      </c>
      <c r="C490" s="31" t="s">
        <v>64</v>
      </c>
      <c r="D490" s="31"/>
      <c r="E490" s="31" t="s">
        <v>1087</v>
      </c>
      <c r="F490" s="31">
        <v>0</v>
      </c>
      <c r="G490" s="31">
        <v>2050</v>
      </c>
      <c r="H490" s="31">
        <f t="shared" si="14"/>
        <v>2050</v>
      </c>
      <c r="I490" s="31">
        <v>1061</v>
      </c>
      <c r="J490" s="31">
        <f t="shared" si="15"/>
        <v>1</v>
      </c>
      <c r="K490" s="31" t="s">
        <v>90</v>
      </c>
      <c r="L490" s="31" t="str">
        <f>I490 &amp; "-" &amp;VLOOKUP(I490,Střediska!$A$1:$B$40,2,FALSE)</f>
        <v>1061-Elévové</v>
      </c>
      <c r="M490" s="32" t="str">
        <f>VLOOKUP(Zdroj!$I490,Střediska!$A$1:$B$41,2,FALSE)</f>
        <v>Elévové</v>
      </c>
    </row>
    <row r="491" spans="1:13" hidden="1" x14ac:dyDescent="0.2">
      <c r="A491" s="33" t="s">
        <v>709</v>
      </c>
      <c r="B491" s="34" t="s">
        <v>1088</v>
      </c>
      <c r="C491" s="34" t="s">
        <v>64</v>
      </c>
      <c r="D491" s="34"/>
      <c r="E491" s="34" t="s">
        <v>1089</v>
      </c>
      <c r="F491" s="34">
        <v>0</v>
      </c>
      <c r="G491" s="34">
        <v>2050</v>
      </c>
      <c r="H491" s="34">
        <f t="shared" si="14"/>
        <v>2050</v>
      </c>
      <c r="I491" s="34">
        <v>1061</v>
      </c>
      <c r="J491" s="34">
        <f t="shared" si="15"/>
        <v>1</v>
      </c>
      <c r="K491" s="34" t="s">
        <v>90</v>
      </c>
      <c r="L491" s="34" t="str">
        <f>I491 &amp; "-" &amp;VLOOKUP(I491,Střediska!$A$1:$B$40,2,FALSE)</f>
        <v>1061-Elévové</v>
      </c>
      <c r="M491" s="35" t="str">
        <f>VLOOKUP(Zdroj!$I491,Střediska!$A$1:$B$41,2,FALSE)</f>
        <v>Elévové</v>
      </c>
    </row>
    <row r="492" spans="1:13" hidden="1" x14ac:dyDescent="0.2">
      <c r="A492" s="36" t="s">
        <v>709</v>
      </c>
      <c r="B492" s="31" t="s">
        <v>1090</v>
      </c>
      <c r="C492" s="31" t="s">
        <v>64</v>
      </c>
      <c r="D492" s="31"/>
      <c r="E492" s="31" t="s">
        <v>1091</v>
      </c>
      <c r="F492" s="31">
        <v>0</v>
      </c>
      <c r="G492" s="31">
        <v>4100</v>
      </c>
      <c r="H492" s="31">
        <f t="shared" si="14"/>
        <v>4100</v>
      </c>
      <c r="I492" s="31">
        <v>1061</v>
      </c>
      <c r="J492" s="31">
        <f t="shared" si="15"/>
        <v>1</v>
      </c>
      <c r="K492" s="31" t="s">
        <v>90</v>
      </c>
      <c r="L492" s="31" t="str">
        <f>I492 &amp; "-" &amp;VLOOKUP(I492,Střediska!$A$1:$B$40,2,FALSE)</f>
        <v>1061-Elévové</v>
      </c>
      <c r="M492" s="32" t="str">
        <f>VLOOKUP(Zdroj!$I492,Střediska!$A$1:$B$41,2,FALSE)</f>
        <v>Elévové</v>
      </c>
    </row>
    <row r="493" spans="1:13" hidden="1" x14ac:dyDescent="0.2">
      <c r="A493" s="33" t="s">
        <v>264</v>
      </c>
      <c r="B493" s="34" t="s">
        <v>1092</v>
      </c>
      <c r="C493" s="34" t="s">
        <v>64</v>
      </c>
      <c r="D493" s="34"/>
      <c r="E493" s="34" t="s">
        <v>1093</v>
      </c>
      <c r="F493" s="34">
        <v>0</v>
      </c>
      <c r="G493" s="34">
        <v>4100</v>
      </c>
      <c r="H493" s="34">
        <f t="shared" si="14"/>
        <v>4100</v>
      </c>
      <c r="I493" s="34">
        <v>1061</v>
      </c>
      <c r="J493" s="34">
        <f t="shared" si="15"/>
        <v>1</v>
      </c>
      <c r="K493" s="34" t="s">
        <v>90</v>
      </c>
      <c r="L493" s="34" t="str">
        <f>I493 &amp; "-" &amp;VLOOKUP(I493,Střediska!$A$1:$B$40,2,FALSE)</f>
        <v>1061-Elévové</v>
      </c>
      <c r="M493" s="35" t="str">
        <f>VLOOKUP(Zdroj!$I493,Střediska!$A$1:$B$41,2,FALSE)</f>
        <v>Elévové</v>
      </c>
    </row>
    <row r="494" spans="1:13" hidden="1" x14ac:dyDescent="0.2">
      <c r="A494" s="36" t="s">
        <v>264</v>
      </c>
      <c r="B494" s="31" t="s">
        <v>1094</v>
      </c>
      <c r="C494" s="31" t="s">
        <v>64</v>
      </c>
      <c r="D494" s="31"/>
      <c r="E494" s="31" t="s">
        <v>1095</v>
      </c>
      <c r="F494" s="31">
        <v>0</v>
      </c>
      <c r="G494" s="31">
        <v>2050</v>
      </c>
      <c r="H494" s="31">
        <f t="shared" si="14"/>
        <v>2050</v>
      </c>
      <c r="I494" s="31">
        <v>1061</v>
      </c>
      <c r="J494" s="31">
        <f t="shared" si="15"/>
        <v>1</v>
      </c>
      <c r="K494" s="31" t="s">
        <v>90</v>
      </c>
      <c r="L494" s="31" t="str">
        <f>I494 &amp; "-" &amp;VLOOKUP(I494,Střediska!$A$1:$B$40,2,FALSE)</f>
        <v>1061-Elévové</v>
      </c>
      <c r="M494" s="32" t="str">
        <f>VLOOKUP(Zdroj!$I494,Střediska!$A$1:$B$41,2,FALSE)</f>
        <v>Elévové</v>
      </c>
    </row>
    <row r="495" spans="1:13" hidden="1" x14ac:dyDescent="0.2">
      <c r="A495" s="33" t="s">
        <v>49</v>
      </c>
      <c r="B495" s="34" t="s">
        <v>91</v>
      </c>
      <c r="C495" s="34" t="s">
        <v>19</v>
      </c>
      <c r="D495" s="34"/>
      <c r="E495" s="34" t="s">
        <v>93</v>
      </c>
      <c r="F495" s="34">
        <v>0</v>
      </c>
      <c r="G495" s="34">
        <v>21943.14</v>
      </c>
      <c r="H495" s="34">
        <f t="shared" si="14"/>
        <v>21943.14</v>
      </c>
      <c r="I495" s="34">
        <v>1061</v>
      </c>
      <c r="J495" s="34">
        <f t="shared" si="15"/>
        <v>1</v>
      </c>
      <c r="K495" s="34" t="s">
        <v>90</v>
      </c>
      <c r="L495" s="34" t="str">
        <f>I495 &amp; "-" &amp;VLOOKUP(I495,Střediska!$A$1:$B$40,2,FALSE)</f>
        <v>1061-Elévové</v>
      </c>
      <c r="M495" s="35" t="str">
        <f>VLOOKUP(Zdroj!$I495,Střediska!$A$1:$B$41,2,FALSE)</f>
        <v>Elévové</v>
      </c>
    </row>
    <row r="496" spans="1:13" hidden="1" x14ac:dyDescent="0.2">
      <c r="A496" s="36" t="s">
        <v>49</v>
      </c>
      <c r="B496" s="31" t="s">
        <v>1096</v>
      </c>
      <c r="C496" s="31" t="s">
        <v>64</v>
      </c>
      <c r="D496" s="31"/>
      <c r="E496" s="31" t="s">
        <v>1097</v>
      </c>
      <c r="F496" s="31">
        <v>0</v>
      </c>
      <c r="G496" s="31">
        <v>4100</v>
      </c>
      <c r="H496" s="31">
        <f t="shared" si="14"/>
        <v>4100</v>
      </c>
      <c r="I496" s="31">
        <v>1061</v>
      </c>
      <c r="J496" s="31">
        <f t="shared" si="15"/>
        <v>1</v>
      </c>
      <c r="K496" s="31" t="s">
        <v>90</v>
      </c>
      <c r="L496" s="31" t="str">
        <f>I496 &amp; "-" &amp;VLOOKUP(I496,Střediska!$A$1:$B$40,2,FALSE)</f>
        <v>1061-Elévové</v>
      </c>
      <c r="M496" s="32" t="str">
        <f>VLOOKUP(Zdroj!$I496,Střediska!$A$1:$B$41,2,FALSE)</f>
        <v>Elévové</v>
      </c>
    </row>
    <row r="497" spans="1:13" hidden="1" x14ac:dyDescent="0.2">
      <c r="A497" s="33" t="s">
        <v>49</v>
      </c>
      <c r="B497" s="34" t="s">
        <v>1098</v>
      </c>
      <c r="C497" s="34" t="s">
        <v>64</v>
      </c>
      <c r="D497" s="34"/>
      <c r="E497" s="34" t="s">
        <v>1099</v>
      </c>
      <c r="F497" s="34">
        <v>0</v>
      </c>
      <c r="G497" s="34">
        <v>2050</v>
      </c>
      <c r="H497" s="34">
        <f t="shared" si="14"/>
        <v>2050</v>
      </c>
      <c r="I497" s="34">
        <v>1061</v>
      </c>
      <c r="J497" s="34">
        <f t="shared" si="15"/>
        <v>1</v>
      </c>
      <c r="K497" s="34" t="s">
        <v>90</v>
      </c>
      <c r="L497" s="34" t="str">
        <f>I497 &amp; "-" &amp;VLOOKUP(I497,Střediska!$A$1:$B$40,2,FALSE)</f>
        <v>1061-Elévové</v>
      </c>
      <c r="M497" s="35" t="str">
        <f>VLOOKUP(Zdroj!$I497,Střediska!$A$1:$B$41,2,FALSE)</f>
        <v>Elévové</v>
      </c>
    </row>
    <row r="498" spans="1:13" hidden="1" x14ac:dyDescent="0.2">
      <c r="A498" s="36" t="s">
        <v>944</v>
      </c>
      <c r="B498" s="31" t="s">
        <v>1100</v>
      </c>
      <c r="C498" s="31" t="s">
        <v>64</v>
      </c>
      <c r="D498" s="31"/>
      <c r="E498" s="31" t="s">
        <v>1101</v>
      </c>
      <c r="F498" s="31">
        <v>0</v>
      </c>
      <c r="G498" s="31">
        <v>2050</v>
      </c>
      <c r="H498" s="31">
        <f t="shared" si="14"/>
        <v>2050</v>
      </c>
      <c r="I498" s="31">
        <v>1061</v>
      </c>
      <c r="J498" s="31">
        <f t="shared" si="15"/>
        <v>1</v>
      </c>
      <c r="K498" s="31" t="s">
        <v>90</v>
      </c>
      <c r="L498" s="31" t="str">
        <f>I498 &amp; "-" &amp;VLOOKUP(I498,Střediska!$A$1:$B$40,2,FALSE)</f>
        <v>1061-Elévové</v>
      </c>
      <c r="M498" s="32" t="str">
        <f>VLOOKUP(Zdroj!$I498,Střediska!$A$1:$B$41,2,FALSE)</f>
        <v>Elévové</v>
      </c>
    </row>
    <row r="499" spans="1:13" hidden="1" x14ac:dyDescent="0.2">
      <c r="A499" s="33" t="s">
        <v>792</v>
      </c>
      <c r="B499" s="34" t="s">
        <v>1102</v>
      </c>
      <c r="C499" s="34" t="s">
        <v>64</v>
      </c>
      <c r="D499" s="34"/>
      <c r="E499" s="34" t="s">
        <v>95</v>
      </c>
      <c r="F499" s="34">
        <v>0</v>
      </c>
      <c r="G499" s="34">
        <v>2050</v>
      </c>
      <c r="H499" s="34">
        <f t="shared" si="14"/>
        <v>2050</v>
      </c>
      <c r="I499" s="34">
        <v>1061</v>
      </c>
      <c r="J499" s="34">
        <f t="shared" si="15"/>
        <v>1</v>
      </c>
      <c r="K499" s="34" t="s">
        <v>90</v>
      </c>
      <c r="L499" s="34" t="str">
        <f>I499 &amp; "-" &amp;VLOOKUP(I499,Střediska!$A$1:$B$40,2,FALSE)</f>
        <v>1061-Elévové</v>
      </c>
      <c r="M499" s="35" t="str">
        <f>VLOOKUP(Zdroj!$I499,Střediska!$A$1:$B$41,2,FALSE)</f>
        <v>Elévové</v>
      </c>
    </row>
    <row r="500" spans="1:13" hidden="1" x14ac:dyDescent="0.2">
      <c r="A500" s="36" t="s">
        <v>270</v>
      </c>
      <c r="B500" s="31" t="s">
        <v>1103</v>
      </c>
      <c r="C500" s="31" t="s">
        <v>64</v>
      </c>
      <c r="D500" s="31"/>
      <c r="E500" s="31" t="s">
        <v>1104</v>
      </c>
      <c r="F500" s="31">
        <v>0</v>
      </c>
      <c r="G500" s="31">
        <v>2050</v>
      </c>
      <c r="H500" s="31">
        <f t="shared" si="14"/>
        <v>2050</v>
      </c>
      <c r="I500" s="31">
        <v>1061</v>
      </c>
      <c r="J500" s="31">
        <f t="shared" si="15"/>
        <v>1</v>
      </c>
      <c r="K500" s="31" t="s">
        <v>90</v>
      </c>
      <c r="L500" s="31" t="str">
        <f>I500 &amp; "-" &amp;VLOOKUP(I500,Střediska!$A$1:$B$40,2,FALSE)</f>
        <v>1061-Elévové</v>
      </c>
      <c r="M500" s="32" t="str">
        <f>VLOOKUP(Zdroj!$I500,Střediska!$A$1:$B$41,2,FALSE)</f>
        <v>Elévové</v>
      </c>
    </row>
    <row r="501" spans="1:13" hidden="1" x14ac:dyDescent="0.2">
      <c r="A501" s="33" t="s">
        <v>455</v>
      </c>
      <c r="B501" s="34" t="s">
        <v>1105</v>
      </c>
      <c r="C501" s="34" t="s">
        <v>64</v>
      </c>
      <c r="D501" s="34"/>
      <c r="E501" s="34" t="s">
        <v>1106</v>
      </c>
      <c r="F501" s="34">
        <v>0</v>
      </c>
      <c r="G501" s="34">
        <v>4100</v>
      </c>
      <c r="H501" s="34">
        <f t="shared" si="14"/>
        <v>4100</v>
      </c>
      <c r="I501" s="34">
        <v>1061</v>
      </c>
      <c r="J501" s="34">
        <f t="shared" si="15"/>
        <v>1</v>
      </c>
      <c r="K501" s="34" t="s">
        <v>90</v>
      </c>
      <c r="L501" s="34" t="str">
        <f>I501 &amp; "-" &amp;VLOOKUP(I501,Střediska!$A$1:$B$40,2,FALSE)</f>
        <v>1061-Elévové</v>
      </c>
      <c r="M501" s="35" t="str">
        <f>VLOOKUP(Zdroj!$I501,Střediska!$A$1:$B$41,2,FALSE)</f>
        <v>Elévové</v>
      </c>
    </row>
    <row r="502" spans="1:13" hidden="1" x14ac:dyDescent="0.2">
      <c r="A502" s="36" t="s">
        <v>20</v>
      </c>
      <c r="B502" s="31" t="s">
        <v>338</v>
      </c>
      <c r="C502" s="31" t="s">
        <v>19</v>
      </c>
      <c r="D502" s="31"/>
      <c r="E502" s="31" t="s">
        <v>339</v>
      </c>
      <c r="F502" s="31">
        <v>0</v>
      </c>
      <c r="G502" s="31">
        <v>-20352.609999999997</v>
      </c>
      <c r="H502" s="31">
        <f t="shared" si="14"/>
        <v>-20352.609999999997</v>
      </c>
      <c r="I502" s="31">
        <v>1061</v>
      </c>
      <c r="J502" s="31">
        <f t="shared" si="15"/>
        <v>1</v>
      </c>
      <c r="K502" s="31" t="s">
        <v>90</v>
      </c>
      <c r="L502" s="31" t="str">
        <f>I502 &amp; "-" &amp;VLOOKUP(I502,Střediska!$A$1:$B$40,2,FALSE)</f>
        <v>1061-Elévové</v>
      </c>
      <c r="M502" s="32" t="str">
        <f>VLOOKUP(Zdroj!$I502,Střediska!$A$1:$B$41,2,FALSE)</f>
        <v>Elévové</v>
      </c>
    </row>
    <row r="503" spans="1:13" hidden="1" x14ac:dyDescent="0.2">
      <c r="A503" s="33" t="s">
        <v>1111</v>
      </c>
      <c r="B503" s="34" t="s">
        <v>1109</v>
      </c>
      <c r="C503" s="34" t="s">
        <v>106</v>
      </c>
      <c r="D503" s="34" t="s">
        <v>1110</v>
      </c>
      <c r="E503" s="34" t="s">
        <v>1112</v>
      </c>
      <c r="F503" s="34">
        <v>2500</v>
      </c>
      <c r="G503" s="34">
        <v>0</v>
      </c>
      <c r="H503" s="34">
        <f t="shared" si="14"/>
        <v>-2500</v>
      </c>
      <c r="I503" s="34">
        <v>1071</v>
      </c>
      <c r="J503" s="34">
        <f t="shared" si="15"/>
        <v>1</v>
      </c>
      <c r="K503" s="34" t="s">
        <v>148</v>
      </c>
      <c r="L503" s="34" t="str">
        <f>I503 &amp; "-" &amp;VLOOKUP(I503,Střediska!$A$1:$B$40,2,FALSE)</f>
        <v>1071-Přípravka</v>
      </c>
      <c r="M503" s="35" t="str">
        <f>VLOOKUP(Zdroj!$I503,Střediska!$A$1:$B$41,2,FALSE)</f>
        <v>Přípravka</v>
      </c>
    </row>
    <row r="504" spans="1:13" hidden="1" x14ac:dyDescent="0.2">
      <c r="A504" s="36" t="s">
        <v>20</v>
      </c>
      <c r="B504" s="31" t="s">
        <v>18</v>
      </c>
      <c r="C504" s="31" t="s">
        <v>19</v>
      </c>
      <c r="D504" s="31"/>
      <c r="E504" s="31" t="s">
        <v>21</v>
      </c>
      <c r="F504" s="31">
        <v>72401.670000000013</v>
      </c>
      <c r="G504" s="31">
        <v>0</v>
      </c>
      <c r="H504" s="31">
        <f t="shared" si="14"/>
        <v>-72401.670000000013</v>
      </c>
      <c r="I504" s="31">
        <v>1071</v>
      </c>
      <c r="J504" s="31">
        <f t="shared" si="15"/>
        <v>1</v>
      </c>
      <c r="K504" s="31" t="s">
        <v>17</v>
      </c>
      <c r="L504" s="31" t="str">
        <f>I504 &amp; "-" &amp;VLOOKUP(I504,Střediska!$A$1:$B$40,2,FALSE)</f>
        <v>1071-Přípravka</v>
      </c>
      <c r="M504" s="32" t="str">
        <f>VLOOKUP(Zdroj!$I504,Střediska!$A$1:$B$41,2,FALSE)</f>
        <v>Přípravka</v>
      </c>
    </row>
    <row r="505" spans="1:13" hidden="1" x14ac:dyDescent="0.2">
      <c r="A505" s="33" t="s">
        <v>188</v>
      </c>
      <c r="B505" s="34" t="s">
        <v>1113</v>
      </c>
      <c r="C505" s="34" t="s">
        <v>19</v>
      </c>
      <c r="D505" s="34"/>
      <c r="E505" s="34" t="s">
        <v>1114</v>
      </c>
      <c r="F505" s="34">
        <v>1398</v>
      </c>
      <c r="G505" s="34">
        <v>0</v>
      </c>
      <c r="H505" s="34">
        <f t="shared" si="14"/>
        <v>-1398</v>
      </c>
      <c r="I505" s="34">
        <v>1071</v>
      </c>
      <c r="J505" s="34">
        <f t="shared" si="15"/>
        <v>1</v>
      </c>
      <c r="K505" s="34" t="s">
        <v>179</v>
      </c>
      <c r="L505" s="34" t="str">
        <f>I505 &amp; "-" &amp;VLOOKUP(I505,Střediska!$A$1:$B$40,2,FALSE)</f>
        <v>1071-Přípravka</v>
      </c>
      <c r="M505" s="35" t="str">
        <f>VLOOKUP(Zdroj!$I505,Střediska!$A$1:$B$41,2,FALSE)</f>
        <v>Přípravka</v>
      </c>
    </row>
    <row r="506" spans="1:13" hidden="1" x14ac:dyDescent="0.2">
      <c r="A506" s="36" t="s">
        <v>1116</v>
      </c>
      <c r="B506" s="31" t="s">
        <v>1115</v>
      </c>
      <c r="C506" s="31" t="s">
        <v>19</v>
      </c>
      <c r="D506" s="31"/>
      <c r="E506" s="31" t="s">
        <v>1114</v>
      </c>
      <c r="F506" s="31">
        <v>1599</v>
      </c>
      <c r="G506" s="31">
        <v>0</v>
      </c>
      <c r="H506" s="31">
        <f t="shared" si="14"/>
        <v>-1599</v>
      </c>
      <c r="I506" s="31">
        <v>1071</v>
      </c>
      <c r="J506" s="31">
        <f t="shared" si="15"/>
        <v>1</v>
      </c>
      <c r="K506" s="31" t="s">
        <v>179</v>
      </c>
      <c r="L506" s="31" t="str">
        <f>I506 &amp; "-" &amp;VLOOKUP(I506,Střediska!$A$1:$B$40,2,FALSE)</f>
        <v>1071-Přípravka</v>
      </c>
      <c r="M506" s="32" t="str">
        <f>VLOOKUP(Zdroj!$I506,Střediska!$A$1:$B$41,2,FALSE)</f>
        <v>Přípravka</v>
      </c>
    </row>
    <row r="507" spans="1:13" hidden="1" x14ac:dyDescent="0.2">
      <c r="A507" s="33" t="s">
        <v>20</v>
      </c>
      <c r="B507" s="34" t="s">
        <v>59</v>
      </c>
      <c r="C507" s="34" t="s">
        <v>19</v>
      </c>
      <c r="D507" s="34"/>
      <c r="E507" s="34" t="s">
        <v>60</v>
      </c>
      <c r="F507" s="34">
        <v>29930</v>
      </c>
      <c r="G507" s="34">
        <v>0</v>
      </c>
      <c r="H507" s="34">
        <f t="shared" si="14"/>
        <v>-29930</v>
      </c>
      <c r="I507" s="34">
        <v>1071</v>
      </c>
      <c r="J507" s="34">
        <f t="shared" si="15"/>
        <v>1</v>
      </c>
      <c r="K507" s="34" t="s">
        <v>23</v>
      </c>
      <c r="L507" s="34" t="str">
        <f>I507 &amp; "-" &amp;VLOOKUP(I507,Střediska!$A$1:$B$40,2,FALSE)</f>
        <v>1071-Přípravka</v>
      </c>
      <c r="M507" s="35" t="str">
        <f>VLOOKUP(Zdroj!$I507,Střediska!$A$1:$B$41,2,FALSE)</f>
        <v>Přípravka</v>
      </c>
    </row>
    <row r="508" spans="1:13" hidden="1" x14ac:dyDescent="0.2">
      <c r="A508" s="36" t="s">
        <v>37</v>
      </c>
      <c r="B508" s="31" t="s">
        <v>982</v>
      </c>
      <c r="C508" s="31" t="s">
        <v>19</v>
      </c>
      <c r="D508" s="31"/>
      <c r="E508" s="31" t="s">
        <v>983</v>
      </c>
      <c r="F508" s="31">
        <v>0</v>
      </c>
      <c r="G508" s="31">
        <v>54100</v>
      </c>
      <c r="H508" s="31">
        <f t="shared" si="14"/>
        <v>54100</v>
      </c>
      <c r="I508" s="31">
        <v>1071</v>
      </c>
      <c r="J508" s="31">
        <f t="shared" si="15"/>
        <v>1</v>
      </c>
      <c r="K508" s="31" t="s">
        <v>246</v>
      </c>
      <c r="L508" s="31" t="str">
        <f>I508 &amp; "-" &amp;VLOOKUP(I508,Střediska!$A$1:$B$40,2,FALSE)</f>
        <v>1071-Přípravka</v>
      </c>
      <c r="M508" s="32" t="str">
        <f>VLOOKUP(Zdroj!$I508,Střediska!$A$1:$B$41,2,FALSE)</f>
        <v>Přípravka</v>
      </c>
    </row>
    <row r="509" spans="1:13" hidden="1" x14ac:dyDescent="0.2">
      <c r="A509" s="33" t="s">
        <v>623</v>
      </c>
      <c r="B509" s="34" t="s">
        <v>1117</v>
      </c>
      <c r="C509" s="34" t="s">
        <v>64</v>
      </c>
      <c r="D509" s="34"/>
      <c r="E509" s="34" t="s">
        <v>1118</v>
      </c>
      <c r="F509" s="34">
        <v>0</v>
      </c>
      <c r="G509" s="34">
        <v>4000</v>
      </c>
      <c r="H509" s="34">
        <f t="shared" si="14"/>
        <v>4000</v>
      </c>
      <c r="I509" s="34">
        <v>1071</v>
      </c>
      <c r="J509" s="34">
        <f t="shared" si="15"/>
        <v>1</v>
      </c>
      <c r="K509" s="34" t="s">
        <v>90</v>
      </c>
      <c r="L509" s="34" t="str">
        <f>I509 &amp; "-" &amp;VLOOKUP(I509,Střediska!$A$1:$B$40,2,FALSE)</f>
        <v>1071-Přípravka</v>
      </c>
      <c r="M509" s="35" t="str">
        <f>VLOOKUP(Zdroj!$I509,Střediska!$A$1:$B$41,2,FALSE)</f>
        <v>Přípravka</v>
      </c>
    </row>
    <row r="510" spans="1:13" hidden="1" x14ac:dyDescent="0.2">
      <c r="A510" s="36" t="s">
        <v>399</v>
      </c>
      <c r="B510" s="31" t="s">
        <v>1119</v>
      </c>
      <c r="C510" s="31" t="s">
        <v>64</v>
      </c>
      <c r="D510" s="31"/>
      <c r="E510" s="31" t="s">
        <v>1120</v>
      </c>
      <c r="F510" s="31">
        <v>0</v>
      </c>
      <c r="G510" s="31">
        <v>2000</v>
      </c>
      <c r="H510" s="31">
        <f t="shared" si="14"/>
        <v>2000</v>
      </c>
      <c r="I510" s="31">
        <v>1071</v>
      </c>
      <c r="J510" s="31">
        <f t="shared" si="15"/>
        <v>1</v>
      </c>
      <c r="K510" s="31" t="s">
        <v>90</v>
      </c>
      <c r="L510" s="31" t="str">
        <f>I510 &amp; "-" &amp;VLOOKUP(I510,Střediska!$A$1:$B$40,2,FALSE)</f>
        <v>1071-Přípravka</v>
      </c>
      <c r="M510" s="32" t="str">
        <f>VLOOKUP(Zdroj!$I510,Střediska!$A$1:$B$41,2,FALSE)</f>
        <v>Přípravka</v>
      </c>
    </row>
    <row r="511" spans="1:13" hidden="1" x14ac:dyDescent="0.2">
      <c r="A511" s="33" t="s">
        <v>399</v>
      </c>
      <c r="B511" s="34" t="s">
        <v>1121</v>
      </c>
      <c r="C511" s="34" t="s">
        <v>64</v>
      </c>
      <c r="D511" s="34"/>
      <c r="E511" s="34" t="s">
        <v>1122</v>
      </c>
      <c r="F511" s="34">
        <v>0</v>
      </c>
      <c r="G511" s="34">
        <v>4000</v>
      </c>
      <c r="H511" s="34">
        <f t="shared" si="14"/>
        <v>4000</v>
      </c>
      <c r="I511" s="34">
        <v>1071</v>
      </c>
      <c r="J511" s="34">
        <f t="shared" si="15"/>
        <v>1</v>
      </c>
      <c r="K511" s="34" t="s">
        <v>90</v>
      </c>
      <c r="L511" s="34" t="str">
        <f>I511 &amp; "-" &amp;VLOOKUP(I511,Střediska!$A$1:$B$40,2,FALSE)</f>
        <v>1071-Přípravka</v>
      </c>
      <c r="M511" s="35" t="str">
        <f>VLOOKUP(Zdroj!$I511,Střediska!$A$1:$B$41,2,FALSE)</f>
        <v>Přípravka</v>
      </c>
    </row>
    <row r="512" spans="1:13" hidden="1" x14ac:dyDescent="0.2">
      <c r="A512" s="36" t="s">
        <v>635</v>
      </c>
      <c r="B512" s="31" t="s">
        <v>1123</v>
      </c>
      <c r="C512" s="31" t="s">
        <v>64</v>
      </c>
      <c r="D512" s="31"/>
      <c r="E512" s="31" t="s">
        <v>95</v>
      </c>
      <c r="F512" s="31">
        <v>0</v>
      </c>
      <c r="G512" s="31">
        <v>4000</v>
      </c>
      <c r="H512" s="31">
        <f t="shared" si="14"/>
        <v>4000</v>
      </c>
      <c r="I512" s="31">
        <v>1071</v>
      </c>
      <c r="J512" s="31">
        <f t="shared" si="15"/>
        <v>1</v>
      </c>
      <c r="K512" s="31" t="s">
        <v>90</v>
      </c>
      <c r="L512" s="31" t="str">
        <f>I512 &amp; "-" &amp;VLOOKUP(I512,Střediska!$A$1:$B$40,2,FALSE)</f>
        <v>1071-Přípravka</v>
      </c>
      <c r="M512" s="32" t="str">
        <f>VLOOKUP(Zdroj!$I512,Střediska!$A$1:$B$41,2,FALSE)</f>
        <v>Přípravka</v>
      </c>
    </row>
    <row r="513" spans="1:13" hidden="1" x14ac:dyDescent="0.2">
      <c r="A513" s="33" t="s">
        <v>635</v>
      </c>
      <c r="B513" s="34" t="s">
        <v>1124</v>
      </c>
      <c r="C513" s="34" t="s">
        <v>64</v>
      </c>
      <c r="D513" s="34"/>
      <c r="E513" s="34" t="s">
        <v>1125</v>
      </c>
      <c r="F513" s="34">
        <v>0</v>
      </c>
      <c r="G513" s="34">
        <v>4000</v>
      </c>
      <c r="H513" s="34">
        <f t="shared" si="14"/>
        <v>4000</v>
      </c>
      <c r="I513" s="34">
        <v>1071</v>
      </c>
      <c r="J513" s="34">
        <f t="shared" si="15"/>
        <v>1</v>
      </c>
      <c r="K513" s="34" t="s">
        <v>90</v>
      </c>
      <c r="L513" s="34" t="str">
        <f>I513 &amp; "-" &amp;VLOOKUP(I513,Střediska!$A$1:$B$40,2,FALSE)</f>
        <v>1071-Přípravka</v>
      </c>
      <c r="M513" s="35" t="str">
        <f>VLOOKUP(Zdroj!$I513,Střediska!$A$1:$B$41,2,FALSE)</f>
        <v>Přípravka</v>
      </c>
    </row>
    <row r="514" spans="1:13" hidden="1" x14ac:dyDescent="0.2">
      <c r="A514" s="36" t="s">
        <v>635</v>
      </c>
      <c r="B514" s="31" t="s">
        <v>1126</v>
      </c>
      <c r="C514" s="31" t="s">
        <v>64</v>
      </c>
      <c r="D514" s="31"/>
      <c r="E514" s="31" t="s">
        <v>1127</v>
      </c>
      <c r="F514" s="31">
        <v>0</v>
      </c>
      <c r="G514" s="31">
        <v>4000</v>
      </c>
      <c r="H514" s="31">
        <f t="shared" ref="H514:H577" si="16">-F514+G514</f>
        <v>4000</v>
      </c>
      <c r="I514" s="31">
        <v>1071</v>
      </c>
      <c r="J514" s="31">
        <f t="shared" ref="J514:J577" si="17">VALUE(LEFT(I514,1))</f>
        <v>1</v>
      </c>
      <c r="K514" s="31" t="s">
        <v>90</v>
      </c>
      <c r="L514" s="31" t="str">
        <f>I514 &amp; "-" &amp;VLOOKUP(I514,Střediska!$A$1:$B$40,2,FALSE)</f>
        <v>1071-Přípravka</v>
      </c>
      <c r="M514" s="32" t="str">
        <f>VLOOKUP(Zdroj!$I514,Střediska!$A$1:$B$41,2,FALSE)</f>
        <v>Přípravka</v>
      </c>
    </row>
    <row r="515" spans="1:13" hidden="1" x14ac:dyDescent="0.2">
      <c r="A515" s="33" t="s">
        <v>811</v>
      </c>
      <c r="B515" s="34" t="s">
        <v>1128</v>
      </c>
      <c r="C515" s="34" t="s">
        <v>64</v>
      </c>
      <c r="D515" s="34"/>
      <c r="E515" s="34" t="s">
        <v>1129</v>
      </c>
      <c r="F515" s="34">
        <v>0</v>
      </c>
      <c r="G515" s="34">
        <v>4000</v>
      </c>
      <c r="H515" s="34">
        <f t="shared" si="16"/>
        <v>4000</v>
      </c>
      <c r="I515" s="34">
        <v>1071</v>
      </c>
      <c r="J515" s="34">
        <f t="shared" si="17"/>
        <v>1</v>
      </c>
      <c r="K515" s="34" t="s">
        <v>90</v>
      </c>
      <c r="L515" s="34" t="str">
        <f>I515 &amp; "-" &amp;VLOOKUP(I515,Střediska!$A$1:$B$40,2,FALSE)</f>
        <v>1071-Přípravka</v>
      </c>
      <c r="M515" s="35" t="str">
        <f>VLOOKUP(Zdroj!$I515,Střediska!$A$1:$B$41,2,FALSE)</f>
        <v>Přípravka</v>
      </c>
    </row>
    <row r="516" spans="1:13" hidden="1" x14ac:dyDescent="0.2">
      <c r="A516" s="36" t="s">
        <v>640</v>
      </c>
      <c r="B516" s="31" t="s">
        <v>1130</v>
      </c>
      <c r="C516" s="31" t="s">
        <v>64</v>
      </c>
      <c r="D516" s="31"/>
      <c r="E516" s="31" t="s">
        <v>1131</v>
      </c>
      <c r="F516" s="31">
        <v>0</v>
      </c>
      <c r="G516" s="31">
        <v>2000</v>
      </c>
      <c r="H516" s="31">
        <f t="shared" si="16"/>
        <v>2000</v>
      </c>
      <c r="I516" s="31">
        <v>1071</v>
      </c>
      <c r="J516" s="31">
        <f t="shared" si="17"/>
        <v>1</v>
      </c>
      <c r="K516" s="31" t="s">
        <v>90</v>
      </c>
      <c r="L516" s="31" t="str">
        <f>I516 &amp; "-" &amp;VLOOKUP(I516,Střediska!$A$1:$B$40,2,FALSE)</f>
        <v>1071-Přípravka</v>
      </c>
      <c r="M516" s="32" t="str">
        <f>VLOOKUP(Zdroj!$I516,Střediska!$A$1:$B$41,2,FALSE)</f>
        <v>Přípravka</v>
      </c>
    </row>
    <row r="517" spans="1:13" hidden="1" x14ac:dyDescent="0.2">
      <c r="A517" s="33" t="s">
        <v>646</v>
      </c>
      <c r="B517" s="34" t="s">
        <v>1132</v>
      </c>
      <c r="C517" s="34" t="s">
        <v>64</v>
      </c>
      <c r="D517" s="34"/>
      <c r="E517" s="34" t="s">
        <v>1133</v>
      </c>
      <c r="F517" s="34">
        <v>0</v>
      </c>
      <c r="G517" s="34">
        <v>2000</v>
      </c>
      <c r="H517" s="34">
        <f t="shared" si="16"/>
        <v>2000</v>
      </c>
      <c r="I517" s="34">
        <v>1071</v>
      </c>
      <c r="J517" s="34">
        <f t="shared" si="17"/>
        <v>1</v>
      </c>
      <c r="K517" s="34" t="s">
        <v>90</v>
      </c>
      <c r="L517" s="34" t="str">
        <f>I517 &amp; "-" &amp;VLOOKUP(I517,Střediska!$A$1:$B$40,2,FALSE)</f>
        <v>1071-Přípravka</v>
      </c>
      <c r="M517" s="35" t="str">
        <f>VLOOKUP(Zdroj!$I517,Střediska!$A$1:$B$41,2,FALSE)</f>
        <v>Přípravka</v>
      </c>
    </row>
    <row r="518" spans="1:13" hidden="1" x14ac:dyDescent="0.2">
      <c r="A518" s="36" t="s">
        <v>651</v>
      </c>
      <c r="B518" s="31" t="s">
        <v>1134</v>
      </c>
      <c r="C518" s="31" t="s">
        <v>64</v>
      </c>
      <c r="D518" s="31"/>
      <c r="E518" s="31" t="s">
        <v>1135</v>
      </c>
      <c r="F518" s="31">
        <v>0</v>
      </c>
      <c r="G518" s="31">
        <v>4000</v>
      </c>
      <c r="H518" s="31">
        <f t="shared" si="16"/>
        <v>4000</v>
      </c>
      <c r="I518" s="31">
        <v>1071</v>
      </c>
      <c r="J518" s="31">
        <f t="shared" si="17"/>
        <v>1</v>
      </c>
      <c r="K518" s="31" t="s">
        <v>90</v>
      </c>
      <c r="L518" s="31" t="str">
        <f>I518 &amp; "-" &amp;VLOOKUP(I518,Střediska!$A$1:$B$40,2,FALSE)</f>
        <v>1071-Přípravka</v>
      </c>
      <c r="M518" s="32" t="str">
        <f>VLOOKUP(Zdroj!$I518,Střediska!$A$1:$B$41,2,FALSE)</f>
        <v>Přípravka</v>
      </c>
    </row>
    <row r="519" spans="1:13" hidden="1" x14ac:dyDescent="0.2">
      <c r="A519" s="33" t="s">
        <v>651</v>
      </c>
      <c r="B519" s="34" t="s">
        <v>1136</v>
      </c>
      <c r="C519" s="34" t="s">
        <v>64</v>
      </c>
      <c r="D519" s="34"/>
      <c r="E519" s="34" t="s">
        <v>1137</v>
      </c>
      <c r="F519" s="34">
        <v>0</v>
      </c>
      <c r="G519" s="34">
        <v>4000</v>
      </c>
      <c r="H519" s="34">
        <f t="shared" si="16"/>
        <v>4000</v>
      </c>
      <c r="I519" s="34">
        <v>1071</v>
      </c>
      <c r="J519" s="34">
        <f t="shared" si="17"/>
        <v>1</v>
      </c>
      <c r="K519" s="34" t="s">
        <v>90</v>
      </c>
      <c r="L519" s="34" t="str">
        <f>I519 &amp; "-" &amp;VLOOKUP(I519,Střediska!$A$1:$B$40,2,FALSE)</f>
        <v>1071-Přípravka</v>
      </c>
      <c r="M519" s="35" t="str">
        <f>VLOOKUP(Zdroj!$I519,Střediska!$A$1:$B$41,2,FALSE)</f>
        <v>Přípravka</v>
      </c>
    </row>
    <row r="520" spans="1:13" hidden="1" x14ac:dyDescent="0.2">
      <c r="A520" s="36" t="s">
        <v>836</v>
      </c>
      <c r="B520" s="31" t="s">
        <v>1138</v>
      </c>
      <c r="C520" s="31" t="s">
        <v>64</v>
      </c>
      <c r="D520" s="31"/>
      <c r="E520" s="31" t="s">
        <v>1139</v>
      </c>
      <c r="F520" s="31">
        <v>0</v>
      </c>
      <c r="G520" s="31">
        <v>2000</v>
      </c>
      <c r="H520" s="31">
        <f t="shared" si="16"/>
        <v>2000</v>
      </c>
      <c r="I520" s="31">
        <v>1071</v>
      </c>
      <c r="J520" s="31">
        <f t="shared" si="17"/>
        <v>1</v>
      </c>
      <c r="K520" s="31" t="s">
        <v>90</v>
      </c>
      <c r="L520" s="31" t="str">
        <f>I520 &amp; "-" &amp;VLOOKUP(I520,Střediska!$A$1:$B$40,2,FALSE)</f>
        <v>1071-Přípravka</v>
      </c>
      <c r="M520" s="32" t="str">
        <f>VLOOKUP(Zdroj!$I520,Střediska!$A$1:$B$41,2,FALSE)</f>
        <v>Přípravka</v>
      </c>
    </row>
    <row r="521" spans="1:13" hidden="1" x14ac:dyDescent="0.2">
      <c r="A521" s="33" t="s">
        <v>836</v>
      </c>
      <c r="B521" s="34" t="s">
        <v>1140</v>
      </c>
      <c r="C521" s="34" t="s">
        <v>64</v>
      </c>
      <c r="D521" s="34"/>
      <c r="E521" s="34" t="s">
        <v>1141</v>
      </c>
      <c r="F521" s="34">
        <v>0</v>
      </c>
      <c r="G521" s="34">
        <v>4000</v>
      </c>
      <c r="H521" s="34">
        <f t="shared" si="16"/>
        <v>4000</v>
      </c>
      <c r="I521" s="34">
        <v>1071</v>
      </c>
      <c r="J521" s="34">
        <f t="shared" si="17"/>
        <v>1</v>
      </c>
      <c r="K521" s="34" t="s">
        <v>90</v>
      </c>
      <c r="L521" s="34" t="str">
        <f>I521 &amp; "-" &amp;VLOOKUP(I521,Střediska!$A$1:$B$40,2,FALSE)</f>
        <v>1071-Přípravka</v>
      </c>
      <c r="M521" s="35" t="str">
        <f>VLOOKUP(Zdroj!$I521,Střediska!$A$1:$B$41,2,FALSE)</f>
        <v>Přípravka</v>
      </c>
    </row>
    <row r="522" spans="1:13" hidden="1" x14ac:dyDescent="0.2">
      <c r="A522" s="36" t="s">
        <v>836</v>
      </c>
      <c r="B522" s="31" t="s">
        <v>1142</v>
      </c>
      <c r="C522" s="31" t="s">
        <v>64</v>
      </c>
      <c r="D522" s="31"/>
      <c r="E522" s="31" t="s">
        <v>1143</v>
      </c>
      <c r="F522" s="31">
        <v>0</v>
      </c>
      <c r="G522" s="31">
        <v>4000</v>
      </c>
      <c r="H522" s="31">
        <f t="shared" si="16"/>
        <v>4000</v>
      </c>
      <c r="I522" s="31">
        <v>1071</v>
      </c>
      <c r="J522" s="31">
        <f t="shared" si="17"/>
        <v>1</v>
      </c>
      <c r="K522" s="31" t="s">
        <v>90</v>
      </c>
      <c r="L522" s="31" t="str">
        <f>I522 &amp; "-" &amp;VLOOKUP(I522,Střediska!$A$1:$B$40,2,FALSE)</f>
        <v>1071-Přípravka</v>
      </c>
      <c r="M522" s="32" t="str">
        <f>VLOOKUP(Zdroj!$I522,Střediska!$A$1:$B$41,2,FALSE)</f>
        <v>Přípravka</v>
      </c>
    </row>
    <row r="523" spans="1:13" hidden="1" x14ac:dyDescent="0.2">
      <c r="A523" s="33" t="s">
        <v>510</v>
      </c>
      <c r="B523" s="34" t="s">
        <v>1144</v>
      </c>
      <c r="C523" s="34" t="s">
        <v>64</v>
      </c>
      <c r="D523" s="34"/>
      <c r="E523" s="34" t="s">
        <v>1145</v>
      </c>
      <c r="F523" s="34">
        <v>0</v>
      </c>
      <c r="G523" s="34">
        <v>4000</v>
      </c>
      <c r="H523" s="34">
        <f t="shared" si="16"/>
        <v>4000</v>
      </c>
      <c r="I523" s="34">
        <v>1071</v>
      </c>
      <c r="J523" s="34">
        <f t="shared" si="17"/>
        <v>1</v>
      </c>
      <c r="K523" s="34" t="s">
        <v>90</v>
      </c>
      <c r="L523" s="34" t="str">
        <f>I523 &amp; "-" &amp;VLOOKUP(I523,Střediska!$A$1:$B$40,2,FALSE)</f>
        <v>1071-Přípravka</v>
      </c>
      <c r="M523" s="35" t="str">
        <f>VLOOKUP(Zdroj!$I523,Střediska!$A$1:$B$41,2,FALSE)</f>
        <v>Přípravka</v>
      </c>
    </row>
    <row r="524" spans="1:13" hidden="1" x14ac:dyDescent="0.2">
      <c r="A524" s="36" t="s">
        <v>25</v>
      </c>
      <c r="B524" s="31" t="s">
        <v>1146</v>
      </c>
      <c r="C524" s="31" t="s">
        <v>64</v>
      </c>
      <c r="D524" s="31"/>
      <c r="E524" s="31" t="s">
        <v>1147</v>
      </c>
      <c r="F524" s="31">
        <v>0</v>
      </c>
      <c r="G524" s="31">
        <v>4000</v>
      </c>
      <c r="H524" s="31">
        <f t="shared" si="16"/>
        <v>4000</v>
      </c>
      <c r="I524" s="31">
        <v>1071</v>
      </c>
      <c r="J524" s="31">
        <f t="shared" si="17"/>
        <v>1</v>
      </c>
      <c r="K524" s="31" t="s">
        <v>90</v>
      </c>
      <c r="L524" s="31" t="str">
        <f>I524 &amp; "-" &amp;VLOOKUP(I524,Střediska!$A$1:$B$40,2,FALSE)</f>
        <v>1071-Přípravka</v>
      </c>
      <c r="M524" s="32" t="str">
        <f>VLOOKUP(Zdroj!$I524,Střediska!$A$1:$B$41,2,FALSE)</f>
        <v>Přípravka</v>
      </c>
    </row>
    <row r="525" spans="1:13" hidden="1" x14ac:dyDescent="0.2">
      <c r="A525" s="33" t="s">
        <v>25</v>
      </c>
      <c r="B525" s="34" t="s">
        <v>1148</v>
      </c>
      <c r="C525" s="34" t="s">
        <v>64</v>
      </c>
      <c r="D525" s="34"/>
      <c r="E525" s="34" t="s">
        <v>1149</v>
      </c>
      <c r="F525" s="34">
        <v>0</v>
      </c>
      <c r="G525" s="34">
        <v>4000</v>
      </c>
      <c r="H525" s="34">
        <f t="shared" si="16"/>
        <v>4000</v>
      </c>
      <c r="I525" s="34">
        <v>1071</v>
      </c>
      <c r="J525" s="34">
        <f t="shared" si="17"/>
        <v>1</v>
      </c>
      <c r="K525" s="34" t="s">
        <v>90</v>
      </c>
      <c r="L525" s="34" t="str">
        <f>I525 &amp; "-" &amp;VLOOKUP(I525,Střediska!$A$1:$B$40,2,FALSE)</f>
        <v>1071-Přípravka</v>
      </c>
      <c r="M525" s="35" t="str">
        <f>VLOOKUP(Zdroj!$I525,Střediska!$A$1:$B$41,2,FALSE)</f>
        <v>Přípravka</v>
      </c>
    </row>
    <row r="526" spans="1:13" hidden="1" x14ac:dyDescent="0.2">
      <c r="A526" s="36" t="s">
        <v>25</v>
      </c>
      <c r="B526" s="31" t="s">
        <v>1150</v>
      </c>
      <c r="C526" s="31" t="s">
        <v>64</v>
      </c>
      <c r="D526" s="31"/>
      <c r="E526" s="31" t="s">
        <v>1151</v>
      </c>
      <c r="F526" s="31">
        <v>0</v>
      </c>
      <c r="G526" s="31">
        <v>2000</v>
      </c>
      <c r="H526" s="31">
        <f t="shared" si="16"/>
        <v>2000</v>
      </c>
      <c r="I526" s="31">
        <v>1071</v>
      </c>
      <c r="J526" s="31">
        <f t="shared" si="17"/>
        <v>1</v>
      </c>
      <c r="K526" s="31" t="s">
        <v>90</v>
      </c>
      <c r="L526" s="31" t="str">
        <f>I526 &amp; "-" &amp;VLOOKUP(I526,Střediska!$A$1:$B$40,2,FALSE)</f>
        <v>1071-Přípravka</v>
      </c>
      <c r="M526" s="32" t="str">
        <f>VLOOKUP(Zdroj!$I526,Střediska!$A$1:$B$41,2,FALSE)</f>
        <v>Přípravka</v>
      </c>
    </row>
    <row r="527" spans="1:13" hidden="1" x14ac:dyDescent="0.2">
      <c r="A527" s="33" t="s">
        <v>25</v>
      </c>
      <c r="B527" s="34" t="s">
        <v>1152</v>
      </c>
      <c r="C527" s="34" t="s">
        <v>64</v>
      </c>
      <c r="D527" s="34"/>
      <c r="E527" s="34" t="s">
        <v>1153</v>
      </c>
      <c r="F527" s="34">
        <v>0</v>
      </c>
      <c r="G527" s="34">
        <v>2000</v>
      </c>
      <c r="H527" s="34">
        <f t="shared" si="16"/>
        <v>2000</v>
      </c>
      <c r="I527" s="34">
        <v>1071</v>
      </c>
      <c r="J527" s="34">
        <f t="shared" si="17"/>
        <v>1</v>
      </c>
      <c r="K527" s="34" t="s">
        <v>90</v>
      </c>
      <c r="L527" s="34" t="str">
        <f>I527 &amp; "-" &amp;VLOOKUP(I527,Střediska!$A$1:$B$40,2,FALSE)</f>
        <v>1071-Přípravka</v>
      </c>
      <c r="M527" s="35" t="str">
        <f>VLOOKUP(Zdroj!$I527,Střediska!$A$1:$B$41,2,FALSE)</f>
        <v>Přípravka</v>
      </c>
    </row>
    <row r="528" spans="1:13" hidden="1" x14ac:dyDescent="0.2">
      <c r="A528" s="36" t="s">
        <v>25</v>
      </c>
      <c r="B528" s="31" t="s">
        <v>1154</v>
      </c>
      <c r="C528" s="31" t="s">
        <v>64</v>
      </c>
      <c r="D528" s="31"/>
      <c r="E528" s="31" t="s">
        <v>1155</v>
      </c>
      <c r="F528" s="31">
        <v>0</v>
      </c>
      <c r="G528" s="31">
        <v>4000</v>
      </c>
      <c r="H528" s="31">
        <f t="shared" si="16"/>
        <v>4000</v>
      </c>
      <c r="I528" s="31">
        <v>1071</v>
      </c>
      <c r="J528" s="31">
        <f t="shared" si="17"/>
        <v>1</v>
      </c>
      <c r="K528" s="31" t="s">
        <v>90</v>
      </c>
      <c r="L528" s="31" t="str">
        <f>I528 &amp; "-" &amp;VLOOKUP(I528,Střediska!$A$1:$B$40,2,FALSE)</f>
        <v>1071-Přípravka</v>
      </c>
      <c r="M528" s="32" t="str">
        <f>VLOOKUP(Zdroj!$I528,Střediska!$A$1:$B$41,2,FALSE)</f>
        <v>Přípravka</v>
      </c>
    </row>
    <row r="529" spans="1:13" hidden="1" x14ac:dyDescent="0.2">
      <c r="A529" s="33" t="s">
        <v>25</v>
      </c>
      <c r="B529" s="34" t="s">
        <v>1156</v>
      </c>
      <c r="C529" s="34" t="s">
        <v>64</v>
      </c>
      <c r="D529" s="34"/>
      <c r="E529" s="34" t="s">
        <v>1157</v>
      </c>
      <c r="F529" s="34">
        <v>0</v>
      </c>
      <c r="G529" s="34">
        <v>4000</v>
      </c>
      <c r="H529" s="34">
        <f t="shared" si="16"/>
        <v>4000</v>
      </c>
      <c r="I529" s="34">
        <v>1071</v>
      </c>
      <c r="J529" s="34">
        <f t="shared" si="17"/>
        <v>1</v>
      </c>
      <c r="K529" s="34" t="s">
        <v>90</v>
      </c>
      <c r="L529" s="34" t="str">
        <f>I529 &amp; "-" &amp;VLOOKUP(I529,Střediska!$A$1:$B$40,2,FALSE)</f>
        <v>1071-Přípravka</v>
      </c>
      <c r="M529" s="35" t="str">
        <f>VLOOKUP(Zdroj!$I529,Střediska!$A$1:$B$41,2,FALSE)</f>
        <v>Přípravka</v>
      </c>
    </row>
    <row r="530" spans="1:13" hidden="1" x14ac:dyDescent="0.2">
      <c r="A530" s="36" t="s">
        <v>25</v>
      </c>
      <c r="B530" s="31" t="s">
        <v>1158</v>
      </c>
      <c r="C530" s="31" t="s">
        <v>64</v>
      </c>
      <c r="D530" s="31"/>
      <c r="E530" s="31" t="s">
        <v>1159</v>
      </c>
      <c r="F530" s="31">
        <v>0</v>
      </c>
      <c r="G530" s="31">
        <v>4000</v>
      </c>
      <c r="H530" s="31">
        <f t="shared" si="16"/>
        <v>4000</v>
      </c>
      <c r="I530" s="31">
        <v>1071</v>
      </c>
      <c r="J530" s="31">
        <f t="shared" si="17"/>
        <v>1</v>
      </c>
      <c r="K530" s="31" t="s">
        <v>90</v>
      </c>
      <c r="L530" s="31" t="str">
        <f>I530 &amp; "-" &amp;VLOOKUP(I530,Střediska!$A$1:$B$40,2,FALSE)</f>
        <v>1071-Přípravka</v>
      </c>
      <c r="M530" s="32" t="str">
        <f>VLOOKUP(Zdroj!$I530,Střediska!$A$1:$B$41,2,FALSE)</f>
        <v>Přípravka</v>
      </c>
    </row>
    <row r="531" spans="1:13" hidden="1" x14ac:dyDescent="0.2">
      <c r="A531" s="33" t="s">
        <v>410</v>
      </c>
      <c r="B531" s="34" t="s">
        <v>1160</v>
      </c>
      <c r="C531" s="34" t="s">
        <v>64</v>
      </c>
      <c r="D531" s="34"/>
      <c r="E531" s="34" t="s">
        <v>1161</v>
      </c>
      <c r="F531" s="34">
        <v>0</v>
      </c>
      <c r="G531" s="34">
        <v>-4000</v>
      </c>
      <c r="H531" s="34">
        <f t="shared" si="16"/>
        <v>-4000</v>
      </c>
      <c r="I531" s="34">
        <v>1071</v>
      </c>
      <c r="J531" s="34">
        <f t="shared" si="17"/>
        <v>1</v>
      </c>
      <c r="K531" s="34" t="s">
        <v>90</v>
      </c>
      <c r="L531" s="34" t="str">
        <f>I531 &amp; "-" &amp;VLOOKUP(I531,Střediska!$A$1:$B$40,2,FALSE)</f>
        <v>1071-Přípravka</v>
      </c>
      <c r="M531" s="35" t="str">
        <f>VLOOKUP(Zdroj!$I531,Střediska!$A$1:$B$41,2,FALSE)</f>
        <v>Přípravka</v>
      </c>
    </row>
    <row r="532" spans="1:13" hidden="1" x14ac:dyDescent="0.2">
      <c r="A532" s="36" t="s">
        <v>381</v>
      </c>
      <c r="B532" s="31" t="s">
        <v>1162</v>
      </c>
      <c r="C532" s="31" t="s">
        <v>64</v>
      </c>
      <c r="D532" s="31"/>
      <c r="E532" s="31" t="s">
        <v>1163</v>
      </c>
      <c r="F532" s="31">
        <v>0</v>
      </c>
      <c r="G532" s="31">
        <v>4000</v>
      </c>
      <c r="H532" s="31">
        <f t="shared" si="16"/>
        <v>4000</v>
      </c>
      <c r="I532" s="31">
        <v>1071</v>
      </c>
      <c r="J532" s="31">
        <f t="shared" si="17"/>
        <v>1</v>
      </c>
      <c r="K532" s="31" t="s">
        <v>90</v>
      </c>
      <c r="L532" s="31" t="str">
        <f>I532 &amp; "-" &amp;VLOOKUP(I532,Střediska!$A$1:$B$40,2,FALSE)</f>
        <v>1071-Přípravka</v>
      </c>
      <c r="M532" s="32" t="str">
        <f>VLOOKUP(Zdroj!$I532,Střediska!$A$1:$B$41,2,FALSE)</f>
        <v>Přípravka</v>
      </c>
    </row>
    <row r="533" spans="1:13" hidden="1" x14ac:dyDescent="0.2">
      <c r="A533" s="33" t="s">
        <v>107</v>
      </c>
      <c r="B533" s="34" t="s">
        <v>1164</v>
      </c>
      <c r="C533" s="34" t="s">
        <v>64</v>
      </c>
      <c r="D533" s="34"/>
      <c r="E533" s="34" t="s">
        <v>1165</v>
      </c>
      <c r="F533" s="34">
        <v>0</v>
      </c>
      <c r="G533" s="34">
        <v>4000</v>
      </c>
      <c r="H533" s="34">
        <f t="shared" si="16"/>
        <v>4000</v>
      </c>
      <c r="I533" s="34">
        <v>1071</v>
      </c>
      <c r="J533" s="34">
        <f t="shared" si="17"/>
        <v>1</v>
      </c>
      <c r="K533" s="34" t="s">
        <v>90</v>
      </c>
      <c r="L533" s="34" t="str">
        <f>I533 &amp; "-" &amp;VLOOKUP(I533,Střediska!$A$1:$B$40,2,FALSE)</f>
        <v>1071-Přípravka</v>
      </c>
      <c r="M533" s="35" t="str">
        <f>VLOOKUP(Zdroj!$I533,Střediska!$A$1:$B$41,2,FALSE)</f>
        <v>Přípravka</v>
      </c>
    </row>
    <row r="534" spans="1:13" hidden="1" x14ac:dyDescent="0.2">
      <c r="A534" s="36" t="s">
        <v>1167</v>
      </c>
      <c r="B534" s="31" t="s">
        <v>1166</v>
      </c>
      <c r="C534" s="31" t="s">
        <v>64</v>
      </c>
      <c r="D534" s="31"/>
      <c r="E534" s="31" t="s">
        <v>95</v>
      </c>
      <c r="F534" s="31">
        <v>0</v>
      </c>
      <c r="G534" s="31">
        <v>4000</v>
      </c>
      <c r="H534" s="31">
        <f t="shared" si="16"/>
        <v>4000</v>
      </c>
      <c r="I534" s="31">
        <v>1071</v>
      </c>
      <c r="J534" s="31">
        <f t="shared" si="17"/>
        <v>1</v>
      </c>
      <c r="K534" s="31" t="s">
        <v>90</v>
      </c>
      <c r="L534" s="31" t="str">
        <f>I534 &amp; "-" &amp;VLOOKUP(I534,Střediska!$A$1:$B$40,2,FALSE)</f>
        <v>1071-Přípravka</v>
      </c>
      <c r="M534" s="32" t="str">
        <f>VLOOKUP(Zdroj!$I534,Střediska!$A$1:$B$41,2,FALSE)</f>
        <v>Přípravka</v>
      </c>
    </row>
    <row r="535" spans="1:13" hidden="1" x14ac:dyDescent="0.2">
      <c r="A535" s="33" t="s">
        <v>433</v>
      </c>
      <c r="B535" s="34" t="s">
        <v>1168</v>
      </c>
      <c r="C535" s="34" t="s">
        <v>64</v>
      </c>
      <c r="D535" s="34"/>
      <c r="E535" s="34" t="s">
        <v>1169</v>
      </c>
      <c r="F535" s="34">
        <v>0</v>
      </c>
      <c r="G535" s="34">
        <v>2050</v>
      </c>
      <c r="H535" s="34">
        <f t="shared" si="16"/>
        <v>2050</v>
      </c>
      <c r="I535" s="34">
        <v>1071</v>
      </c>
      <c r="J535" s="34">
        <f t="shared" si="17"/>
        <v>1</v>
      </c>
      <c r="K535" s="34" t="s">
        <v>90</v>
      </c>
      <c r="L535" s="34" t="str">
        <f>I535 &amp; "-" &amp;VLOOKUP(I535,Střediska!$A$1:$B$40,2,FALSE)</f>
        <v>1071-Přípravka</v>
      </c>
      <c r="M535" s="35" t="str">
        <f>VLOOKUP(Zdroj!$I535,Střediska!$A$1:$B$41,2,FALSE)</f>
        <v>Přípravka</v>
      </c>
    </row>
    <row r="536" spans="1:13" hidden="1" x14ac:dyDescent="0.2">
      <c r="A536" s="36" t="s">
        <v>196</v>
      </c>
      <c r="B536" s="31" t="s">
        <v>1170</v>
      </c>
      <c r="C536" s="31" t="s">
        <v>64</v>
      </c>
      <c r="D536" s="31"/>
      <c r="E536" s="31" t="s">
        <v>1133</v>
      </c>
      <c r="F536" s="31">
        <v>0</v>
      </c>
      <c r="G536" s="31">
        <v>2050</v>
      </c>
      <c r="H536" s="31">
        <f t="shared" si="16"/>
        <v>2050</v>
      </c>
      <c r="I536" s="31">
        <v>1071</v>
      </c>
      <c r="J536" s="31">
        <f t="shared" si="17"/>
        <v>1</v>
      </c>
      <c r="K536" s="31" t="s">
        <v>90</v>
      </c>
      <c r="L536" s="31" t="str">
        <f>I536 &amp; "-" &amp;VLOOKUP(I536,Střediska!$A$1:$B$40,2,FALSE)</f>
        <v>1071-Přípravka</v>
      </c>
      <c r="M536" s="32" t="str">
        <f>VLOOKUP(Zdroj!$I536,Střediska!$A$1:$B$41,2,FALSE)</f>
        <v>Přípravka</v>
      </c>
    </row>
    <row r="537" spans="1:13" hidden="1" x14ac:dyDescent="0.2">
      <c r="A537" s="33" t="s">
        <v>264</v>
      </c>
      <c r="B537" s="34" t="s">
        <v>1171</v>
      </c>
      <c r="C537" s="34" t="s">
        <v>64</v>
      </c>
      <c r="D537" s="34"/>
      <c r="E537" s="34" t="s">
        <v>1172</v>
      </c>
      <c r="F537" s="34">
        <v>0</v>
      </c>
      <c r="G537" s="34">
        <v>4100</v>
      </c>
      <c r="H537" s="34">
        <f t="shared" si="16"/>
        <v>4100</v>
      </c>
      <c r="I537" s="34">
        <v>1071</v>
      </c>
      <c r="J537" s="34">
        <f t="shared" si="17"/>
        <v>1</v>
      </c>
      <c r="K537" s="34" t="s">
        <v>90</v>
      </c>
      <c r="L537" s="34" t="str">
        <f>I537 &amp; "-" &amp;VLOOKUP(I537,Střediska!$A$1:$B$40,2,FALSE)</f>
        <v>1071-Přípravka</v>
      </c>
      <c r="M537" s="35" t="str">
        <f>VLOOKUP(Zdroj!$I537,Střediska!$A$1:$B$41,2,FALSE)</f>
        <v>Přípravka</v>
      </c>
    </row>
    <row r="538" spans="1:13" hidden="1" x14ac:dyDescent="0.2">
      <c r="A538" s="36" t="s">
        <v>267</v>
      </c>
      <c r="B538" s="31" t="s">
        <v>1173</v>
      </c>
      <c r="C538" s="31" t="s">
        <v>64</v>
      </c>
      <c r="D538" s="31"/>
      <c r="E538" s="31" t="s">
        <v>1174</v>
      </c>
      <c r="F538" s="31">
        <v>0</v>
      </c>
      <c r="G538" s="31">
        <v>4100</v>
      </c>
      <c r="H538" s="31">
        <f t="shared" si="16"/>
        <v>4100</v>
      </c>
      <c r="I538" s="31">
        <v>1071</v>
      </c>
      <c r="J538" s="31">
        <f t="shared" si="17"/>
        <v>1</v>
      </c>
      <c r="K538" s="31" t="s">
        <v>90</v>
      </c>
      <c r="L538" s="31" t="str">
        <f>I538 &amp; "-" &amp;VLOOKUP(I538,Střediska!$A$1:$B$40,2,FALSE)</f>
        <v>1071-Přípravka</v>
      </c>
      <c r="M538" s="32" t="str">
        <f>VLOOKUP(Zdroj!$I538,Střediska!$A$1:$B$41,2,FALSE)</f>
        <v>Přípravka</v>
      </c>
    </row>
    <row r="539" spans="1:13" hidden="1" x14ac:dyDescent="0.2">
      <c r="A539" s="33" t="s">
        <v>49</v>
      </c>
      <c r="B539" s="34" t="s">
        <v>91</v>
      </c>
      <c r="C539" s="34" t="s">
        <v>19</v>
      </c>
      <c r="D539" s="34"/>
      <c r="E539" s="34" t="s">
        <v>93</v>
      </c>
      <c r="F539" s="34">
        <v>0</v>
      </c>
      <c r="G539" s="34">
        <v>12318.949999999999</v>
      </c>
      <c r="H539" s="34">
        <f t="shared" si="16"/>
        <v>12318.949999999999</v>
      </c>
      <c r="I539" s="34">
        <v>1071</v>
      </c>
      <c r="J539" s="34">
        <f t="shared" si="17"/>
        <v>1</v>
      </c>
      <c r="K539" s="34" t="s">
        <v>90</v>
      </c>
      <c r="L539" s="34" t="str">
        <f>I539 &amp; "-" &amp;VLOOKUP(I539,Střediska!$A$1:$B$40,2,FALSE)</f>
        <v>1071-Přípravka</v>
      </c>
      <c r="M539" s="35" t="str">
        <f>VLOOKUP(Zdroj!$I539,Střediska!$A$1:$B$41,2,FALSE)</f>
        <v>Přípravka</v>
      </c>
    </row>
    <row r="540" spans="1:13" hidden="1" x14ac:dyDescent="0.2">
      <c r="A540" s="36" t="s">
        <v>49</v>
      </c>
      <c r="B540" s="31" t="s">
        <v>1175</v>
      </c>
      <c r="C540" s="31" t="s">
        <v>64</v>
      </c>
      <c r="D540" s="31"/>
      <c r="E540" s="31" t="s">
        <v>1176</v>
      </c>
      <c r="F540" s="31">
        <v>0</v>
      </c>
      <c r="G540" s="31">
        <v>4100</v>
      </c>
      <c r="H540" s="31">
        <f t="shared" si="16"/>
        <v>4100</v>
      </c>
      <c r="I540" s="31">
        <v>1071</v>
      </c>
      <c r="J540" s="31">
        <f t="shared" si="17"/>
        <v>1</v>
      </c>
      <c r="K540" s="31" t="s">
        <v>90</v>
      </c>
      <c r="L540" s="31" t="str">
        <f>I540 &amp; "-" &amp;VLOOKUP(I540,Střediska!$A$1:$B$40,2,FALSE)</f>
        <v>1071-Přípravka</v>
      </c>
      <c r="M540" s="32" t="str">
        <f>VLOOKUP(Zdroj!$I540,Střediska!$A$1:$B$41,2,FALSE)</f>
        <v>Přípravka</v>
      </c>
    </row>
    <row r="541" spans="1:13" hidden="1" x14ac:dyDescent="0.2">
      <c r="A541" s="33" t="s">
        <v>49</v>
      </c>
      <c r="B541" s="34" t="s">
        <v>1177</v>
      </c>
      <c r="C541" s="34" t="s">
        <v>64</v>
      </c>
      <c r="D541" s="34"/>
      <c r="E541" s="34" t="s">
        <v>1178</v>
      </c>
      <c r="F541" s="34">
        <v>0</v>
      </c>
      <c r="G541" s="34">
        <v>4100</v>
      </c>
      <c r="H541" s="34">
        <f t="shared" si="16"/>
        <v>4100</v>
      </c>
      <c r="I541" s="34">
        <v>1071</v>
      </c>
      <c r="J541" s="34">
        <f t="shared" si="17"/>
        <v>1</v>
      </c>
      <c r="K541" s="34" t="s">
        <v>90</v>
      </c>
      <c r="L541" s="34" t="str">
        <f>I541 &amp; "-" &amp;VLOOKUP(I541,Střediska!$A$1:$B$40,2,FALSE)</f>
        <v>1071-Přípravka</v>
      </c>
      <c r="M541" s="35" t="str">
        <f>VLOOKUP(Zdroj!$I541,Střediska!$A$1:$B$41,2,FALSE)</f>
        <v>Přípravka</v>
      </c>
    </row>
    <row r="542" spans="1:13" hidden="1" x14ac:dyDescent="0.2">
      <c r="A542" s="36" t="s">
        <v>176</v>
      </c>
      <c r="B542" s="31" t="s">
        <v>1179</v>
      </c>
      <c r="C542" s="31" t="s">
        <v>64</v>
      </c>
      <c r="D542" s="31"/>
      <c r="E542" s="31" t="s">
        <v>1180</v>
      </c>
      <c r="F542" s="31">
        <v>0</v>
      </c>
      <c r="G542" s="31">
        <v>4100</v>
      </c>
      <c r="H542" s="31">
        <f t="shared" si="16"/>
        <v>4100</v>
      </c>
      <c r="I542" s="31">
        <v>1071</v>
      </c>
      <c r="J542" s="31">
        <f t="shared" si="17"/>
        <v>1</v>
      </c>
      <c r="K542" s="31" t="s">
        <v>90</v>
      </c>
      <c r="L542" s="31" t="str">
        <f>I542 &amp; "-" &amp;VLOOKUP(I542,Střediska!$A$1:$B$40,2,FALSE)</f>
        <v>1071-Přípravka</v>
      </c>
      <c r="M542" s="32" t="str">
        <f>VLOOKUP(Zdroj!$I542,Střediska!$A$1:$B$41,2,FALSE)</f>
        <v>Přípravka</v>
      </c>
    </row>
    <row r="543" spans="1:13" hidden="1" x14ac:dyDescent="0.2">
      <c r="A543" s="33" t="s">
        <v>199</v>
      </c>
      <c r="B543" s="34" t="s">
        <v>1182</v>
      </c>
      <c r="C543" s="34" t="s">
        <v>64</v>
      </c>
      <c r="D543" s="34"/>
      <c r="E543" s="34" t="s">
        <v>1183</v>
      </c>
      <c r="F543" s="34">
        <v>0</v>
      </c>
      <c r="G543" s="34">
        <v>1500</v>
      </c>
      <c r="H543" s="34">
        <f t="shared" si="16"/>
        <v>1500</v>
      </c>
      <c r="I543" s="34">
        <v>1071</v>
      </c>
      <c r="J543" s="34">
        <f t="shared" si="17"/>
        <v>1</v>
      </c>
      <c r="K543" s="34" t="s">
        <v>90</v>
      </c>
      <c r="L543" s="34" t="str">
        <f>I543 &amp; "-" &amp;VLOOKUP(I543,Střediska!$A$1:$B$40,2,FALSE)</f>
        <v>1071-Přípravka</v>
      </c>
      <c r="M543" s="35" t="str">
        <f>VLOOKUP(Zdroj!$I543,Střediska!$A$1:$B$41,2,FALSE)</f>
        <v>Přípravka</v>
      </c>
    </row>
    <row r="544" spans="1:13" hidden="1" x14ac:dyDescent="0.2">
      <c r="A544" s="36" t="s">
        <v>199</v>
      </c>
      <c r="B544" s="31" t="s">
        <v>1184</v>
      </c>
      <c r="C544" s="31" t="s">
        <v>64</v>
      </c>
      <c r="D544" s="31"/>
      <c r="E544" s="31" t="s">
        <v>1185</v>
      </c>
      <c r="F544" s="31">
        <v>0</v>
      </c>
      <c r="G544" s="31">
        <v>4100</v>
      </c>
      <c r="H544" s="31">
        <f t="shared" si="16"/>
        <v>4100</v>
      </c>
      <c r="I544" s="31">
        <v>1071</v>
      </c>
      <c r="J544" s="31">
        <f t="shared" si="17"/>
        <v>1</v>
      </c>
      <c r="K544" s="31" t="s">
        <v>90</v>
      </c>
      <c r="L544" s="31" t="str">
        <f>I544 &amp; "-" &amp;VLOOKUP(I544,Střediska!$A$1:$B$40,2,FALSE)</f>
        <v>1071-Přípravka</v>
      </c>
      <c r="M544" s="32" t="str">
        <f>VLOOKUP(Zdroj!$I544,Střediska!$A$1:$B$41,2,FALSE)</f>
        <v>Přípravka</v>
      </c>
    </row>
    <row r="545" spans="1:13" hidden="1" x14ac:dyDescent="0.2">
      <c r="A545" s="33" t="s">
        <v>199</v>
      </c>
      <c r="B545" s="34" t="s">
        <v>1186</v>
      </c>
      <c r="C545" s="34" t="s">
        <v>87</v>
      </c>
      <c r="D545" s="34" t="s">
        <v>1187</v>
      </c>
      <c r="E545" s="34" t="s">
        <v>1188</v>
      </c>
      <c r="F545" s="34">
        <v>0</v>
      </c>
      <c r="G545" s="34">
        <v>2100</v>
      </c>
      <c r="H545" s="34">
        <f t="shared" si="16"/>
        <v>2100</v>
      </c>
      <c r="I545" s="34">
        <v>1071</v>
      </c>
      <c r="J545" s="34">
        <f t="shared" si="17"/>
        <v>1</v>
      </c>
      <c r="K545" s="34" t="s">
        <v>90</v>
      </c>
      <c r="L545" s="34" t="str">
        <f>I545 &amp; "-" &amp;VLOOKUP(I545,Střediska!$A$1:$B$40,2,FALSE)</f>
        <v>1071-Přípravka</v>
      </c>
      <c r="M545" s="35" t="str">
        <f>VLOOKUP(Zdroj!$I545,Střediska!$A$1:$B$41,2,FALSE)</f>
        <v>Přípravka</v>
      </c>
    </row>
    <row r="546" spans="1:13" hidden="1" x14ac:dyDescent="0.2">
      <c r="A546" s="36" t="s">
        <v>451</v>
      </c>
      <c r="B546" s="31" t="s">
        <v>1189</v>
      </c>
      <c r="C546" s="31" t="s">
        <v>64</v>
      </c>
      <c r="D546" s="31"/>
      <c r="E546" s="31" t="s">
        <v>1190</v>
      </c>
      <c r="F546" s="31">
        <v>0</v>
      </c>
      <c r="G546" s="31">
        <v>4100</v>
      </c>
      <c r="H546" s="31">
        <f t="shared" si="16"/>
        <v>4100</v>
      </c>
      <c r="I546" s="31">
        <v>1071</v>
      </c>
      <c r="J546" s="31">
        <f t="shared" si="17"/>
        <v>1</v>
      </c>
      <c r="K546" s="31" t="s">
        <v>90</v>
      </c>
      <c r="L546" s="31" t="str">
        <f>I546 &amp; "-" &amp;VLOOKUP(I546,Střediska!$A$1:$B$40,2,FALSE)</f>
        <v>1071-Přípravka</v>
      </c>
      <c r="M546" s="32" t="str">
        <f>VLOOKUP(Zdroj!$I546,Střediska!$A$1:$B$41,2,FALSE)</f>
        <v>Přípravka</v>
      </c>
    </row>
    <row r="547" spans="1:13" hidden="1" x14ac:dyDescent="0.2">
      <c r="A547" s="33" t="s">
        <v>1192</v>
      </c>
      <c r="B547" s="34" t="s">
        <v>1191</v>
      </c>
      <c r="C547" s="34" t="s">
        <v>64</v>
      </c>
      <c r="D547" s="34"/>
      <c r="E547" s="34" t="s">
        <v>1193</v>
      </c>
      <c r="F547" s="34">
        <v>0</v>
      </c>
      <c r="G547" s="34">
        <v>4100</v>
      </c>
      <c r="H547" s="34">
        <f t="shared" si="16"/>
        <v>4100</v>
      </c>
      <c r="I547" s="34">
        <v>1071</v>
      </c>
      <c r="J547" s="34">
        <f t="shared" si="17"/>
        <v>1</v>
      </c>
      <c r="K547" s="34" t="s">
        <v>90</v>
      </c>
      <c r="L547" s="34" t="str">
        <f>I547 &amp; "-" &amp;VLOOKUP(I547,Střediska!$A$1:$B$40,2,FALSE)</f>
        <v>1071-Přípravka</v>
      </c>
      <c r="M547" s="35" t="str">
        <f>VLOOKUP(Zdroj!$I547,Střediska!$A$1:$B$41,2,FALSE)</f>
        <v>Přípravka</v>
      </c>
    </row>
    <row r="548" spans="1:13" hidden="1" x14ac:dyDescent="0.2">
      <c r="A548" s="36" t="s">
        <v>274</v>
      </c>
      <c r="B548" s="31" t="s">
        <v>1194</v>
      </c>
      <c r="C548" s="31" t="s">
        <v>64</v>
      </c>
      <c r="D548" s="31"/>
      <c r="E548" s="31" t="s">
        <v>1195</v>
      </c>
      <c r="F548" s="31">
        <v>0</v>
      </c>
      <c r="G548" s="31">
        <v>4100</v>
      </c>
      <c r="H548" s="31">
        <f t="shared" si="16"/>
        <v>4100</v>
      </c>
      <c r="I548" s="31">
        <v>1071</v>
      </c>
      <c r="J548" s="31">
        <f t="shared" si="17"/>
        <v>1</v>
      </c>
      <c r="K548" s="31" t="s">
        <v>90</v>
      </c>
      <c r="L548" s="31" t="str">
        <f>I548 &amp; "-" &amp;VLOOKUP(I548,Střediska!$A$1:$B$40,2,FALSE)</f>
        <v>1071-Přípravka</v>
      </c>
      <c r="M548" s="32" t="str">
        <f>VLOOKUP(Zdroj!$I548,Střediska!$A$1:$B$41,2,FALSE)</f>
        <v>Přípravka</v>
      </c>
    </row>
    <row r="549" spans="1:13" hidden="1" x14ac:dyDescent="0.2">
      <c r="A549" s="33" t="s">
        <v>277</v>
      </c>
      <c r="B549" s="34" t="s">
        <v>1196</v>
      </c>
      <c r="C549" s="34" t="s">
        <v>64</v>
      </c>
      <c r="D549" s="34"/>
      <c r="E549" s="34" t="s">
        <v>1197</v>
      </c>
      <c r="F549" s="34">
        <v>0</v>
      </c>
      <c r="G549" s="34">
        <v>4100</v>
      </c>
      <c r="H549" s="34">
        <f t="shared" si="16"/>
        <v>4100</v>
      </c>
      <c r="I549" s="34">
        <v>1071</v>
      </c>
      <c r="J549" s="34">
        <f t="shared" si="17"/>
        <v>1</v>
      </c>
      <c r="K549" s="34" t="s">
        <v>90</v>
      </c>
      <c r="L549" s="34" t="str">
        <f>I549 &amp; "-" &amp;VLOOKUP(I549,Střediska!$A$1:$B$40,2,FALSE)</f>
        <v>1071-Přípravka</v>
      </c>
      <c r="M549" s="35" t="str">
        <f>VLOOKUP(Zdroj!$I549,Střediska!$A$1:$B$41,2,FALSE)</f>
        <v>Přípravka</v>
      </c>
    </row>
    <row r="550" spans="1:13" hidden="1" x14ac:dyDescent="0.2">
      <c r="A550" s="36" t="s">
        <v>1199</v>
      </c>
      <c r="B550" s="31" t="s">
        <v>1198</v>
      </c>
      <c r="C550" s="31" t="s">
        <v>64</v>
      </c>
      <c r="D550" s="31"/>
      <c r="E550" s="31" t="s">
        <v>95</v>
      </c>
      <c r="F550" s="31">
        <v>0</v>
      </c>
      <c r="G550" s="31">
        <v>2000</v>
      </c>
      <c r="H550" s="31">
        <f t="shared" si="16"/>
        <v>2000</v>
      </c>
      <c r="I550" s="31">
        <v>1071</v>
      </c>
      <c r="J550" s="31">
        <f t="shared" si="17"/>
        <v>1</v>
      </c>
      <c r="K550" s="31" t="s">
        <v>90</v>
      </c>
      <c r="L550" s="31" t="str">
        <f>I550 &amp; "-" &amp;VLOOKUP(I550,Střediska!$A$1:$B$40,2,FALSE)</f>
        <v>1071-Přípravka</v>
      </c>
      <c r="M550" s="32" t="str">
        <f>VLOOKUP(Zdroj!$I550,Střediska!$A$1:$B$41,2,FALSE)</f>
        <v>Přípravka</v>
      </c>
    </row>
    <row r="551" spans="1:13" hidden="1" x14ac:dyDescent="0.2">
      <c r="A551" s="33" t="s">
        <v>290</v>
      </c>
      <c r="B551" s="34" t="s">
        <v>1200</v>
      </c>
      <c r="C551" s="34" t="s">
        <v>64</v>
      </c>
      <c r="D551" s="34"/>
      <c r="E551" s="34" t="s">
        <v>1201</v>
      </c>
      <c r="F551" s="34">
        <v>0</v>
      </c>
      <c r="G551" s="34">
        <v>2600</v>
      </c>
      <c r="H551" s="34">
        <f t="shared" si="16"/>
        <v>2600</v>
      </c>
      <c r="I551" s="34">
        <v>1071</v>
      </c>
      <c r="J551" s="34">
        <f t="shared" si="17"/>
        <v>1</v>
      </c>
      <c r="K551" s="34" t="s">
        <v>90</v>
      </c>
      <c r="L551" s="34" t="str">
        <f>I551 &amp; "-" &amp;VLOOKUP(I551,Střediska!$A$1:$B$40,2,FALSE)</f>
        <v>1071-Přípravka</v>
      </c>
      <c r="M551" s="35" t="str">
        <f>VLOOKUP(Zdroj!$I551,Střediska!$A$1:$B$41,2,FALSE)</f>
        <v>Přípravka</v>
      </c>
    </row>
    <row r="552" spans="1:13" hidden="1" x14ac:dyDescent="0.2">
      <c r="A552" s="36" t="s">
        <v>1203</v>
      </c>
      <c r="B552" s="31" t="s">
        <v>1202</v>
      </c>
      <c r="C552" s="31" t="s">
        <v>64</v>
      </c>
      <c r="D552" s="31"/>
      <c r="E552" s="31" t="s">
        <v>1204</v>
      </c>
      <c r="F552" s="31">
        <v>0</v>
      </c>
      <c r="G552" s="31">
        <v>4100</v>
      </c>
      <c r="H552" s="31">
        <f t="shared" si="16"/>
        <v>4100</v>
      </c>
      <c r="I552" s="31">
        <v>1071</v>
      </c>
      <c r="J552" s="31">
        <f t="shared" si="17"/>
        <v>1</v>
      </c>
      <c r="K552" s="31" t="s">
        <v>90</v>
      </c>
      <c r="L552" s="31" t="str">
        <f>I552 &amp; "-" &amp;VLOOKUP(I552,Střediska!$A$1:$B$40,2,FALSE)</f>
        <v>1071-Přípravka</v>
      </c>
      <c r="M552" s="32" t="str">
        <f>VLOOKUP(Zdroj!$I552,Střediska!$A$1:$B$41,2,FALSE)</f>
        <v>Přípravka</v>
      </c>
    </row>
    <row r="553" spans="1:13" hidden="1" x14ac:dyDescent="0.2">
      <c r="A553" s="33" t="s">
        <v>20</v>
      </c>
      <c r="B553" s="34" t="s">
        <v>338</v>
      </c>
      <c r="C553" s="34" t="s">
        <v>19</v>
      </c>
      <c r="D553" s="34"/>
      <c r="E553" s="34" t="s">
        <v>339</v>
      </c>
      <c r="F553" s="34">
        <v>0</v>
      </c>
      <c r="G553" s="34">
        <v>-11630.07</v>
      </c>
      <c r="H553" s="34">
        <f t="shared" si="16"/>
        <v>-11630.07</v>
      </c>
      <c r="I553" s="34">
        <v>1071</v>
      </c>
      <c r="J553" s="34">
        <f t="shared" si="17"/>
        <v>1</v>
      </c>
      <c r="K553" s="34" t="s">
        <v>90</v>
      </c>
      <c r="L553" s="34" t="str">
        <f>I553 &amp; "-" &amp;VLOOKUP(I553,Střediska!$A$1:$B$40,2,FALSE)</f>
        <v>1071-Přípravka</v>
      </c>
      <c r="M553" s="35" t="str">
        <f>VLOOKUP(Zdroj!$I553,Střediska!$A$1:$B$41,2,FALSE)</f>
        <v>Přípravka</v>
      </c>
    </row>
    <row r="554" spans="1:13" hidden="1" x14ac:dyDescent="0.2">
      <c r="A554" s="36" t="s">
        <v>31</v>
      </c>
      <c r="B554" s="31" t="s">
        <v>1207</v>
      </c>
      <c r="C554" s="31" t="s">
        <v>19</v>
      </c>
      <c r="D554" s="31"/>
      <c r="E554" s="31" t="s">
        <v>1208</v>
      </c>
      <c r="F554" s="31">
        <v>14071</v>
      </c>
      <c r="G554" s="31">
        <v>0</v>
      </c>
      <c r="H554" s="31">
        <f t="shared" si="16"/>
        <v>-14071</v>
      </c>
      <c r="I554" s="31">
        <v>2011</v>
      </c>
      <c r="J554" s="31">
        <f t="shared" si="17"/>
        <v>2</v>
      </c>
      <c r="K554" s="31" t="s">
        <v>956</v>
      </c>
      <c r="L554" s="31" t="str">
        <f>I554 &amp; "-" &amp;VLOOKUP(I554,Střediska!$A$1:$B$40,2,FALSE)</f>
        <v>2011-Ženy A</v>
      </c>
      <c r="M554" s="32" t="str">
        <f>VLOOKUP(Zdroj!$I554,Střediska!$A$1:$B$41,2,FALSE)</f>
        <v>Ženy A</v>
      </c>
    </row>
    <row r="555" spans="1:13" hidden="1" x14ac:dyDescent="0.2">
      <c r="A555" s="33" t="s">
        <v>847</v>
      </c>
      <c r="B555" s="34" t="s">
        <v>1209</v>
      </c>
      <c r="C555" s="34" t="s">
        <v>209</v>
      </c>
      <c r="D555" s="34"/>
      <c r="E555" s="34" t="s">
        <v>1210</v>
      </c>
      <c r="F555" s="34">
        <v>1800</v>
      </c>
      <c r="G555" s="34">
        <v>0</v>
      </c>
      <c r="H555" s="34">
        <f t="shared" si="16"/>
        <v>-1800</v>
      </c>
      <c r="I555" s="34">
        <v>2011</v>
      </c>
      <c r="J555" s="34">
        <f t="shared" si="17"/>
        <v>2</v>
      </c>
      <c r="K555" s="34" t="s">
        <v>103</v>
      </c>
      <c r="L555" s="34" t="str">
        <f>I555 &amp; "-" &amp;VLOOKUP(I555,Střediska!$A$1:$B$40,2,FALSE)</f>
        <v>2011-Ženy A</v>
      </c>
      <c r="M555" s="35" t="str">
        <f>VLOOKUP(Zdroj!$I555,Střediska!$A$1:$B$41,2,FALSE)</f>
        <v>Ženy A</v>
      </c>
    </row>
    <row r="556" spans="1:13" hidden="1" x14ac:dyDescent="0.2">
      <c r="A556" s="36" t="s">
        <v>357</v>
      </c>
      <c r="B556" s="31" t="s">
        <v>1211</v>
      </c>
      <c r="C556" s="31" t="s">
        <v>209</v>
      </c>
      <c r="D556" s="31"/>
      <c r="E556" s="31" t="s">
        <v>1212</v>
      </c>
      <c r="F556" s="31">
        <v>5040</v>
      </c>
      <c r="G556" s="31">
        <v>0</v>
      </c>
      <c r="H556" s="31">
        <f t="shared" si="16"/>
        <v>-5040</v>
      </c>
      <c r="I556" s="31">
        <v>2011</v>
      </c>
      <c r="J556" s="31">
        <f t="shared" si="17"/>
        <v>2</v>
      </c>
      <c r="K556" s="31" t="s">
        <v>103</v>
      </c>
      <c r="L556" s="31" t="str">
        <f>I556 &amp; "-" &amp;VLOOKUP(I556,Střediska!$A$1:$B$40,2,FALSE)</f>
        <v>2011-Ženy A</v>
      </c>
      <c r="M556" s="32" t="str">
        <f>VLOOKUP(Zdroj!$I556,Střediska!$A$1:$B$41,2,FALSE)</f>
        <v>Ženy A</v>
      </c>
    </row>
    <row r="557" spans="1:13" hidden="1" x14ac:dyDescent="0.2">
      <c r="A557" s="33" t="s">
        <v>357</v>
      </c>
      <c r="B557" s="34" t="s">
        <v>1213</v>
      </c>
      <c r="C557" s="34" t="s">
        <v>209</v>
      </c>
      <c r="D557" s="34"/>
      <c r="E557" s="34" t="s">
        <v>1212</v>
      </c>
      <c r="F557" s="34">
        <v>6960</v>
      </c>
      <c r="G557" s="34">
        <v>0</v>
      </c>
      <c r="H557" s="34">
        <f t="shared" si="16"/>
        <v>-6960</v>
      </c>
      <c r="I557" s="34">
        <v>2011</v>
      </c>
      <c r="J557" s="34">
        <f t="shared" si="17"/>
        <v>2</v>
      </c>
      <c r="K557" s="34" t="s">
        <v>103</v>
      </c>
      <c r="L557" s="34" t="str">
        <f>I557 &amp; "-" &amp;VLOOKUP(I557,Střediska!$A$1:$B$40,2,FALSE)</f>
        <v>2011-Ženy A</v>
      </c>
      <c r="M557" s="35" t="str">
        <f>VLOOKUP(Zdroj!$I557,Střediska!$A$1:$B$41,2,FALSE)</f>
        <v>Ženy A</v>
      </c>
    </row>
    <row r="558" spans="1:13" hidden="1" x14ac:dyDescent="0.2">
      <c r="A558" s="36" t="s">
        <v>357</v>
      </c>
      <c r="B558" s="31" t="s">
        <v>1214</v>
      </c>
      <c r="C558" s="31" t="s">
        <v>209</v>
      </c>
      <c r="D558" s="31"/>
      <c r="E558" s="31" t="s">
        <v>1215</v>
      </c>
      <c r="F558" s="31">
        <v>392</v>
      </c>
      <c r="G558" s="31">
        <v>0</v>
      </c>
      <c r="H558" s="31">
        <f t="shared" si="16"/>
        <v>-392</v>
      </c>
      <c r="I558" s="31">
        <v>2011</v>
      </c>
      <c r="J558" s="31">
        <f t="shared" si="17"/>
        <v>2</v>
      </c>
      <c r="K558" s="31" t="s">
        <v>103</v>
      </c>
      <c r="L558" s="31" t="str">
        <f>I558 &amp; "-" &amp;VLOOKUP(I558,Střediska!$A$1:$B$40,2,FALSE)</f>
        <v>2011-Ženy A</v>
      </c>
      <c r="M558" s="32" t="str">
        <f>VLOOKUP(Zdroj!$I558,Střediska!$A$1:$B$41,2,FALSE)</f>
        <v>Ženy A</v>
      </c>
    </row>
    <row r="559" spans="1:13" hidden="1" x14ac:dyDescent="0.2">
      <c r="A559" s="33" t="s">
        <v>357</v>
      </c>
      <c r="B559" s="34" t="s">
        <v>1216</v>
      </c>
      <c r="C559" s="34" t="s">
        <v>209</v>
      </c>
      <c r="D559" s="34"/>
      <c r="E559" s="34" t="s">
        <v>1217</v>
      </c>
      <c r="F559" s="34">
        <v>2712</v>
      </c>
      <c r="G559" s="34">
        <v>0</v>
      </c>
      <c r="H559" s="34">
        <f t="shared" si="16"/>
        <v>-2712</v>
      </c>
      <c r="I559" s="34">
        <v>2011</v>
      </c>
      <c r="J559" s="34">
        <f t="shared" si="17"/>
        <v>2</v>
      </c>
      <c r="K559" s="34" t="s">
        <v>103</v>
      </c>
      <c r="L559" s="34" t="str">
        <f>I559 &amp; "-" &amp;VLOOKUP(I559,Střediska!$A$1:$B$40,2,FALSE)</f>
        <v>2011-Ženy A</v>
      </c>
      <c r="M559" s="35" t="str">
        <f>VLOOKUP(Zdroj!$I559,Střediska!$A$1:$B$41,2,FALSE)</f>
        <v>Ženy A</v>
      </c>
    </row>
    <row r="560" spans="1:13" hidden="1" x14ac:dyDescent="0.2">
      <c r="A560" s="36" t="s">
        <v>357</v>
      </c>
      <c r="B560" s="31" t="s">
        <v>1218</v>
      </c>
      <c r="C560" s="31" t="s">
        <v>209</v>
      </c>
      <c r="D560" s="31"/>
      <c r="E560" s="31" t="s">
        <v>1219</v>
      </c>
      <c r="F560" s="31">
        <v>848</v>
      </c>
      <c r="G560" s="31">
        <v>0</v>
      </c>
      <c r="H560" s="31">
        <f t="shared" si="16"/>
        <v>-848</v>
      </c>
      <c r="I560" s="31">
        <v>2011</v>
      </c>
      <c r="J560" s="31">
        <f t="shared" si="17"/>
        <v>2</v>
      </c>
      <c r="K560" s="31" t="s">
        <v>103</v>
      </c>
      <c r="L560" s="31" t="str">
        <f>I560 &amp; "-" &amp;VLOOKUP(I560,Střediska!$A$1:$B$40,2,FALSE)</f>
        <v>2011-Ženy A</v>
      </c>
      <c r="M560" s="32" t="str">
        <f>VLOOKUP(Zdroj!$I560,Střediska!$A$1:$B$41,2,FALSE)</f>
        <v>Ženy A</v>
      </c>
    </row>
    <row r="561" spans="1:13" hidden="1" x14ac:dyDescent="0.2">
      <c r="A561" s="33" t="s">
        <v>357</v>
      </c>
      <c r="B561" s="34" t="s">
        <v>1220</v>
      </c>
      <c r="C561" s="34" t="s">
        <v>209</v>
      </c>
      <c r="D561" s="34"/>
      <c r="E561" s="34" t="s">
        <v>1221</v>
      </c>
      <c r="F561" s="34">
        <v>460</v>
      </c>
      <c r="G561" s="34">
        <v>0</v>
      </c>
      <c r="H561" s="34">
        <f t="shared" si="16"/>
        <v>-460</v>
      </c>
      <c r="I561" s="34">
        <v>2011</v>
      </c>
      <c r="J561" s="34">
        <f t="shared" si="17"/>
        <v>2</v>
      </c>
      <c r="K561" s="34" t="s">
        <v>103</v>
      </c>
      <c r="L561" s="34" t="str">
        <f>I561 &amp; "-" &amp;VLOOKUP(I561,Střediska!$A$1:$B$40,2,FALSE)</f>
        <v>2011-Ženy A</v>
      </c>
      <c r="M561" s="35" t="str">
        <f>VLOOKUP(Zdroj!$I561,Střediska!$A$1:$B$41,2,FALSE)</f>
        <v>Ženy A</v>
      </c>
    </row>
    <row r="562" spans="1:13" hidden="1" x14ac:dyDescent="0.2">
      <c r="A562" s="36" t="s">
        <v>28</v>
      </c>
      <c r="B562" s="31" t="s">
        <v>1222</v>
      </c>
      <c r="C562" s="31" t="s">
        <v>209</v>
      </c>
      <c r="D562" s="31"/>
      <c r="E562" s="31" t="s">
        <v>1212</v>
      </c>
      <c r="F562" s="31">
        <v>10800</v>
      </c>
      <c r="G562" s="31">
        <v>0</v>
      </c>
      <c r="H562" s="31">
        <f t="shared" si="16"/>
        <v>-10800</v>
      </c>
      <c r="I562" s="31">
        <v>2011</v>
      </c>
      <c r="J562" s="31">
        <f t="shared" si="17"/>
        <v>2</v>
      </c>
      <c r="K562" s="31" t="s">
        <v>103</v>
      </c>
      <c r="L562" s="31" t="str">
        <f>I562 &amp; "-" &amp;VLOOKUP(I562,Střediska!$A$1:$B$40,2,FALSE)</f>
        <v>2011-Ženy A</v>
      </c>
      <c r="M562" s="32" t="str">
        <f>VLOOKUP(Zdroj!$I562,Střediska!$A$1:$B$41,2,FALSE)</f>
        <v>Ženy A</v>
      </c>
    </row>
    <row r="563" spans="1:13" hidden="1" x14ac:dyDescent="0.2">
      <c r="A563" s="33" t="s">
        <v>1224</v>
      </c>
      <c r="B563" s="34" t="s">
        <v>1223</v>
      </c>
      <c r="C563" s="34" t="s">
        <v>209</v>
      </c>
      <c r="D563" s="34"/>
      <c r="E563" s="34" t="s">
        <v>1212</v>
      </c>
      <c r="F563" s="34">
        <v>3600</v>
      </c>
      <c r="G563" s="34">
        <v>0</v>
      </c>
      <c r="H563" s="34">
        <f t="shared" si="16"/>
        <v>-3600</v>
      </c>
      <c r="I563" s="34">
        <v>2011</v>
      </c>
      <c r="J563" s="34">
        <f t="shared" si="17"/>
        <v>2</v>
      </c>
      <c r="K563" s="34" t="s">
        <v>103</v>
      </c>
      <c r="L563" s="34" t="str">
        <f>I563 &amp; "-" &amp;VLOOKUP(I563,Střediska!$A$1:$B$40,2,FALSE)</f>
        <v>2011-Ženy A</v>
      </c>
      <c r="M563" s="35" t="str">
        <f>VLOOKUP(Zdroj!$I563,Střediska!$A$1:$B$41,2,FALSE)</f>
        <v>Ženy A</v>
      </c>
    </row>
    <row r="564" spans="1:13" hidden="1" x14ac:dyDescent="0.2">
      <c r="A564" s="36" t="s">
        <v>1224</v>
      </c>
      <c r="B564" s="31" t="s">
        <v>1225</v>
      </c>
      <c r="C564" s="31" t="s">
        <v>209</v>
      </c>
      <c r="D564" s="31"/>
      <c r="E564" s="31" t="s">
        <v>1226</v>
      </c>
      <c r="F564" s="31">
        <v>446</v>
      </c>
      <c r="G564" s="31">
        <v>0</v>
      </c>
      <c r="H564" s="31">
        <f t="shared" si="16"/>
        <v>-446</v>
      </c>
      <c r="I564" s="31">
        <v>2011</v>
      </c>
      <c r="J564" s="31">
        <f t="shared" si="17"/>
        <v>2</v>
      </c>
      <c r="K564" s="31" t="s">
        <v>103</v>
      </c>
      <c r="L564" s="31" t="str">
        <f>I564 &amp; "-" &amp;VLOOKUP(I564,Střediska!$A$1:$B$40,2,FALSE)</f>
        <v>2011-Ženy A</v>
      </c>
      <c r="M564" s="32" t="str">
        <f>VLOOKUP(Zdroj!$I564,Střediska!$A$1:$B$41,2,FALSE)</f>
        <v>Ženy A</v>
      </c>
    </row>
    <row r="565" spans="1:13" hidden="1" x14ac:dyDescent="0.2">
      <c r="A565" s="33" t="s">
        <v>1224</v>
      </c>
      <c r="B565" s="34" t="s">
        <v>1227</v>
      </c>
      <c r="C565" s="34" t="s">
        <v>209</v>
      </c>
      <c r="D565" s="34"/>
      <c r="E565" s="34" t="s">
        <v>1228</v>
      </c>
      <c r="F565" s="34">
        <v>2445</v>
      </c>
      <c r="G565" s="34">
        <v>0</v>
      </c>
      <c r="H565" s="34">
        <f t="shared" si="16"/>
        <v>-2445</v>
      </c>
      <c r="I565" s="34">
        <v>2011</v>
      </c>
      <c r="J565" s="34">
        <f t="shared" si="17"/>
        <v>2</v>
      </c>
      <c r="K565" s="34" t="s">
        <v>103</v>
      </c>
      <c r="L565" s="34" t="str">
        <f>I565 &amp; "-" &amp;VLOOKUP(I565,Střediska!$A$1:$B$40,2,FALSE)</f>
        <v>2011-Ženy A</v>
      </c>
      <c r="M565" s="35" t="str">
        <f>VLOOKUP(Zdroj!$I565,Střediska!$A$1:$B$41,2,FALSE)</f>
        <v>Ženy A</v>
      </c>
    </row>
    <row r="566" spans="1:13" hidden="1" x14ac:dyDescent="0.2">
      <c r="A566" s="36" t="s">
        <v>1224</v>
      </c>
      <c r="B566" s="31" t="s">
        <v>1229</v>
      </c>
      <c r="C566" s="31" t="s">
        <v>209</v>
      </c>
      <c r="D566" s="31"/>
      <c r="E566" s="31" t="s">
        <v>1230</v>
      </c>
      <c r="F566" s="31">
        <v>527</v>
      </c>
      <c r="G566" s="31">
        <v>0</v>
      </c>
      <c r="H566" s="31">
        <f t="shared" si="16"/>
        <v>-527</v>
      </c>
      <c r="I566" s="31">
        <v>2011</v>
      </c>
      <c r="J566" s="31">
        <f t="shared" si="17"/>
        <v>2</v>
      </c>
      <c r="K566" s="31" t="s">
        <v>103</v>
      </c>
      <c r="L566" s="31" t="str">
        <f>I566 &amp; "-" &amp;VLOOKUP(I566,Střediska!$A$1:$B$40,2,FALSE)</f>
        <v>2011-Ženy A</v>
      </c>
      <c r="M566" s="32" t="str">
        <f>VLOOKUP(Zdroj!$I566,Střediska!$A$1:$B$41,2,FALSE)</f>
        <v>Ženy A</v>
      </c>
    </row>
    <row r="567" spans="1:13" hidden="1" x14ac:dyDescent="0.2">
      <c r="A567" s="33" t="s">
        <v>1224</v>
      </c>
      <c r="B567" s="34" t="s">
        <v>1231</v>
      </c>
      <c r="C567" s="34" t="s">
        <v>209</v>
      </c>
      <c r="D567" s="34"/>
      <c r="E567" s="34" t="s">
        <v>1232</v>
      </c>
      <c r="F567" s="34">
        <v>416</v>
      </c>
      <c r="G567" s="34">
        <v>0</v>
      </c>
      <c r="H567" s="34">
        <f t="shared" si="16"/>
        <v>-416</v>
      </c>
      <c r="I567" s="34">
        <v>2011</v>
      </c>
      <c r="J567" s="34">
        <f t="shared" si="17"/>
        <v>2</v>
      </c>
      <c r="K567" s="34" t="s">
        <v>103</v>
      </c>
      <c r="L567" s="34" t="str">
        <f>I567 &amp; "-" &amp;VLOOKUP(I567,Střediska!$A$1:$B$40,2,FALSE)</f>
        <v>2011-Ženy A</v>
      </c>
      <c r="M567" s="35" t="str">
        <f>VLOOKUP(Zdroj!$I567,Střediska!$A$1:$B$41,2,FALSE)</f>
        <v>Ženy A</v>
      </c>
    </row>
    <row r="568" spans="1:13" hidden="1" x14ac:dyDescent="0.2">
      <c r="A568" s="36" t="s">
        <v>1224</v>
      </c>
      <c r="B568" s="31" t="s">
        <v>1233</v>
      </c>
      <c r="C568" s="31" t="s">
        <v>209</v>
      </c>
      <c r="D568" s="31"/>
      <c r="E568" s="31" t="s">
        <v>1234</v>
      </c>
      <c r="F568" s="31">
        <v>432</v>
      </c>
      <c r="G568" s="31">
        <v>0</v>
      </c>
      <c r="H568" s="31">
        <f t="shared" si="16"/>
        <v>-432</v>
      </c>
      <c r="I568" s="31">
        <v>2011</v>
      </c>
      <c r="J568" s="31">
        <f t="shared" si="17"/>
        <v>2</v>
      </c>
      <c r="K568" s="31" t="s">
        <v>103</v>
      </c>
      <c r="L568" s="31" t="str">
        <f>I568 &amp; "-" &amp;VLOOKUP(I568,Střediska!$A$1:$B$40,2,FALSE)</f>
        <v>2011-Ženy A</v>
      </c>
      <c r="M568" s="32" t="str">
        <f>VLOOKUP(Zdroj!$I568,Střediska!$A$1:$B$41,2,FALSE)</f>
        <v>Ženy A</v>
      </c>
    </row>
    <row r="569" spans="1:13" hidden="1" x14ac:dyDescent="0.2">
      <c r="A569" s="33" t="s">
        <v>1236</v>
      </c>
      <c r="B569" s="34" t="s">
        <v>1235</v>
      </c>
      <c r="C569" s="34" t="s">
        <v>209</v>
      </c>
      <c r="D569" s="34"/>
      <c r="E569" s="34" t="s">
        <v>1237</v>
      </c>
      <c r="F569" s="34">
        <v>513</v>
      </c>
      <c r="G569" s="34">
        <v>0</v>
      </c>
      <c r="H569" s="34">
        <f t="shared" si="16"/>
        <v>-513</v>
      </c>
      <c r="I569" s="34">
        <v>2011</v>
      </c>
      <c r="J569" s="34">
        <f t="shared" si="17"/>
        <v>2</v>
      </c>
      <c r="K569" s="34" t="s">
        <v>103</v>
      </c>
      <c r="L569" s="34" t="str">
        <f>I569 &amp; "-" &amp;VLOOKUP(I569,Střediska!$A$1:$B$40,2,FALSE)</f>
        <v>2011-Ženy A</v>
      </c>
      <c r="M569" s="35" t="str">
        <f>VLOOKUP(Zdroj!$I569,Střediska!$A$1:$B$41,2,FALSE)</f>
        <v>Ženy A</v>
      </c>
    </row>
    <row r="570" spans="1:13" hidden="1" x14ac:dyDescent="0.2">
      <c r="A570" s="36" t="s">
        <v>1236</v>
      </c>
      <c r="B570" s="31" t="s">
        <v>1238</v>
      </c>
      <c r="C570" s="31" t="s">
        <v>209</v>
      </c>
      <c r="D570" s="31"/>
      <c r="E570" s="31" t="s">
        <v>1239</v>
      </c>
      <c r="F570" s="31">
        <v>1220</v>
      </c>
      <c r="G570" s="31">
        <v>0</v>
      </c>
      <c r="H570" s="31">
        <f t="shared" si="16"/>
        <v>-1220</v>
      </c>
      <c r="I570" s="31">
        <v>2011</v>
      </c>
      <c r="J570" s="31">
        <f t="shared" si="17"/>
        <v>2</v>
      </c>
      <c r="K570" s="31" t="s">
        <v>103</v>
      </c>
      <c r="L570" s="31" t="str">
        <f>I570 &amp; "-" &amp;VLOOKUP(I570,Střediska!$A$1:$B$40,2,FALSE)</f>
        <v>2011-Ženy A</v>
      </c>
      <c r="M570" s="32" t="str">
        <f>VLOOKUP(Zdroj!$I570,Střediska!$A$1:$B$41,2,FALSE)</f>
        <v>Ženy A</v>
      </c>
    </row>
    <row r="571" spans="1:13" hidden="1" x14ac:dyDescent="0.2">
      <c r="A571" s="33" t="s">
        <v>218</v>
      </c>
      <c r="B571" s="34" t="s">
        <v>1240</v>
      </c>
      <c r="C571" s="34" t="s">
        <v>209</v>
      </c>
      <c r="D571" s="34"/>
      <c r="E571" s="34" t="s">
        <v>964</v>
      </c>
      <c r="F571" s="34">
        <v>1920</v>
      </c>
      <c r="G571" s="34">
        <v>0</v>
      </c>
      <c r="H571" s="34">
        <f t="shared" si="16"/>
        <v>-1920</v>
      </c>
      <c r="I571" s="34">
        <v>2011</v>
      </c>
      <c r="J571" s="34">
        <f t="shared" si="17"/>
        <v>2</v>
      </c>
      <c r="K571" s="34" t="s">
        <v>103</v>
      </c>
      <c r="L571" s="34" t="str">
        <f>I571 &amp; "-" &amp;VLOOKUP(I571,Střediska!$A$1:$B$40,2,FALSE)</f>
        <v>2011-Ženy A</v>
      </c>
      <c r="M571" s="35" t="str">
        <f>VLOOKUP(Zdroj!$I571,Střediska!$A$1:$B$41,2,FALSE)</f>
        <v>Ženy A</v>
      </c>
    </row>
    <row r="572" spans="1:13" hidden="1" x14ac:dyDescent="0.2">
      <c r="A572" s="36" t="s">
        <v>220</v>
      </c>
      <c r="B572" s="31" t="s">
        <v>1241</v>
      </c>
      <c r="C572" s="31" t="s">
        <v>209</v>
      </c>
      <c r="D572" s="31"/>
      <c r="E572" s="31" t="s">
        <v>1242</v>
      </c>
      <c r="F572" s="31">
        <v>518</v>
      </c>
      <c r="G572" s="31">
        <v>0</v>
      </c>
      <c r="H572" s="31">
        <f t="shared" si="16"/>
        <v>-518</v>
      </c>
      <c r="I572" s="31">
        <v>2011</v>
      </c>
      <c r="J572" s="31">
        <f t="shared" si="17"/>
        <v>2</v>
      </c>
      <c r="K572" s="31" t="s">
        <v>103</v>
      </c>
      <c r="L572" s="31" t="str">
        <f>I572 &amp; "-" &amp;VLOOKUP(I572,Střediska!$A$1:$B$40,2,FALSE)</f>
        <v>2011-Ženy A</v>
      </c>
      <c r="M572" s="32" t="str">
        <f>VLOOKUP(Zdroj!$I572,Střediska!$A$1:$B$41,2,FALSE)</f>
        <v>Ženy A</v>
      </c>
    </row>
    <row r="573" spans="1:13" hidden="1" x14ac:dyDescent="0.2">
      <c r="A573" s="33" t="s">
        <v>220</v>
      </c>
      <c r="B573" s="34" t="s">
        <v>1243</v>
      </c>
      <c r="C573" s="34" t="s">
        <v>209</v>
      </c>
      <c r="D573" s="34"/>
      <c r="E573" s="34" t="s">
        <v>1244</v>
      </c>
      <c r="F573" s="34">
        <v>2049</v>
      </c>
      <c r="G573" s="34">
        <v>0</v>
      </c>
      <c r="H573" s="34">
        <f t="shared" si="16"/>
        <v>-2049</v>
      </c>
      <c r="I573" s="34">
        <v>2011</v>
      </c>
      <c r="J573" s="34">
        <f t="shared" si="17"/>
        <v>2</v>
      </c>
      <c r="K573" s="34" t="s">
        <v>103</v>
      </c>
      <c r="L573" s="34" t="str">
        <f>I573 &amp; "-" &amp;VLOOKUP(I573,Střediska!$A$1:$B$40,2,FALSE)</f>
        <v>2011-Ženy A</v>
      </c>
      <c r="M573" s="35" t="str">
        <f>VLOOKUP(Zdroj!$I573,Střediska!$A$1:$B$41,2,FALSE)</f>
        <v>Ženy A</v>
      </c>
    </row>
    <row r="574" spans="1:13" hidden="1" x14ac:dyDescent="0.2">
      <c r="A574" s="36" t="s">
        <v>220</v>
      </c>
      <c r="B574" s="31" t="s">
        <v>1245</v>
      </c>
      <c r="C574" s="31" t="s">
        <v>209</v>
      </c>
      <c r="D574" s="31"/>
      <c r="E574" s="31" t="s">
        <v>1246</v>
      </c>
      <c r="F574" s="31">
        <v>366</v>
      </c>
      <c r="G574" s="31">
        <v>0</v>
      </c>
      <c r="H574" s="31">
        <f t="shared" si="16"/>
        <v>-366</v>
      </c>
      <c r="I574" s="31">
        <v>2011</v>
      </c>
      <c r="J574" s="31">
        <f t="shared" si="17"/>
        <v>2</v>
      </c>
      <c r="K574" s="31" t="s">
        <v>103</v>
      </c>
      <c r="L574" s="31" t="str">
        <f>I574 &amp; "-" &amp;VLOOKUP(I574,Střediska!$A$1:$B$40,2,FALSE)</f>
        <v>2011-Ženy A</v>
      </c>
      <c r="M574" s="32" t="str">
        <f>VLOOKUP(Zdroj!$I574,Střediska!$A$1:$B$41,2,FALSE)</f>
        <v>Ženy A</v>
      </c>
    </row>
    <row r="575" spans="1:13" hidden="1" x14ac:dyDescent="0.2">
      <c r="A575" s="33" t="s">
        <v>220</v>
      </c>
      <c r="B575" s="34" t="s">
        <v>1247</v>
      </c>
      <c r="C575" s="34" t="s">
        <v>209</v>
      </c>
      <c r="D575" s="34"/>
      <c r="E575" s="34" t="s">
        <v>964</v>
      </c>
      <c r="F575" s="34">
        <v>2400</v>
      </c>
      <c r="G575" s="34">
        <v>0</v>
      </c>
      <c r="H575" s="34">
        <f t="shared" si="16"/>
        <v>-2400</v>
      </c>
      <c r="I575" s="34">
        <v>2011</v>
      </c>
      <c r="J575" s="34">
        <f t="shared" si="17"/>
        <v>2</v>
      </c>
      <c r="K575" s="34" t="s">
        <v>103</v>
      </c>
      <c r="L575" s="34" t="str">
        <f>I575 &amp; "-" &amp;VLOOKUP(I575,Střediska!$A$1:$B$40,2,FALSE)</f>
        <v>2011-Ženy A</v>
      </c>
      <c r="M575" s="35" t="str">
        <f>VLOOKUP(Zdroj!$I575,Střediska!$A$1:$B$41,2,FALSE)</f>
        <v>Ženy A</v>
      </c>
    </row>
    <row r="576" spans="1:13" hidden="1" x14ac:dyDescent="0.2">
      <c r="A576" s="36" t="s">
        <v>220</v>
      </c>
      <c r="B576" s="31" t="s">
        <v>1248</v>
      </c>
      <c r="C576" s="31" t="s">
        <v>209</v>
      </c>
      <c r="D576" s="31"/>
      <c r="E576" s="31" t="s">
        <v>964</v>
      </c>
      <c r="F576" s="31">
        <v>8400</v>
      </c>
      <c r="G576" s="31">
        <v>0</v>
      </c>
      <c r="H576" s="31">
        <f t="shared" si="16"/>
        <v>-8400</v>
      </c>
      <c r="I576" s="31">
        <v>2011</v>
      </c>
      <c r="J576" s="31">
        <f t="shared" si="17"/>
        <v>2</v>
      </c>
      <c r="K576" s="31" t="s">
        <v>103</v>
      </c>
      <c r="L576" s="31" t="str">
        <f>I576 &amp; "-" &amp;VLOOKUP(I576,Střediska!$A$1:$B$40,2,FALSE)</f>
        <v>2011-Ženy A</v>
      </c>
      <c r="M576" s="32" t="str">
        <f>VLOOKUP(Zdroj!$I576,Střediska!$A$1:$B$41,2,FALSE)</f>
        <v>Ženy A</v>
      </c>
    </row>
    <row r="577" spans="1:13" hidden="1" x14ac:dyDescent="0.2">
      <c r="A577" s="33" t="s">
        <v>1250</v>
      </c>
      <c r="B577" s="34" t="s">
        <v>1249</v>
      </c>
      <c r="C577" s="34" t="s">
        <v>209</v>
      </c>
      <c r="D577" s="34"/>
      <c r="E577" s="34" t="s">
        <v>964</v>
      </c>
      <c r="F577" s="34">
        <v>6720</v>
      </c>
      <c r="G577" s="34">
        <v>0</v>
      </c>
      <c r="H577" s="34">
        <f t="shared" si="16"/>
        <v>-6720</v>
      </c>
      <c r="I577" s="34">
        <v>2011</v>
      </c>
      <c r="J577" s="34">
        <f t="shared" si="17"/>
        <v>2</v>
      </c>
      <c r="K577" s="34" t="s">
        <v>103</v>
      </c>
      <c r="L577" s="34" t="str">
        <f>I577 &amp; "-" &amp;VLOOKUP(I577,Střediska!$A$1:$B$40,2,FALSE)</f>
        <v>2011-Ženy A</v>
      </c>
      <c r="M577" s="35" t="str">
        <f>VLOOKUP(Zdroj!$I577,Střediska!$A$1:$B$41,2,FALSE)</f>
        <v>Ženy A</v>
      </c>
    </row>
    <row r="578" spans="1:13" hidden="1" x14ac:dyDescent="0.2">
      <c r="A578" s="36" t="s">
        <v>1250</v>
      </c>
      <c r="B578" s="31" t="s">
        <v>1251</v>
      </c>
      <c r="C578" s="31" t="s">
        <v>209</v>
      </c>
      <c r="D578" s="31"/>
      <c r="E578" s="31" t="s">
        <v>1252</v>
      </c>
      <c r="F578" s="31">
        <v>2657</v>
      </c>
      <c r="G578" s="31">
        <v>0</v>
      </c>
      <c r="H578" s="31">
        <f t="shared" ref="H578:H641" si="18">-F578+G578</f>
        <v>-2657</v>
      </c>
      <c r="I578" s="31">
        <v>2011</v>
      </c>
      <c r="J578" s="31">
        <f t="shared" ref="J578:J641" si="19">VALUE(LEFT(I578,1))</f>
        <v>2</v>
      </c>
      <c r="K578" s="31" t="s">
        <v>103</v>
      </c>
      <c r="L578" s="31" t="str">
        <f>I578 &amp; "-" &amp;VLOOKUP(I578,Střediska!$A$1:$B$40,2,FALSE)</f>
        <v>2011-Ženy A</v>
      </c>
      <c r="M578" s="32" t="str">
        <f>VLOOKUP(Zdroj!$I578,Střediska!$A$1:$B$41,2,FALSE)</f>
        <v>Ženy A</v>
      </c>
    </row>
    <row r="579" spans="1:13" hidden="1" x14ac:dyDescent="0.2">
      <c r="A579" s="33" t="s">
        <v>1250</v>
      </c>
      <c r="B579" s="34" t="s">
        <v>1253</v>
      </c>
      <c r="C579" s="34" t="s">
        <v>209</v>
      </c>
      <c r="D579" s="34"/>
      <c r="E579" s="34" t="s">
        <v>1254</v>
      </c>
      <c r="F579" s="34">
        <v>388</v>
      </c>
      <c r="G579" s="34">
        <v>0</v>
      </c>
      <c r="H579" s="34">
        <f t="shared" si="18"/>
        <v>-388</v>
      </c>
      <c r="I579" s="34">
        <v>2011</v>
      </c>
      <c r="J579" s="34">
        <f t="shared" si="19"/>
        <v>2</v>
      </c>
      <c r="K579" s="34" t="s">
        <v>103</v>
      </c>
      <c r="L579" s="34" t="str">
        <f>I579 &amp; "-" &amp;VLOOKUP(I579,Střediska!$A$1:$B$40,2,FALSE)</f>
        <v>2011-Ženy A</v>
      </c>
      <c r="M579" s="35" t="str">
        <f>VLOOKUP(Zdroj!$I579,Střediska!$A$1:$B$41,2,FALSE)</f>
        <v>Ženy A</v>
      </c>
    </row>
    <row r="580" spans="1:13" hidden="1" x14ac:dyDescent="0.2">
      <c r="A580" s="36" t="s">
        <v>1250</v>
      </c>
      <c r="B580" s="31" t="s">
        <v>1255</v>
      </c>
      <c r="C580" s="31" t="s">
        <v>209</v>
      </c>
      <c r="D580" s="31"/>
      <c r="E580" s="31" t="s">
        <v>1256</v>
      </c>
      <c r="F580" s="31">
        <v>2605</v>
      </c>
      <c r="G580" s="31">
        <v>0</v>
      </c>
      <c r="H580" s="31">
        <f t="shared" si="18"/>
        <v>-2605</v>
      </c>
      <c r="I580" s="31">
        <v>2011</v>
      </c>
      <c r="J580" s="31">
        <f t="shared" si="19"/>
        <v>2</v>
      </c>
      <c r="K580" s="31" t="s">
        <v>103</v>
      </c>
      <c r="L580" s="31" t="str">
        <f>I580 &amp; "-" &amp;VLOOKUP(I580,Střediska!$A$1:$B$40,2,FALSE)</f>
        <v>2011-Ženy A</v>
      </c>
      <c r="M580" s="32" t="str">
        <f>VLOOKUP(Zdroj!$I580,Střediska!$A$1:$B$41,2,FALSE)</f>
        <v>Ženy A</v>
      </c>
    </row>
    <row r="581" spans="1:13" hidden="1" x14ac:dyDescent="0.2">
      <c r="A581" s="33" t="s">
        <v>201</v>
      </c>
      <c r="B581" s="34" t="s">
        <v>1257</v>
      </c>
      <c r="C581" s="34" t="s">
        <v>209</v>
      </c>
      <c r="D581" s="34"/>
      <c r="E581" s="34" t="s">
        <v>1258</v>
      </c>
      <c r="F581" s="34">
        <v>325</v>
      </c>
      <c r="G581" s="34">
        <v>0</v>
      </c>
      <c r="H581" s="34">
        <f t="shared" si="18"/>
        <v>-325</v>
      </c>
      <c r="I581" s="34">
        <v>2011</v>
      </c>
      <c r="J581" s="34">
        <f t="shared" si="19"/>
        <v>2</v>
      </c>
      <c r="K581" s="34" t="s">
        <v>103</v>
      </c>
      <c r="L581" s="34" t="str">
        <f>I581 &amp; "-" &amp;VLOOKUP(I581,Střediska!$A$1:$B$40,2,FALSE)</f>
        <v>2011-Ženy A</v>
      </c>
      <c r="M581" s="35" t="str">
        <f>VLOOKUP(Zdroj!$I581,Střediska!$A$1:$B$41,2,FALSE)</f>
        <v>Ženy A</v>
      </c>
    </row>
    <row r="582" spans="1:13" hidden="1" x14ac:dyDescent="0.2">
      <c r="A582" s="36" t="s">
        <v>201</v>
      </c>
      <c r="B582" s="31" t="s">
        <v>1259</v>
      </c>
      <c r="C582" s="31" t="s">
        <v>209</v>
      </c>
      <c r="D582" s="31"/>
      <c r="E582" s="31" t="s">
        <v>1260</v>
      </c>
      <c r="F582" s="31">
        <v>2880</v>
      </c>
      <c r="G582" s="31">
        <v>0</v>
      </c>
      <c r="H582" s="31">
        <f t="shared" si="18"/>
        <v>-2880</v>
      </c>
      <c r="I582" s="31">
        <v>2011</v>
      </c>
      <c r="J582" s="31">
        <f t="shared" si="19"/>
        <v>2</v>
      </c>
      <c r="K582" s="31" t="s">
        <v>103</v>
      </c>
      <c r="L582" s="31" t="str">
        <f>I582 &amp; "-" &amp;VLOOKUP(I582,Střediska!$A$1:$B$40,2,FALSE)</f>
        <v>2011-Ženy A</v>
      </c>
      <c r="M582" s="32" t="str">
        <f>VLOOKUP(Zdroj!$I582,Střediska!$A$1:$B$41,2,FALSE)</f>
        <v>Ženy A</v>
      </c>
    </row>
    <row r="583" spans="1:13" hidden="1" x14ac:dyDescent="0.2">
      <c r="A583" s="33" t="s">
        <v>201</v>
      </c>
      <c r="B583" s="34" t="s">
        <v>1261</v>
      </c>
      <c r="C583" s="34" t="s">
        <v>209</v>
      </c>
      <c r="D583" s="34"/>
      <c r="E583" s="34" t="s">
        <v>1262</v>
      </c>
      <c r="F583" s="34">
        <v>3750</v>
      </c>
      <c r="G583" s="34">
        <v>0</v>
      </c>
      <c r="H583" s="34">
        <f t="shared" si="18"/>
        <v>-3750</v>
      </c>
      <c r="I583" s="34">
        <v>2011</v>
      </c>
      <c r="J583" s="34">
        <f t="shared" si="19"/>
        <v>2</v>
      </c>
      <c r="K583" s="34" t="s">
        <v>103</v>
      </c>
      <c r="L583" s="34" t="str">
        <f>I583 &amp; "-" &amp;VLOOKUP(I583,Střediska!$A$1:$B$40,2,FALSE)</f>
        <v>2011-Ženy A</v>
      </c>
      <c r="M583" s="35" t="str">
        <f>VLOOKUP(Zdroj!$I583,Střediska!$A$1:$B$41,2,FALSE)</f>
        <v>Ženy A</v>
      </c>
    </row>
    <row r="584" spans="1:13" hidden="1" x14ac:dyDescent="0.2">
      <c r="A584" s="36" t="s">
        <v>318</v>
      </c>
      <c r="B584" s="31" t="s">
        <v>1263</v>
      </c>
      <c r="C584" s="31" t="s">
        <v>209</v>
      </c>
      <c r="D584" s="31"/>
      <c r="E584" s="31" t="s">
        <v>964</v>
      </c>
      <c r="F584" s="31">
        <v>9120</v>
      </c>
      <c r="G584" s="31">
        <v>0</v>
      </c>
      <c r="H584" s="31">
        <f t="shared" si="18"/>
        <v>-9120</v>
      </c>
      <c r="I584" s="31">
        <v>2011</v>
      </c>
      <c r="J584" s="31">
        <f t="shared" si="19"/>
        <v>2</v>
      </c>
      <c r="K584" s="31" t="s">
        <v>103</v>
      </c>
      <c r="L584" s="31" t="str">
        <f>I584 &amp; "-" &amp;VLOOKUP(I584,Střediska!$A$1:$B$40,2,FALSE)</f>
        <v>2011-Ženy A</v>
      </c>
      <c r="M584" s="32" t="str">
        <f>VLOOKUP(Zdroj!$I584,Střediska!$A$1:$B$41,2,FALSE)</f>
        <v>Ženy A</v>
      </c>
    </row>
    <row r="585" spans="1:13" hidden="1" x14ac:dyDescent="0.2">
      <c r="A585" s="33" t="s">
        <v>467</v>
      </c>
      <c r="B585" s="34" t="s">
        <v>1264</v>
      </c>
      <c r="C585" s="34" t="s">
        <v>209</v>
      </c>
      <c r="D585" s="34"/>
      <c r="E585" s="34" t="s">
        <v>964</v>
      </c>
      <c r="F585" s="34">
        <v>4950</v>
      </c>
      <c r="G585" s="34">
        <v>0</v>
      </c>
      <c r="H585" s="34">
        <f t="shared" si="18"/>
        <v>-4950</v>
      </c>
      <c r="I585" s="34">
        <v>2011</v>
      </c>
      <c r="J585" s="34">
        <f t="shared" si="19"/>
        <v>2</v>
      </c>
      <c r="K585" s="34" t="s">
        <v>103</v>
      </c>
      <c r="L585" s="34" t="str">
        <f>I585 &amp; "-" &amp;VLOOKUP(I585,Střediska!$A$1:$B$40,2,FALSE)</f>
        <v>2011-Ženy A</v>
      </c>
      <c r="M585" s="35" t="str">
        <f>VLOOKUP(Zdroj!$I585,Střediska!$A$1:$B$41,2,FALSE)</f>
        <v>Ženy A</v>
      </c>
    </row>
    <row r="586" spans="1:13" hidden="1" x14ac:dyDescent="0.2">
      <c r="A586" s="36" t="s">
        <v>467</v>
      </c>
      <c r="B586" s="31" t="s">
        <v>1265</v>
      </c>
      <c r="C586" s="31" t="s">
        <v>209</v>
      </c>
      <c r="D586" s="31"/>
      <c r="E586" s="31" t="s">
        <v>1266</v>
      </c>
      <c r="F586" s="31">
        <v>795</v>
      </c>
      <c r="G586" s="31">
        <v>0</v>
      </c>
      <c r="H586" s="31">
        <f t="shared" si="18"/>
        <v>-795</v>
      </c>
      <c r="I586" s="31">
        <v>2011</v>
      </c>
      <c r="J586" s="31">
        <f t="shared" si="19"/>
        <v>2</v>
      </c>
      <c r="K586" s="31" t="s">
        <v>103</v>
      </c>
      <c r="L586" s="31" t="str">
        <f>I586 &amp; "-" &amp;VLOOKUP(I586,Střediska!$A$1:$B$40,2,FALSE)</f>
        <v>2011-Ženy A</v>
      </c>
      <c r="M586" s="32" t="str">
        <f>VLOOKUP(Zdroj!$I586,Střediska!$A$1:$B$41,2,FALSE)</f>
        <v>Ženy A</v>
      </c>
    </row>
    <row r="587" spans="1:13" hidden="1" x14ac:dyDescent="0.2">
      <c r="A587" s="33" t="s">
        <v>467</v>
      </c>
      <c r="B587" s="34" t="s">
        <v>1267</v>
      </c>
      <c r="C587" s="34" t="s">
        <v>209</v>
      </c>
      <c r="D587" s="34"/>
      <c r="E587" s="34" t="s">
        <v>1268</v>
      </c>
      <c r="F587" s="34">
        <v>592</v>
      </c>
      <c r="G587" s="34">
        <v>0</v>
      </c>
      <c r="H587" s="34">
        <f t="shared" si="18"/>
        <v>-592</v>
      </c>
      <c r="I587" s="34">
        <v>2011</v>
      </c>
      <c r="J587" s="34">
        <f t="shared" si="19"/>
        <v>2</v>
      </c>
      <c r="K587" s="34" t="s">
        <v>103</v>
      </c>
      <c r="L587" s="34" t="str">
        <f>I587 &amp; "-" &amp;VLOOKUP(I587,Střediska!$A$1:$B$40,2,FALSE)</f>
        <v>2011-Ženy A</v>
      </c>
      <c r="M587" s="35" t="str">
        <f>VLOOKUP(Zdroj!$I587,Střediska!$A$1:$B$41,2,FALSE)</f>
        <v>Ženy A</v>
      </c>
    </row>
    <row r="588" spans="1:13" hidden="1" x14ac:dyDescent="0.2">
      <c r="A588" s="36" t="s">
        <v>467</v>
      </c>
      <c r="B588" s="31" t="s">
        <v>1269</v>
      </c>
      <c r="C588" s="31" t="s">
        <v>209</v>
      </c>
      <c r="D588" s="31"/>
      <c r="E588" s="31" t="s">
        <v>1270</v>
      </c>
      <c r="F588" s="31">
        <v>885</v>
      </c>
      <c r="G588" s="31">
        <v>0</v>
      </c>
      <c r="H588" s="31">
        <f t="shared" si="18"/>
        <v>-885</v>
      </c>
      <c r="I588" s="31">
        <v>2011</v>
      </c>
      <c r="J588" s="31">
        <f t="shared" si="19"/>
        <v>2</v>
      </c>
      <c r="K588" s="31" t="s">
        <v>103</v>
      </c>
      <c r="L588" s="31" t="str">
        <f>I588 &amp; "-" &amp;VLOOKUP(I588,Střediska!$A$1:$B$40,2,FALSE)</f>
        <v>2011-Ženy A</v>
      </c>
      <c r="M588" s="32" t="str">
        <f>VLOOKUP(Zdroj!$I588,Střediska!$A$1:$B$41,2,FALSE)</f>
        <v>Ženy A</v>
      </c>
    </row>
    <row r="589" spans="1:13" hidden="1" x14ac:dyDescent="0.2">
      <c r="A589" s="33" t="s">
        <v>1203</v>
      </c>
      <c r="B589" s="34" t="s">
        <v>1271</v>
      </c>
      <c r="C589" s="34" t="s">
        <v>209</v>
      </c>
      <c r="D589" s="34"/>
      <c r="E589" s="34" t="s">
        <v>1272</v>
      </c>
      <c r="F589" s="34">
        <v>432</v>
      </c>
      <c r="G589" s="34">
        <v>0</v>
      </c>
      <c r="H589" s="34">
        <f t="shared" si="18"/>
        <v>-432</v>
      </c>
      <c r="I589" s="34">
        <v>2011</v>
      </c>
      <c r="J589" s="34">
        <f t="shared" si="19"/>
        <v>2</v>
      </c>
      <c r="K589" s="34" t="s">
        <v>103</v>
      </c>
      <c r="L589" s="34" t="str">
        <f>I589 &amp; "-" &amp;VLOOKUP(I589,Střediska!$A$1:$B$40,2,FALSE)</f>
        <v>2011-Ženy A</v>
      </c>
      <c r="M589" s="35" t="str">
        <f>VLOOKUP(Zdroj!$I589,Střediska!$A$1:$B$41,2,FALSE)</f>
        <v>Ženy A</v>
      </c>
    </row>
    <row r="590" spans="1:13" hidden="1" x14ac:dyDescent="0.2">
      <c r="A590" s="36" t="s">
        <v>1203</v>
      </c>
      <c r="B590" s="31" t="s">
        <v>1273</v>
      </c>
      <c r="C590" s="31" t="s">
        <v>209</v>
      </c>
      <c r="D590" s="31"/>
      <c r="E590" s="31" t="s">
        <v>1274</v>
      </c>
      <c r="F590" s="31">
        <v>3250</v>
      </c>
      <c r="G590" s="31">
        <v>0</v>
      </c>
      <c r="H590" s="31">
        <f t="shared" si="18"/>
        <v>-3250</v>
      </c>
      <c r="I590" s="31">
        <v>2011</v>
      </c>
      <c r="J590" s="31">
        <f t="shared" si="19"/>
        <v>2</v>
      </c>
      <c r="K590" s="31" t="s">
        <v>103</v>
      </c>
      <c r="L590" s="31" t="str">
        <f>I590 &amp; "-" &amp;VLOOKUP(I590,Střediska!$A$1:$B$40,2,FALSE)</f>
        <v>2011-Ženy A</v>
      </c>
      <c r="M590" s="32" t="str">
        <f>VLOOKUP(Zdroj!$I590,Střediska!$A$1:$B$41,2,FALSE)</f>
        <v>Ženy A</v>
      </c>
    </row>
    <row r="591" spans="1:13" hidden="1" x14ac:dyDescent="0.2">
      <c r="A591" s="33" t="s">
        <v>1276</v>
      </c>
      <c r="B591" s="34" t="s">
        <v>1275</v>
      </c>
      <c r="C591" s="34" t="s">
        <v>209</v>
      </c>
      <c r="D591" s="34"/>
      <c r="E591" s="34" t="s">
        <v>964</v>
      </c>
      <c r="F591" s="34">
        <v>1920</v>
      </c>
      <c r="G591" s="34">
        <v>0</v>
      </c>
      <c r="H591" s="34">
        <f t="shared" si="18"/>
        <v>-1920</v>
      </c>
      <c r="I591" s="34">
        <v>2011</v>
      </c>
      <c r="J591" s="34">
        <f t="shared" si="19"/>
        <v>2</v>
      </c>
      <c r="K591" s="34" t="s">
        <v>103</v>
      </c>
      <c r="L591" s="34" t="str">
        <f>I591 &amp; "-" &amp;VLOOKUP(I591,Střediska!$A$1:$B$40,2,FALSE)</f>
        <v>2011-Ženy A</v>
      </c>
      <c r="M591" s="35" t="str">
        <f>VLOOKUP(Zdroj!$I591,Střediska!$A$1:$B$41,2,FALSE)</f>
        <v>Ženy A</v>
      </c>
    </row>
    <row r="592" spans="1:13" hidden="1" x14ac:dyDescent="0.2">
      <c r="A592" s="36" t="s">
        <v>1278</v>
      </c>
      <c r="B592" s="31" t="s">
        <v>1277</v>
      </c>
      <c r="C592" s="31" t="s">
        <v>209</v>
      </c>
      <c r="D592" s="31"/>
      <c r="E592" s="31" t="s">
        <v>964</v>
      </c>
      <c r="F592" s="31">
        <v>2400</v>
      </c>
      <c r="G592" s="31">
        <v>0</v>
      </c>
      <c r="H592" s="31">
        <f t="shared" si="18"/>
        <v>-2400</v>
      </c>
      <c r="I592" s="31">
        <v>2011</v>
      </c>
      <c r="J592" s="31">
        <f t="shared" si="19"/>
        <v>2</v>
      </c>
      <c r="K592" s="31" t="s">
        <v>103</v>
      </c>
      <c r="L592" s="31" t="str">
        <f>I592 &amp; "-" &amp;VLOOKUP(I592,Střediska!$A$1:$B$40,2,FALSE)</f>
        <v>2011-Ženy A</v>
      </c>
      <c r="M592" s="32" t="str">
        <f>VLOOKUP(Zdroj!$I592,Střediska!$A$1:$B$41,2,FALSE)</f>
        <v>Ženy A</v>
      </c>
    </row>
    <row r="593" spans="1:13" hidden="1" x14ac:dyDescent="0.2">
      <c r="A593" s="33" t="s">
        <v>1280</v>
      </c>
      <c r="B593" s="34" t="s">
        <v>1279</v>
      </c>
      <c r="C593" s="34" t="s">
        <v>209</v>
      </c>
      <c r="D593" s="34"/>
      <c r="E593" s="34" t="s">
        <v>1281</v>
      </c>
      <c r="F593" s="34">
        <v>211</v>
      </c>
      <c r="G593" s="34">
        <v>0</v>
      </c>
      <c r="H593" s="34">
        <f t="shared" si="18"/>
        <v>-211</v>
      </c>
      <c r="I593" s="34">
        <v>2011</v>
      </c>
      <c r="J593" s="34">
        <f t="shared" si="19"/>
        <v>2</v>
      </c>
      <c r="K593" s="34" t="s">
        <v>103</v>
      </c>
      <c r="L593" s="34" t="str">
        <f>I593 &amp; "-" &amp;VLOOKUP(I593,Střediska!$A$1:$B$40,2,FALSE)</f>
        <v>2011-Ženy A</v>
      </c>
      <c r="M593" s="35" t="str">
        <f>VLOOKUP(Zdroj!$I593,Střediska!$A$1:$B$41,2,FALSE)</f>
        <v>Ženy A</v>
      </c>
    </row>
    <row r="594" spans="1:13" hidden="1" x14ac:dyDescent="0.2">
      <c r="A594" s="36" t="s">
        <v>1280</v>
      </c>
      <c r="B594" s="31" t="s">
        <v>1282</v>
      </c>
      <c r="C594" s="31" t="s">
        <v>209</v>
      </c>
      <c r="D594" s="31"/>
      <c r="E594" s="31" t="s">
        <v>1283</v>
      </c>
      <c r="F594" s="31">
        <v>1860</v>
      </c>
      <c r="G594" s="31">
        <v>0</v>
      </c>
      <c r="H594" s="31">
        <f t="shared" si="18"/>
        <v>-1860</v>
      </c>
      <c r="I594" s="31">
        <v>2011</v>
      </c>
      <c r="J594" s="31">
        <f t="shared" si="19"/>
        <v>2</v>
      </c>
      <c r="K594" s="31" t="s">
        <v>103</v>
      </c>
      <c r="L594" s="31" t="str">
        <f>I594 &amp; "-" &amp;VLOOKUP(I594,Střediska!$A$1:$B$40,2,FALSE)</f>
        <v>2011-Ženy A</v>
      </c>
      <c r="M594" s="32" t="str">
        <f>VLOOKUP(Zdroj!$I594,Střediska!$A$1:$B$41,2,FALSE)</f>
        <v>Ženy A</v>
      </c>
    </row>
    <row r="595" spans="1:13" hidden="1" x14ac:dyDescent="0.2">
      <c r="A595" s="33" t="s">
        <v>1280</v>
      </c>
      <c r="B595" s="34" t="s">
        <v>1284</v>
      </c>
      <c r="C595" s="34" t="s">
        <v>209</v>
      </c>
      <c r="D595" s="34"/>
      <c r="E595" s="34" t="s">
        <v>1285</v>
      </c>
      <c r="F595" s="34">
        <v>972</v>
      </c>
      <c r="G595" s="34">
        <v>0</v>
      </c>
      <c r="H595" s="34">
        <f t="shared" si="18"/>
        <v>-972</v>
      </c>
      <c r="I595" s="34">
        <v>2011</v>
      </c>
      <c r="J595" s="34">
        <f t="shared" si="19"/>
        <v>2</v>
      </c>
      <c r="K595" s="34" t="s">
        <v>103</v>
      </c>
      <c r="L595" s="34" t="str">
        <f>I595 &amp; "-" &amp;VLOOKUP(I595,Střediska!$A$1:$B$40,2,FALSE)</f>
        <v>2011-Ženy A</v>
      </c>
      <c r="M595" s="35" t="str">
        <f>VLOOKUP(Zdroj!$I595,Střediska!$A$1:$B$41,2,FALSE)</f>
        <v>Ženy A</v>
      </c>
    </row>
    <row r="596" spans="1:13" hidden="1" x14ac:dyDescent="0.2">
      <c r="A596" s="36" t="s">
        <v>1203</v>
      </c>
      <c r="B596" s="31" t="s">
        <v>1286</v>
      </c>
      <c r="C596" s="31" t="s">
        <v>209</v>
      </c>
      <c r="D596" s="31"/>
      <c r="E596" s="31" t="s">
        <v>110</v>
      </c>
      <c r="F596" s="31">
        <v>3300</v>
      </c>
      <c r="G596" s="31">
        <v>0</v>
      </c>
      <c r="H596" s="31">
        <f t="shared" si="18"/>
        <v>-3300</v>
      </c>
      <c r="I596" s="31">
        <v>2011</v>
      </c>
      <c r="J596" s="31">
        <f t="shared" si="19"/>
        <v>2</v>
      </c>
      <c r="K596" s="31" t="s">
        <v>110</v>
      </c>
      <c r="L596" s="31" t="str">
        <f>I596 &amp; "-" &amp;VLOOKUP(I596,Střediska!$A$1:$B$40,2,FALSE)</f>
        <v>2011-Ženy A</v>
      </c>
      <c r="M596" s="32" t="str">
        <f>VLOOKUP(Zdroj!$I596,Střediska!$A$1:$B$41,2,FALSE)</f>
        <v>Ženy A</v>
      </c>
    </row>
    <row r="597" spans="1:13" hidden="1" x14ac:dyDescent="0.2">
      <c r="A597" s="33" t="s">
        <v>151</v>
      </c>
      <c r="B597" s="34" t="s">
        <v>1287</v>
      </c>
      <c r="C597" s="34" t="s">
        <v>106</v>
      </c>
      <c r="D597" s="34" t="s">
        <v>150</v>
      </c>
      <c r="E597" s="37" t="s">
        <v>1288</v>
      </c>
      <c r="F597" s="34">
        <v>25000</v>
      </c>
      <c r="G597" s="34">
        <v>0</v>
      </c>
      <c r="H597" s="34">
        <f t="shared" si="18"/>
        <v>-25000</v>
      </c>
      <c r="I597" s="34">
        <v>2011</v>
      </c>
      <c r="J597" s="34">
        <f t="shared" si="19"/>
        <v>2</v>
      </c>
      <c r="K597" s="34" t="s">
        <v>148</v>
      </c>
      <c r="L597" s="34" t="str">
        <f>I597 &amp; "-" &amp;VLOOKUP(I597,Střediska!$A$1:$B$40,2,FALSE)</f>
        <v>2011-Ženy A</v>
      </c>
      <c r="M597" s="35" t="str">
        <f>VLOOKUP(Zdroj!$I597,Střediska!$A$1:$B$41,2,FALSE)</f>
        <v>Ženy A</v>
      </c>
    </row>
    <row r="598" spans="1:13" hidden="1" x14ac:dyDescent="0.2">
      <c r="A598" s="36" t="s">
        <v>1291</v>
      </c>
      <c r="B598" s="31" t="s">
        <v>1289</v>
      </c>
      <c r="C598" s="31" t="s">
        <v>106</v>
      </c>
      <c r="D598" s="31" t="s">
        <v>1290</v>
      </c>
      <c r="E598" s="31" t="s">
        <v>1292</v>
      </c>
      <c r="F598" s="31">
        <v>4000</v>
      </c>
      <c r="G598" s="31">
        <v>0</v>
      </c>
      <c r="H598" s="31">
        <f t="shared" si="18"/>
        <v>-4000</v>
      </c>
      <c r="I598" s="31">
        <v>2011</v>
      </c>
      <c r="J598" s="31">
        <f t="shared" si="19"/>
        <v>2</v>
      </c>
      <c r="K598" s="31" t="s">
        <v>148</v>
      </c>
      <c r="L598" s="31" t="str">
        <f>I598 &amp; "-" &amp;VLOOKUP(I598,Střediska!$A$1:$B$40,2,FALSE)</f>
        <v>2011-Ženy A</v>
      </c>
      <c r="M598" s="32" t="str">
        <f>VLOOKUP(Zdroj!$I598,Střediska!$A$1:$B$41,2,FALSE)</f>
        <v>Ženy A</v>
      </c>
    </row>
    <row r="599" spans="1:13" hidden="1" x14ac:dyDescent="0.2">
      <c r="A599" s="33" t="s">
        <v>1294</v>
      </c>
      <c r="B599" s="34" t="s">
        <v>1293</v>
      </c>
      <c r="C599" s="34" t="s">
        <v>209</v>
      </c>
      <c r="D599" s="34"/>
      <c r="E599" s="34" t="s">
        <v>1295</v>
      </c>
      <c r="F599" s="34">
        <v>1750</v>
      </c>
      <c r="G599" s="34">
        <v>0</v>
      </c>
      <c r="H599" s="34">
        <f t="shared" si="18"/>
        <v>-1750</v>
      </c>
      <c r="I599" s="34">
        <v>2011</v>
      </c>
      <c r="J599" s="34">
        <f t="shared" si="19"/>
        <v>2</v>
      </c>
      <c r="K599" s="34" t="s">
        <v>17</v>
      </c>
      <c r="L599" s="34" t="str">
        <f>I599 &amp; "-" &amp;VLOOKUP(I599,Střediska!$A$1:$B$40,2,FALSE)</f>
        <v>2011-Ženy A</v>
      </c>
      <c r="M599" s="35" t="str">
        <f>VLOOKUP(Zdroj!$I599,Střediska!$A$1:$B$41,2,FALSE)</f>
        <v>Ženy A</v>
      </c>
    </row>
    <row r="600" spans="1:13" hidden="1" x14ac:dyDescent="0.2">
      <c r="A600" s="36" t="s">
        <v>20</v>
      </c>
      <c r="B600" s="31" t="s">
        <v>18</v>
      </c>
      <c r="C600" s="31" t="s">
        <v>19</v>
      </c>
      <c r="D600" s="31"/>
      <c r="E600" s="31" t="s">
        <v>21</v>
      </c>
      <c r="F600" s="31">
        <v>107227.08</v>
      </c>
      <c r="G600" s="31">
        <v>0</v>
      </c>
      <c r="H600" s="31">
        <f t="shared" si="18"/>
        <v>-107227.08</v>
      </c>
      <c r="I600" s="31">
        <v>2011</v>
      </c>
      <c r="J600" s="31">
        <f t="shared" si="19"/>
        <v>2</v>
      </c>
      <c r="K600" s="31" t="s">
        <v>17</v>
      </c>
      <c r="L600" s="31" t="str">
        <f>I600 &amp; "-" &amp;VLOOKUP(I600,Střediska!$A$1:$B$40,2,FALSE)</f>
        <v>2011-Ženy A</v>
      </c>
      <c r="M600" s="32" t="str">
        <f>VLOOKUP(Zdroj!$I600,Střediska!$A$1:$B$41,2,FALSE)</f>
        <v>Ženy A</v>
      </c>
    </row>
    <row r="601" spans="1:13" hidden="1" x14ac:dyDescent="0.2">
      <c r="A601" s="33" t="s">
        <v>186</v>
      </c>
      <c r="B601" s="34" t="s">
        <v>1297</v>
      </c>
      <c r="C601" s="34" t="s">
        <v>106</v>
      </c>
      <c r="D601" s="34" t="s">
        <v>1298</v>
      </c>
      <c r="E601" s="34" t="s">
        <v>1299</v>
      </c>
      <c r="F601" s="34">
        <v>14778</v>
      </c>
      <c r="G601" s="34">
        <v>0</v>
      </c>
      <c r="H601" s="34">
        <f t="shared" si="18"/>
        <v>-14778</v>
      </c>
      <c r="I601" s="34">
        <v>2011</v>
      </c>
      <c r="J601" s="34">
        <f t="shared" si="19"/>
        <v>2</v>
      </c>
      <c r="K601" s="34" t="s">
        <v>154</v>
      </c>
      <c r="L601" s="34" t="str">
        <f>I601 &amp; "-" &amp;VLOOKUP(I601,Střediska!$A$1:$B$40,2,FALSE)</f>
        <v>2011-Ženy A</v>
      </c>
      <c r="M601" s="35" t="str">
        <f>VLOOKUP(Zdroj!$I601,Střediska!$A$1:$B$41,2,FALSE)</f>
        <v>Ženy A</v>
      </c>
    </row>
    <row r="602" spans="1:13" hidden="1" x14ac:dyDescent="0.2">
      <c r="A602" s="36" t="s">
        <v>1301</v>
      </c>
      <c r="B602" s="31" t="s">
        <v>1300</v>
      </c>
      <c r="C602" s="31" t="s">
        <v>106</v>
      </c>
      <c r="D602" s="31" t="s">
        <v>1298</v>
      </c>
      <c r="E602" s="31" t="s">
        <v>1302</v>
      </c>
      <c r="F602" s="31">
        <v>20484</v>
      </c>
      <c r="G602" s="31">
        <v>0</v>
      </c>
      <c r="H602" s="31">
        <f t="shared" si="18"/>
        <v>-20484</v>
      </c>
      <c r="I602" s="31">
        <v>2011</v>
      </c>
      <c r="J602" s="31">
        <f t="shared" si="19"/>
        <v>2</v>
      </c>
      <c r="K602" s="31" t="s">
        <v>154</v>
      </c>
      <c r="L602" s="31" t="str">
        <f>I602 &amp; "-" &amp;VLOOKUP(I602,Střediska!$A$1:$B$40,2,FALSE)</f>
        <v>2011-Ženy A</v>
      </c>
      <c r="M602" s="32" t="str">
        <f>VLOOKUP(Zdroj!$I602,Střediska!$A$1:$B$41,2,FALSE)</f>
        <v>Ženy A</v>
      </c>
    </row>
    <row r="603" spans="1:13" hidden="1" x14ac:dyDescent="0.2">
      <c r="A603" s="33" t="s">
        <v>1305</v>
      </c>
      <c r="B603" s="34" t="s">
        <v>1303</v>
      </c>
      <c r="C603" s="34" t="s">
        <v>106</v>
      </c>
      <c r="D603" s="34" t="s">
        <v>1304</v>
      </c>
      <c r="E603" s="34" t="s">
        <v>166</v>
      </c>
      <c r="F603" s="34">
        <v>18000</v>
      </c>
      <c r="G603" s="34">
        <v>0</v>
      </c>
      <c r="H603" s="34">
        <f t="shared" si="18"/>
        <v>-18000</v>
      </c>
      <c r="I603" s="34">
        <v>2011</v>
      </c>
      <c r="J603" s="34">
        <f t="shared" si="19"/>
        <v>2</v>
      </c>
      <c r="K603" s="34" t="s">
        <v>162</v>
      </c>
      <c r="L603" s="34" t="str">
        <f>I603 &amp; "-" &amp;VLOOKUP(I603,Střediska!$A$1:$B$40,2,FALSE)</f>
        <v>2011-Ženy A</v>
      </c>
      <c r="M603" s="35" t="str">
        <f>VLOOKUP(Zdroj!$I603,Střediska!$A$1:$B$41,2,FALSE)</f>
        <v>Ženy A</v>
      </c>
    </row>
    <row r="604" spans="1:13" hidden="1" x14ac:dyDescent="0.2">
      <c r="A604" s="36" t="s">
        <v>1307</v>
      </c>
      <c r="B604" s="31" t="s">
        <v>1306</v>
      </c>
      <c r="C604" s="31" t="s">
        <v>19</v>
      </c>
      <c r="D604" s="31"/>
      <c r="E604" s="31" t="s">
        <v>1308</v>
      </c>
      <c r="F604" s="31">
        <v>3057</v>
      </c>
      <c r="G604" s="31">
        <v>0</v>
      </c>
      <c r="H604" s="31">
        <f t="shared" si="18"/>
        <v>-3057</v>
      </c>
      <c r="I604" s="31">
        <v>2011</v>
      </c>
      <c r="J604" s="31">
        <f t="shared" si="19"/>
        <v>2</v>
      </c>
      <c r="K604" s="31" t="s">
        <v>179</v>
      </c>
      <c r="L604" s="31" t="str">
        <f>I604 &amp; "-" &amp;VLOOKUP(I604,Střediska!$A$1:$B$40,2,FALSE)</f>
        <v>2011-Ženy A</v>
      </c>
      <c r="M604" s="32" t="str">
        <f>VLOOKUP(Zdroj!$I604,Střediska!$A$1:$B$41,2,FALSE)</f>
        <v>Ženy A</v>
      </c>
    </row>
    <row r="605" spans="1:13" hidden="1" x14ac:dyDescent="0.2">
      <c r="A605" s="33" t="s">
        <v>1310</v>
      </c>
      <c r="B605" s="34" t="s">
        <v>1309</v>
      </c>
      <c r="C605" s="34" t="s">
        <v>19</v>
      </c>
      <c r="D605" s="34"/>
      <c r="E605" s="34" t="s">
        <v>1311</v>
      </c>
      <c r="F605" s="34">
        <v>3057</v>
      </c>
      <c r="G605" s="34">
        <v>0</v>
      </c>
      <c r="H605" s="34">
        <f t="shared" si="18"/>
        <v>-3057</v>
      </c>
      <c r="I605" s="34">
        <v>2011</v>
      </c>
      <c r="J605" s="34">
        <f t="shared" si="19"/>
        <v>2</v>
      </c>
      <c r="K605" s="34" t="s">
        <v>179</v>
      </c>
      <c r="L605" s="34" t="str">
        <f>I605 &amp; "-" &amp;VLOOKUP(I605,Střediska!$A$1:$B$40,2,FALSE)</f>
        <v>2011-Ženy A</v>
      </c>
      <c r="M605" s="35" t="str">
        <f>VLOOKUP(Zdroj!$I605,Střediska!$A$1:$B$41,2,FALSE)</f>
        <v>Ženy A</v>
      </c>
    </row>
    <row r="606" spans="1:13" hidden="1" x14ac:dyDescent="0.2">
      <c r="A606" s="36" t="s">
        <v>385</v>
      </c>
      <c r="B606" s="31" t="s">
        <v>1312</v>
      </c>
      <c r="C606" s="31" t="s">
        <v>19</v>
      </c>
      <c r="D606" s="31"/>
      <c r="E606" s="31" t="s">
        <v>1311</v>
      </c>
      <c r="F606" s="31">
        <v>2877</v>
      </c>
      <c r="G606" s="31">
        <v>0</v>
      </c>
      <c r="H606" s="31">
        <f t="shared" si="18"/>
        <v>-2877</v>
      </c>
      <c r="I606" s="31">
        <v>2011</v>
      </c>
      <c r="J606" s="31">
        <f t="shared" si="19"/>
        <v>2</v>
      </c>
      <c r="K606" s="31" t="s">
        <v>179</v>
      </c>
      <c r="L606" s="31" t="str">
        <f>I606 &amp; "-" &amp;VLOOKUP(I606,Střediska!$A$1:$B$40,2,FALSE)</f>
        <v>2011-Ženy A</v>
      </c>
      <c r="M606" s="32" t="str">
        <f>VLOOKUP(Zdroj!$I606,Střediska!$A$1:$B$41,2,FALSE)</f>
        <v>Ženy A</v>
      </c>
    </row>
    <row r="607" spans="1:13" hidden="1" x14ac:dyDescent="0.2">
      <c r="A607" s="33" t="s">
        <v>486</v>
      </c>
      <c r="B607" s="34" t="s">
        <v>1313</v>
      </c>
      <c r="C607" s="34" t="s">
        <v>19</v>
      </c>
      <c r="D607" s="34"/>
      <c r="E607" s="34" t="s">
        <v>1314</v>
      </c>
      <c r="F607" s="34">
        <v>3336</v>
      </c>
      <c r="G607" s="34">
        <v>0</v>
      </c>
      <c r="H607" s="34">
        <f t="shared" si="18"/>
        <v>-3336</v>
      </c>
      <c r="I607" s="34">
        <v>2011</v>
      </c>
      <c r="J607" s="34">
        <f t="shared" si="19"/>
        <v>2</v>
      </c>
      <c r="K607" s="34" t="s">
        <v>179</v>
      </c>
      <c r="L607" s="34" t="str">
        <f>I607 &amp; "-" &amp;VLOOKUP(I607,Střediska!$A$1:$B$40,2,FALSE)</f>
        <v>2011-Ženy A</v>
      </c>
      <c r="M607" s="35" t="str">
        <f>VLOOKUP(Zdroj!$I607,Střediska!$A$1:$B$41,2,FALSE)</f>
        <v>Ženy A</v>
      </c>
    </row>
    <row r="608" spans="1:13" hidden="1" x14ac:dyDescent="0.2">
      <c r="A608" s="36" t="s">
        <v>1316</v>
      </c>
      <c r="B608" s="31" t="s">
        <v>1315</v>
      </c>
      <c r="C608" s="31" t="s">
        <v>19</v>
      </c>
      <c r="D608" s="31"/>
      <c r="E608" s="31" t="s">
        <v>1311</v>
      </c>
      <c r="F608" s="31">
        <v>3165</v>
      </c>
      <c r="G608" s="31">
        <v>0</v>
      </c>
      <c r="H608" s="31">
        <f t="shared" si="18"/>
        <v>-3165</v>
      </c>
      <c r="I608" s="31">
        <v>2011</v>
      </c>
      <c r="J608" s="31">
        <f t="shared" si="19"/>
        <v>2</v>
      </c>
      <c r="K608" s="31" t="s">
        <v>179</v>
      </c>
      <c r="L608" s="31" t="str">
        <f>I608 &amp; "-" &amp;VLOOKUP(I608,Střediska!$A$1:$B$40,2,FALSE)</f>
        <v>2011-Ženy A</v>
      </c>
      <c r="M608" s="32" t="str">
        <f>VLOOKUP(Zdroj!$I608,Střediska!$A$1:$B$41,2,FALSE)</f>
        <v>Ženy A</v>
      </c>
    </row>
    <row r="609" spans="1:13" hidden="1" x14ac:dyDescent="0.2">
      <c r="A609" s="33" t="s">
        <v>193</v>
      </c>
      <c r="B609" s="34" t="s">
        <v>192</v>
      </c>
      <c r="C609" s="34" t="s">
        <v>19</v>
      </c>
      <c r="D609" s="34"/>
      <c r="E609" s="34" t="s">
        <v>194</v>
      </c>
      <c r="F609" s="34">
        <v>3075</v>
      </c>
      <c r="G609" s="34">
        <v>0</v>
      </c>
      <c r="H609" s="34">
        <f t="shared" si="18"/>
        <v>-3075</v>
      </c>
      <c r="I609" s="34">
        <v>2011</v>
      </c>
      <c r="J609" s="34">
        <f t="shared" si="19"/>
        <v>2</v>
      </c>
      <c r="K609" s="34" t="s">
        <v>179</v>
      </c>
      <c r="L609" s="34" t="str">
        <f>I609 &amp; "-" &amp;VLOOKUP(I609,Střediska!$A$1:$B$40,2,FALSE)</f>
        <v>2011-Ženy A</v>
      </c>
      <c r="M609" s="35" t="str">
        <f>VLOOKUP(Zdroj!$I609,Střediska!$A$1:$B$41,2,FALSE)</f>
        <v>Ženy A</v>
      </c>
    </row>
    <row r="610" spans="1:13" hidden="1" x14ac:dyDescent="0.2">
      <c r="A610" s="36" t="s">
        <v>1318</v>
      </c>
      <c r="B610" s="31" t="s">
        <v>1317</v>
      </c>
      <c r="C610" s="31" t="s">
        <v>19</v>
      </c>
      <c r="D610" s="31"/>
      <c r="E610" s="31" t="s">
        <v>1319</v>
      </c>
      <c r="F610" s="31">
        <v>3500</v>
      </c>
      <c r="G610" s="31">
        <v>0</v>
      </c>
      <c r="H610" s="31">
        <f t="shared" si="18"/>
        <v>-3500</v>
      </c>
      <c r="I610" s="31">
        <v>2011</v>
      </c>
      <c r="J610" s="31">
        <f t="shared" si="19"/>
        <v>2</v>
      </c>
      <c r="K610" s="31" t="s">
        <v>179</v>
      </c>
      <c r="L610" s="31" t="str">
        <f>I610 &amp; "-" &amp;VLOOKUP(I610,Střediska!$A$1:$B$40,2,FALSE)</f>
        <v>2011-Ženy A</v>
      </c>
      <c r="M610" s="32" t="str">
        <f>VLOOKUP(Zdroj!$I610,Střediska!$A$1:$B$41,2,FALSE)</f>
        <v>Ženy A</v>
      </c>
    </row>
    <row r="611" spans="1:13" hidden="1" x14ac:dyDescent="0.2">
      <c r="A611" s="33" t="s">
        <v>49</v>
      </c>
      <c r="B611" s="34" t="s">
        <v>1320</v>
      </c>
      <c r="C611" s="34" t="s">
        <v>19</v>
      </c>
      <c r="D611" s="34"/>
      <c r="E611" s="34" t="s">
        <v>1319</v>
      </c>
      <c r="F611" s="34">
        <v>3750</v>
      </c>
      <c r="G611" s="34">
        <v>0</v>
      </c>
      <c r="H611" s="34">
        <f t="shared" si="18"/>
        <v>-3750</v>
      </c>
      <c r="I611" s="34">
        <v>2011</v>
      </c>
      <c r="J611" s="34">
        <f t="shared" si="19"/>
        <v>2</v>
      </c>
      <c r="K611" s="34" t="s">
        <v>179</v>
      </c>
      <c r="L611" s="34" t="str">
        <f>I611 &amp; "-" &amp;VLOOKUP(I611,Střediska!$A$1:$B$40,2,FALSE)</f>
        <v>2011-Ženy A</v>
      </c>
      <c r="M611" s="35" t="str">
        <f>VLOOKUP(Zdroj!$I611,Střediska!$A$1:$B$41,2,FALSE)</f>
        <v>Ženy A</v>
      </c>
    </row>
    <row r="612" spans="1:13" hidden="1" x14ac:dyDescent="0.2">
      <c r="A612" s="36" t="s">
        <v>199</v>
      </c>
      <c r="B612" s="31" t="s">
        <v>1321</v>
      </c>
      <c r="C612" s="31" t="s">
        <v>19</v>
      </c>
      <c r="D612" s="31"/>
      <c r="E612" s="31" t="s">
        <v>1319</v>
      </c>
      <c r="F612" s="31">
        <v>3800</v>
      </c>
      <c r="G612" s="31">
        <v>0</v>
      </c>
      <c r="H612" s="31">
        <f t="shared" si="18"/>
        <v>-3800</v>
      </c>
      <c r="I612" s="31">
        <v>2011</v>
      </c>
      <c r="J612" s="31">
        <f t="shared" si="19"/>
        <v>2</v>
      </c>
      <c r="K612" s="31" t="s">
        <v>179</v>
      </c>
      <c r="L612" s="31" t="str">
        <f>I612 &amp; "-" &amp;VLOOKUP(I612,Střediska!$A$1:$B$40,2,FALSE)</f>
        <v>2011-Ženy A</v>
      </c>
      <c r="M612" s="32" t="str">
        <f>VLOOKUP(Zdroj!$I612,Střediska!$A$1:$B$41,2,FALSE)</f>
        <v>Ženy A</v>
      </c>
    </row>
    <row r="613" spans="1:13" hidden="1" x14ac:dyDescent="0.2">
      <c r="A613" s="33" t="s">
        <v>1323</v>
      </c>
      <c r="B613" s="34" t="s">
        <v>1322</v>
      </c>
      <c r="C613" s="34" t="s">
        <v>19</v>
      </c>
      <c r="D613" s="34"/>
      <c r="E613" s="34" t="s">
        <v>1319</v>
      </c>
      <c r="F613" s="34">
        <v>3345</v>
      </c>
      <c r="G613" s="34">
        <v>0</v>
      </c>
      <c r="H613" s="34">
        <f t="shared" si="18"/>
        <v>-3345</v>
      </c>
      <c r="I613" s="34">
        <v>2011</v>
      </c>
      <c r="J613" s="34">
        <f t="shared" si="19"/>
        <v>2</v>
      </c>
      <c r="K613" s="34" t="s">
        <v>179</v>
      </c>
      <c r="L613" s="34" t="str">
        <f>I613 &amp; "-" &amp;VLOOKUP(I613,Střediska!$A$1:$B$40,2,FALSE)</f>
        <v>2011-Ženy A</v>
      </c>
      <c r="M613" s="35" t="str">
        <f>VLOOKUP(Zdroj!$I613,Střediska!$A$1:$B$41,2,FALSE)</f>
        <v>Ženy A</v>
      </c>
    </row>
    <row r="614" spans="1:13" hidden="1" x14ac:dyDescent="0.2">
      <c r="A614" s="36" t="s">
        <v>293</v>
      </c>
      <c r="B614" s="31" t="s">
        <v>1324</v>
      </c>
      <c r="C614" s="31" t="s">
        <v>19</v>
      </c>
      <c r="D614" s="31"/>
      <c r="E614" s="31" t="s">
        <v>1319</v>
      </c>
      <c r="F614" s="31">
        <v>1470</v>
      </c>
      <c r="G614" s="31">
        <v>0</v>
      </c>
      <c r="H614" s="31">
        <f t="shared" si="18"/>
        <v>-1470</v>
      </c>
      <c r="I614" s="31">
        <v>2011</v>
      </c>
      <c r="J614" s="31">
        <f t="shared" si="19"/>
        <v>2</v>
      </c>
      <c r="K614" s="31" t="s">
        <v>179</v>
      </c>
      <c r="L614" s="31" t="str">
        <f>I614 &amp; "-" &amp;VLOOKUP(I614,Střediska!$A$1:$B$40,2,FALSE)</f>
        <v>2011-Ženy A</v>
      </c>
      <c r="M614" s="32" t="str">
        <f>VLOOKUP(Zdroj!$I614,Střediska!$A$1:$B$41,2,FALSE)</f>
        <v>Ženy A</v>
      </c>
    </row>
    <row r="615" spans="1:13" hidden="1" x14ac:dyDescent="0.2">
      <c r="A615" s="33" t="s">
        <v>55</v>
      </c>
      <c r="B615" s="34" t="s">
        <v>1325</v>
      </c>
      <c r="C615" s="34" t="s">
        <v>19</v>
      </c>
      <c r="D615" s="34"/>
      <c r="E615" s="34" t="s">
        <v>1319</v>
      </c>
      <c r="F615" s="34">
        <v>3075</v>
      </c>
      <c r="G615" s="34">
        <v>0</v>
      </c>
      <c r="H615" s="34">
        <f t="shared" si="18"/>
        <v>-3075</v>
      </c>
      <c r="I615" s="34">
        <v>2011</v>
      </c>
      <c r="J615" s="34">
        <f t="shared" si="19"/>
        <v>2</v>
      </c>
      <c r="K615" s="34" t="s">
        <v>179</v>
      </c>
      <c r="L615" s="34" t="str">
        <f>I615 &amp; "-" &amp;VLOOKUP(I615,Střediska!$A$1:$B$40,2,FALSE)</f>
        <v>2011-Ženy A</v>
      </c>
      <c r="M615" s="35" t="str">
        <f>VLOOKUP(Zdroj!$I615,Střediska!$A$1:$B$41,2,FALSE)</f>
        <v>Ženy A</v>
      </c>
    </row>
    <row r="616" spans="1:13" hidden="1" x14ac:dyDescent="0.2">
      <c r="A616" s="36" t="s">
        <v>1307</v>
      </c>
      <c r="B616" s="31" t="s">
        <v>1326</v>
      </c>
      <c r="C616" s="31" t="s">
        <v>209</v>
      </c>
      <c r="D616" s="31"/>
      <c r="E616" s="31" t="s">
        <v>210</v>
      </c>
      <c r="F616" s="31">
        <v>2500</v>
      </c>
      <c r="G616" s="31">
        <v>0</v>
      </c>
      <c r="H616" s="31">
        <f t="shared" si="18"/>
        <v>-2500</v>
      </c>
      <c r="I616" s="31">
        <v>2011</v>
      </c>
      <c r="J616" s="31">
        <f t="shared" si="19"/>
        <v>2</v>
      </c>
      <c r="K616" s="31" t="s">
        <v>207</v>
      </c>
      <c r="L616" s="31" t="str">
        <f>I616 &amp; "-" &amp;VLOOKUP(I616,Střediska!$A$1:$B$40,2,FALSE)</f>
        <v>2011-Ženy A</v>
      </c>
      <c r="M616" s="32" t="str">
        <f>VLOOKUP(Zdroj!$I616,Střediska!$A$1:$B$41,2,FALSE)</f>
        <v>Ženy A</v>
      </c>
    </row>
    <row r="617" spans="1:13" hidden="1" x14ac:dyDescent="0.2">
      <c r="A617" s="33" t="s">
        <v>1310</v>
      </c>
      <c r="B617" s="34" t="s">
        <v>1327</v>
      </c>
      <c r="C617" s="34" t="s">
        <v>209</v>
      </c>
      <c r="D617" s="34"/>
      <c r="E617" s="34" t="s">
        <v>210</v>
      </c>
      <c r="F617" s="34">
        <v>1200</v>
      </c>
      <c r="G617" s="34">
        <v>0</v>
      </c>
      <c r="H617" s="34">
        <f t="shared" si="18"/>
        <v>-1200</v>
      </c>
      <c r="I617" s="34">
        <v>2011</v>
      </c>
      <c r="J617" s="34">
        <f t="shared" si="19"/>
        <v>2</v>
      </c>
      <c r="K617" s="34" t="s">
        <v>207</v>
      </c>
      <c r="L617" s="34" t="str">
        <f>I617 &amp; "-" &amp;VLOOKUP(I617,Střediska!$A$1:$B$40,2,FALSE)</f>
        <v>2011-Ženy A</v>
      </c>
      <c r="M617" s="35" t="str">
        <f>VLOOKUP(Zdroj!$I617,Střediska!$A$1:$B$41,2,FALSE)</f>
        <v>Ženy A</v>
      </c>
    </row>
    <row r="618" spans="1:13" hidden="1" x14ac:dyDescent="0.2">
      <c r="A618" s="36" t="s">
        <v>1310</v>
      </c>
      <c r="B618" s="31" t="s">
        <v>1328</v>
      </c>
      <c r="C618" s="31" t="s">
        <v>209</v>
      </c>
      <c r="D618" s="31"/>
      <c r="E618" s="31" t="s">
        <v>210</v>
      </c>
      <c r="F618" s="31">
        <v>2500</v>
      </c>
      <c r="G618" s="31">
        <v>0</v>
      </c>
      <c r="H618" s="31">
        <f t="shared" si="18"/>
        <v>-2500</v>
      </c>
      <c r="I618" s="31">
        <v>2011</v>
      </c>
      <c r="J618" s="31">
        <f t="shared" si="19"/>
        <v>2</v>
      </c>
      <c r="K618" s="31" t="s">
        <v>207</v>
      </c>
      <c r="L618" s="31" t="str">
        <f>I618 &amp; "-" &amp;VLOOKUP(I618,Střediska!$A$1:$B$40,2,FALSE)</f>
        <v>2011-Ženy A</v>
      </c>
      <c r="M618" s="32" t="str">
        <f>VLOOKUP(Zdroj!$I618,Střediska!$A$1:$B$41,2,FALSE)</f>
        <v>Ženy A</v>
      </c>
    </row>
    <row r="619" spans="1:13" hidden="1" x14ac:dyDescent="0.2">
      <c r="A619" s="33" t="s">
        <v>486</v>
      </c>
      <c r="B619" s="34" t="s">
        <v>1329</v>
      </c>
      <c r="C619" s="34" t="s">
        <v>209</v>
      </c>
      <c r="D619" s="34"/>
      <c r="E619" s="34" t="s">
        <v>210</v>
      </c>
      <c r="F619" s="34">
        <v>2500</v>
      </c>
      <c r="G619" s="34">
        <v>0</v>
      </c>
      <c r="H619" s="34">
        <f t="shared" si="18"/>
        <v>-2500</v>
      </c>
      <c r="I619" s="34">
        <v>2011</v>
      </c>
      <c r="J619" s="34">
        <f t="shared" si="19"/>
        <v>2</v>
      </c>
      <c r="K619" s="34" t="s">
        <v>207</v>
      </c>
      <c r="L619" s="34" t="str">
        <f>I619 &amp; "-" &amp;VLOOKUP(I619,Střediska!$A$1:$B$40,2,FALSE)</f>
        <v>2011-Ženy A</v>
      </c>
      <c r="M619" s="35" t="str">
        <f>VLOOKUP(Zdroj!$I619,Střediska!$A$1:$B$41,2,FALSE)</f>
        <v>Ženy A</v>
      </c>
    </row>
    <row r="620" spans="1:13" hidden="1" x14ac:dyDescent="0.2">
      <c r="A620" s="36" t="s">
        <v>1316</v>
      </c>
      <c r="B620" s="31" t="s">
        <v>1330</v>
      </c>
      <c r="C620" s="31" t="s">
        <v>209</v>
      </c>
      <c r="D620" s="31"/>
      <c r="E620" s="31" t="s">
        <v>210</v>
      </c>
      <c r="F620" s="31">
        <v>2500</v>
      </c>
      <c r="G620" s="31">
        <v>0</v>
      </c>
      <c r="H620" s="31">
        <f t="shared" si="18"/>
        <v>-2500</v>
      </c>
      <c r="I620" s="31">
        <v>2011</v>
      </c>
      <c r="J620" s="31">
        <f t="shared" si="19"/>
        <v>2</v>
      </c>
      <c r="K620" s="31" t="s">
        <v>207</v>
      </c>
      <c r="L620" s="31" t="str">
        <f>I620 &amp; "-" &amp;VLOOKUP(I620,Střediska!$A$1:$B$40,2,FALSE)</f>
        <v>2011-Ženy A</v>
      </c>
      <c r="M620" s="32" t="str">
        <f>VLOOKUP(Zdroj!$I620,Střediska!$A$1:$B$41,2,FALSE)</f>
        <v>Ženy A</v>
      </c>
    </row>
    <row r="621" spans="1:13" hidden="1" x14ac:dyDescent="0.2">
      <c r="A621" s="33" t="s">
        <v>220</v>
      </c>
      <c r="B621" s="34" t="s">
        <v>1331</v>
      </c>
      <c r="C621" s="34" t="s">
        <v>209</v>
      </c>
      <c r="D621" s="34"/>
      <c r="E621" s="34" t="s">
        <v>210</v>
      </c>
      <c r="F621" s="34">
        <v>3400</v>
      </c>
      <c r="G621" s="34">
        <v>0</v>
      </c>
      <c r="H621" s="34">
        <f t="shared" si="18"/>
        <v>-3400</v>
      </c>
      <c r="I621" s="34">
        <v>2011</v>
      </c>
      <c r="J621" s="34">
        <f t="shared" si="19"/>
        <v>2</v>
      </c>
      <c r="K621" s="34" t="s">
        <v>207</v>
      </c>
      <c r="L621" s="34" t="str">
        <f>I621 &amp; "-" &amp;VLOOKUP(I621,Střediska!$A$1:$B$40,2,FALSE)</f>
        <v>2011-Ženy A</v>
      </c>
      <c r="M621" s="35" t="str">
        <f>VLOOKUP(Zdroj!$I621,Střediska!$A$1:$B$41,2,FALSE)</f>
        <v>Ženy A</v>
      </c>
    </row>
    <row r="622" spans="1:13" hidden="1" x14ac:dyDescent="0.2">
      <c r="A622" s="36" t="s">
        <v>220</v>
      </c>
      <c r="B622" s="31" t="s">
        <v>1332</v>
      </c>
      <c r="C622" s="31" t="s">
        <v>209</v>
      </c>
      <c r="D622" s="31"/>
      <c r="E622" s="31" t="s">
        <v>210</v>
      </c>
      <c r="F622" s="31">
        <v>2200</v>
      </c>
      <c r="G622" s="31">
        <v>0</v>
      </c>
      <c r="H622" s="31">
        <f t="shared" si="18"/>
        <v>-2200</v>
      </c>
      <c r="I622" s="31">
        <v>2011</v>
      </c>
      <c r="J622" s="31">
        <f t="shared" si="19"/>
        <v>2</v>
      </c>
      <c r="K622" s="31" t="s">
        <v>207</v>
      </c>
      <c r="L622" s="31" t="str">
        <f>I622 &amp; "-" &amp;VLOOKUP(I622,Střediska!$A$1:$B$40,2,FALSE)</f>
        <v>2011-Ženy A</v>
      </c>
      <c r="M622" s="32" t="str">
        <f>VLOOKUP(Zdroj!$I622,Střediska!$A$1:$B$41,2,FALSE)</f>
        <v>Ženy A</v>
      </c>
    </row>
    <row r="623" spans="1:13" hidden="1" x14ac:dyDescent="0.2">
      <c r="A623" s="33" t="s">
        <v>444</v>
      </c>
      <c r="B623" s="34" t="s">
        <v>1333</v>
      </c>
      <c r="C623" s="34" t="s">
        <v>209</v>
      </c>
      <c r="D623" s="34"/>
      <c r="E623" s="34" t="s">
        <v>210</v>
      </c>
      <c r="F623" s="34">
        <v>2200</v>
      </c>
      <c r="G623" s="34">
        <v>0</v>
      </c>
      <c r="H623" s="34">
        <f t="shared" si="18"/>
        <v>-2200</v>
      </c>
      <c r="I623" s="34">
        <v>2011</v>
      </c>
      <c r="J623" s="34">
        <f t="shared" si="19"/>
        <v>2</v>
      </c>
      <c r="K623" s="34" t="s">
        <v>207</v>
      </c>
      <c r="L623" s="34" t="str">
        <f>I623 &amp; "-" &amp;VLOOKUP(I623,Střediska!$A$1:$B$40,2,FALSE)</f>
        <v>2011-Ženy A</v>
      </c>
      <c r="M623" s="35" t="str">
        <f>VLOOKUP(Zdroj!$I623,Střediska!$A$1:$B$41,2,FALSE)</f>
        <v>Ženy A</v>
      </c>
    </row>
    <row r="624" spans="1:13" hidden="1" x14ac:dyDescent="0.2">
      <c r="A624" s="36" t="s">
        <v>199</v>
      </c>
      <c r="B624" s="31" t="s">
        <v>1334</v>
      </c>
      <c r="C624" s="31" t="s">
        <v>209</v>
      </c>
      <c r="D624" s="31"/>
      <c r="E624" s="31" t="s">
        <v>210</v>
      </c>
      <c r="F624" s="31">
        <v>2200</v>
      </c>
      <c r="G624" s="31">
        <v>0</v>
      </c>
      <c r="H624" s="31">
        <f t="shared" si="18"/>
        <v>-2200</v>
      </c>
      <c r="I624" s="31">
        <v>2011</v>
      </c>
      <c r="J624" s="31">
        <f t="shared" si="19"/>
        <v>2</v>
      </c>
      <c r="K624" s="31" t="s">
        <v>207</v>
      </c>
      <c r="L624" s="31" t="str">
        <f>I624 &amp; "-" &amp;VLOOKUP(I624,Střediska!$A$1:$B$40,2,FALSE)</f>
        <v>2011-Ženy A</v>
      </c>
      <c r="M624" s="32" t="str">
        <f>VLOOKUP(Zdroj!$I624,Střediska!$A$1:$B$41,2,FALSE)</f>
        <v>Ženy A</v>
      </c>
    </row>
    <row r="625" spans="1:13" hidden="1" x14ac:dyDescent="0.2">
      <c r="A625" s="33" t="s">
        <v>199</v>
      </c>
      <c r="B625" s="34" t="s">
        <v>1335</v>
      </c>
      <c r="C625" s="34" t="s">
        <v>209</v>
      </c>
      <c r="D625" s="34"/>
      <c r="E625" s="34" t="s">
        <v>210</v>
      </c>
      <c r="F625" s="34">
        <v>1200</v>
      </c>
      <c r="G625" s="34">
        <v>0</v>
      </c>
      <c r="H625" s="34">
        <f t="shared" si="18"/>
        <v>-1200</v>
      </c>
      <c r="I625" s="34">
        <v>2011</v>
      </c>
      <c r="J625" s="34">
        <f t="shared" si="19"/>
        <v>2</v>
      </c>
      <c r="K625" s="34" t="s">
        <v>207</v>
      </c>
      <c r="L625" s="34" t="str">
        <f>I625 &amp; "-" &amp;VLOOKUP(I625,Střediska!$A$1:$B$40,2,FALSE)</f>
        <v>2011-Ženy A</v>
      </c>
      <c r="M625" s="35" t="str">
        <f>VLOOKUP(Zdroj!$I625,Střediska!$A$1:$B$41,2,FALSE)</f>
        <v>Ženy A</v>
      </c>
    </row>
    <row r="626" spans="1:13" hidden="1" x14ac:dyDescent="0.2">
      <c r="A626" s="36" t="s">
        <v>1323</v>
      </c>
      <c r="B626" s="31" t="s">
        <v>1336</v>
      </c>
      <c r="C626" s="31" t="s">
        <v>209</v>
      </c>
      <c r="D626" s="31"/>
      <c r="E626" s="31" t="s">
        <v>210</v>
      </c>
      <c r="F626" s="31">
        <v>2200</v>
      </c>
      <c r="G626" s="31">
        <v>0</v>
      </c>
      <c r="H626" s="31">
        <f t="shared" si="18"/>
        <v>-2200</v>
      </c>
      <c r="I626" s="31">
        <v>2011</v>
      </c>
      <c r="J626" s="31">
        <f t="shared" si="19"/>
        <v>2</v>
      </c>
      <c r="K626" s="31" t="s">
        <v>207</v>
      </c>
      <c r="L626" s="31" t="str">
        <f>I626 &amp; "-" &amp;VLOOKUP(I626,Střediska!$A$1:$B$40,2,FALSE)</f>
        <v>2011-Ženy A</v>
      </c>
      <c r="M626" s="32" t="str">
        <f>VLOOKUP(Zdroj!$I626,Střediska!$A$1:$B$41,2,FALSE)</f>
        <v>Ženy A</v>
      </c>
    </row>
    <row r="627" spans="1:13" hidden="1" x14ac:dyDescent="0.2">
      <c r="A627" s="33" t="s">
        <v>293</v>
      </c>
      <c r="B627" s="34" t="s">
        <v>1337</v>
      </c>
      <c r="C627" s="34" t="s">
        <v>209</v>
      </c>
      <c r="D627" s="34"/>
      <c r="E627" s="34" t="s">
        <v>210</v>
      </c>
      <c r="F627" s="34">
        <v>2200</v>
      </c>
      <c r="G627" s="34">
        <v>0</v>
      </c>
      <c r="H627" s="34">
        <f t="shared" si="18"/>
        <v>-2200</v>
      </c>
      <c r="I627" s="34">
        <v>2011</v>
      </c>
      <c r="J627" s="34">
        <f t="shared" si="19"/>
        <v>2</v>
      </c>
      <c r="K627" s="34" t="s">
        <v>207</v>
      </c>
      <c r="L627" s="34" t="str">
        <f>I627 &amp; "-" &amp;VLOOKUP(I627,Střediska!$A$1:$B$40,2,FALSE)</f>
        <v>2011-Ženy A</v>
      </c>
      <c r="M627" s="35" t="str">
        <f>VLOOKUP(Zdroj!$I627,Střediska!$A$1:$B$41,2,FALSE)</f>
        <v>Ženy A</v>
      </c>
    </row>
    <row r="628" spans="1:13" hidden="1" x14ac:dyDescent="0.2">
      <c r="A628" s="36" t="s">
        <v>1339</v>
      </c>
      <c r="B628" s="31" t="s">
        <v>1338</v>
      </c>
      <c r="C628" s="31" t="s">
        <v>209</v>
      </c>
      <c r="D628" s="31"/>
      <c r="E628" s="31" t="s">
        <v>210</v>
      </c>
      <c r="F628" s="31">
        <v>2200</v>
      </c>
      <c r="G628" s="31">
        <v>0</v>
      </c>
      <c r="H628" s="31">
        <f t="shared" si="18"/>
        <v>-2200</v>
      </c>
      <c r="I628" s="31">
        <v>2011</v>
      </c>
      <c r="J628" s="31">
        <f t="shared" si="19"/>
        <v>2</v>
      </c>
      <c r="K628" s="31" t="s">
        <v>207</v>
      </c>
      <c r="L628" s="31" t="str">
        <f>I628 &amp; "-" &amp;VLOOKUP(I628,Střediska!$A$1:$B$40,2,FALSE)</f>
        <v>2011-Ženy A</v>
      </c>
      <c r="M628" s="32" t="str">
        <f>VLOOKUP(Zdroj!$I628,Střediska!$A$1:$B$41,2,FALSE)</f>
        <v>Ženy A</v>
      </c>
    </row>
    <row r="629" spans="1:13" hidden="1" x14ac:dyDescent="0.2">
      <c r="A629" s="33" t="s">
        <v>20</v>
      </c>
      <c r="B629" s="34" t="s">
        <v>59</v>
      </c>
      <c r="C629" s="34" t="s">
        <v>19</v>
      </c>
      <c r="D629" s="34"/>
      <c r="E629" s="34" t="s">
        <v>60</v>
      </c>
      <c r="F629" s="34">
        <v>84400</v>
      </c>
      <c r="G629" s="34">
        <v>0</v>
      </c>
      <c r="H629" s="34">
        <f t="shared" si="18"/>
        <v>-84400</v>
      </c>
      <c r="I629" s="34">
        <v>2011</v>
      </c>
      <c r="J629" s="34">
        <f t="shared" si="19"/>
        <v>2</v>
      </c>
      <c r="K629" s="34" t="s">
        <v>23</v>
      </c>
      <c r="L629" s="34" t="str">
        <f>I629 &amp; "-" &amp;VLOOKUP(I629,Střediska!$A$1:$B$40,2,FALSE)</f>
        <v>2011-Ženy A</v>
      </c>
      <c r="M629" s="35" t="str">
        <f>VLOOKUP(Zdroj!$I629,Střediska!$A$1:$B$41,2,FALSE)</f>
        <v>Ženy A</v>
      </c>
    </row>
    <row r="630" spans="1:13" hidden="1" x14ac:dyDescent="0.2">
      <c r="A630" s="36" t="s">
        <v>1342</v>
      </c>
      <c r="B630" s="31" t="s">
        <v>1340</v>
      </c>
      <c r="C630" s="31" t="s">
        <v>87</v>
      </c>
      <c r="D630" s="31" t="s">
        <v>1341</v>
      </c>
      <c r="E630" s="31" t="s">
        <v>1343</v>
      </c>
      <c r="F630" s="31">
        <v>0</v>
      </c>
      <c r="G630" s="31">
        <v>7500</v>
      </c>
      <c r="H630" s="31">
        <f t="shared" si="18"/>
        <v>7500</v>
      </c>
      <c r="I630" s="31">
        <v>2011</v>
      </c>
      <c r="J630" s="31">
        <f t="shared" si="19"/>
        <v>2</v>
      </c>
      <c r="K630" s="31" t="s">
        <v>226</v>
      </c>
      <c r="L630" s="31" t="str">
        <f>I630 &amp; "-" &amp;VLOOKUP(I630,Střediska!$A$1:$B$40,2,FALSE)</f>
        <v>2011-Ženy A</v>
      </c>
      <c r="M630" s="32" t="str">
        <f>VLOOKUP(Zdroj!$I630,Střediska!$A$1:$B$41,2,FALSE)</f>
        <v>Ženy A</v>
      </c>
    </row>
    <row r="631" spans="1:13" hidden="1" x14ac:dyDescent="0.2">
      <c r="A631" s="33" t="s">
        <v>203</v>
      </c>
      <c r="B631" s="34" t="s">
        <v>1344</v>
      </c>
      <c r="C631" s="34" t="s">
        <v>87</v>
      </c>
      <c r="D631" s="34" t="s">
        <v>1341</v>
      </c>
      <c r="E631" s="34" t="s">
        <v>1345</v>
      </c>
      <c r="F631" s="34">
        <v>0</v>
      </c>
      <c r="G631" s="34">
        <v>7500</v>
      </c>
      <c r="H631" s="34">
        <f t="shared" si="18"/>
        <v>7500</v>
      </c>
      <c r="I631" s="34">
        <v>2011</v>
      </c>
      <c r="J631" s="34">
        <f t="shared" si="19"/>
        <v>2</v>
      </c>
      <c r="K631" s="34" t="s">
        <v>226</v>
      </c>
      <c r="L631" s="34" t="str">
        <f>I631 &amp; "-" &amp;VLOOKUP(I631,Střediska!$A$1:$B$40,2,FALSE)</f>
        <v>2011-Ženy A</v>
      </c>
      <c r="M631" s="35" t="str">
        <f>VLOOKUP(Zdroj!$I631,Střediska!$A$1:$B$41,2,FALSE)</f>
        <v>Ženy A</v>
      </c>
    </row>
    <row r="632" spans="1:13" x14ac:dyDescent="0.2">
      <c r="A632" s="36" t="s">
        <v>46</v>
      </c>
      <c r="B632" s="31" t="s">
        <v>1346</v>
      </c>
      <c r="C632" s="31" t="s">
        <v>87</v>
      </c>
      <c r="D632" s="31" t="s">
        <v>1347</v>
      </c>
      <c r="E632" s="31" t="s">
        <v>1348</v>
      </c>
      <c r="F632" s="31">
        <v>0</v>
      </c>
      <c r="G632" s="31">
        <v>33333.340000000004</v>
      </c>
      <c r="H632" s="31">
        <f t="shared" si="18"/>
        <v>33333.340000000004</v>
      </c>
      <c r="I632" s="31">
        <v>2011</v>
      </c>
      <c r="J632" s="31">
        <f t="shared" si="19"/>
        <v>2</v>
      </c>
      <c r="K632" s="31" t="s">
        <v>84</v>
      </c>
      <c r="L632" s="31" t="str">
        <f>I632 &amp; "-" &amp;VLOOKUP(I632,Střediska!$A$1:$B$40,2,FALSE)</f>
        <v>2011-Ženy A</v>
      </c>
      <c r="M632" s="32" t="str">
        <f>VLOOKUP(Zdroj!$I632,Střediska!$A$1:$B$41,2,FALSE)</f>
        <v>Ženy A</v>
      </c>
    </row>
    <row r="633" spans="1:13" ht="24" x14ac:dyDescent="0.2">
      <c r="A633" s="33" t="s">
        <v>46</v>
      </c>
      <c r="B633" s="34" t="s">
        <v>1349</v>
      </c>
      <c r="C633" s="34" t="s">
        <v>87</v>
      </c>
      <c r="D633" s="34" t="s">
        <v>1350</v>
      </c>
      <c r="E633" s="37" t="s">
        <v>1351</v>
      </c>
      <c r="F633" s="34">
        <v>0</v>
      </c>
      <c r="G633" s="34">
        <v>19666.669999999998</v>
      </c>
      <c r="H633" s="34">
        <f t="shared" si="18"/>
        <v>19666.669999999998</v>
      </c>
      <c r="I633" s="34">
        <v>2011</v>
      </c>
      <c r="J633" s="34">
        <f t="shared" si="19"/>
        <v>2</v>
      </c>
      <c r="K633" s="34" t="s">
        <v>84</v>
      </c>
      <c r="L633" s="34" t="str">
        <f>I633 &amp; "-" &amp;VLOOKUP(I633,Střediska!$A$1:$B$40,2,FALSE)</f>
        <v>2011-Ženy A</v>
      </c>
      <c r="M633" s="35" t="str">
        <f>VLOOKUP(Zdroj!$I633,Střediska!$A$1:$B$41,2,FALSE)</f>
        <v>Ženy A</v>
      </c>
    </row>
    <row r="634" spans="1:13" hidden="1" x14ac:dyDescent="0.2">
      <c r="A634" s="36" t="s">
        <v>507</v>
      </c>
      <c r="B634" s="31" t="s">
        <v>1355</v>
      </c>
      <c r="C634" s="31" t="s">
        <v>19</v>
      </c>
      <c r="D634" s="31"/>
      <c r="E634" s="31" t="s">
        <v>1356</v>
      </c>
      <c r="F634" s="31">
        <v>4286</v>
      </c>
      <c r="G634" s="31">
        <v>0</v>
      </c>
      <c r="H634" s="31">
        <f t="shared" si="18"/>
        <v>-4286</v>
      </c>
      <c r="I634" s="31">
        <v>2012</v>
      </c>
      <c r="J634" s="31">
        <f t="shared" si="19"/>
        <v>2</v>
      </c>
      <c r="K634" s="31" t="s">
        <v>179</v>
      </c>
      <c r="L634" s="31" t="str">
        <f>I634 &amp; "-" &amp;VLOOKUP(I634,Střediska!$A$1:$B$40,2,FALSE)</f>
        <v>2012-Ženy B</v>
      </c>
      <c r="M634" s="32" t="str">
        <f>VLOOKUP(Zdroj!$I634,Střediska!$A$1:$B$41,2,FALSE)</f>
        <v>Ženy B</v>
      </c>
    </row>
    <row r="635" spans="1:13" hidden="1" x14ac:dyDescent="0.2">
      <c r="A635" s="33" t="s">
        <v>1358</v>
      </c>
      <c r="B635" s="34" t="s">
        <v>1357</v>
      </c>
      <c r="C635" s="34" t="s">
        <v>19</v>
      </c>
      <c r="D635" s="34"/>
      <c r="E635" s="34" t="s">
        <v>1359</v>
      </c>
      <c r="F635" s="34">
        <v>2850</v>
      </c>
      <c r="G635" s="34">
        <v>0</v>
      </c>
      <c r="H635" s="34">
        <f t="shared" si="18"/>
        <v>-2850</v>
      </c>
      <c r="I635" s="34">
        <v>2012</v>
      </c>
      <c r="J635" s="34">
        <f t="shared" si="19"/>
        <v>2</v>
      </c>
      <c r="K635" s="34" t="s">
        <v>179</v>
      </c>
      <c r="L635" s="34" t="str">
        <f>I635 &amp; "-" &amp;VLOOKUP(I635,Střediska!$A$1:$B$40,2,FALSE)</f>
        <v>2012-Ženy B</v>
      </c>
      <c r="M635" s="35" t="str">
        <f>VLOOKUP(Zdroj!$I635,Střediska!$A$1:$B$41,2,FALSE)</f>
        <v>Ženy B</v>
      </c>
    </row>
    <row r="636" spans="1:13" hidden="1" x14ac:dyDescent="0.2">
      <c r="A636" s="36" t="s">
        <v>544</v>
      </c>
      <c r="B636" s="31" t="s">
        <v>1360</v>
      </c>
      <c r="C636" s="31" t="s">
        <v>64</v>
      </c>
      <c r="D636" s="31"/>
      <c r="E636" s="31" t="s">
        <v>1361</v>
      </c>
      <c r="F636" s="31">
        <v>0</v>
      </c>
      <c r="G636" s="31">
        <v>9000</v>
      </c>
      <c r="H636" s="31">
        <f t="shared" si="18"/>
        <v>9000</v>
      </c>
      <c r="I636" s="31">
        <v>2012</v>
      </c>
      <c r="J636" s="31">
        <f t="shared" si="19"/>
        <v>2</v>
      </c>
      <c r="K636" s="31" t="s">
        <v>90</v>
      </c>
      <c r="L636" s="31" t="str">
        <f>I636 &amp; "-" &amp;VLOOKUP(I636,Střediska!$A$1:$B$40,2,FALSE)</f>
        <v>2012-Ženy B</v>
      </c>
      <c r="M636" s="32" t="str">
        <f>VLOOKUP(Zdroj!$I636,Střediska!$A$1:$B$41,2,FALSE)</f>
        <v>Ženy B</v>
      </c>
    </row>
    <row r="637" spans="1:13" hidden="1" x14ac:dyDescent="0.2">
      <c r="A637" s="33" t="s">
        <v>49</v>
      </c>
      <c r="B637" s="34" t="s">
        <v>91</v>
      </c>
      <c r="C637" s="34" t="s">
        <v>19</v>
      </c>
      <c r="D637" s="34"/>
      <c r="E637" s="34" t="s">
        <v>93</v>
      </c>
      <c r="F637" s="34">
        <v>0</v>
      </c>
      <c r="G637" s="34">
        <v>8307.19</v>
      </c>
      <c r="H637" s="34">
        <f t="shared" si="18"/>
        <v>8307.19</v>
      </c>
      <c r="I637" s="34">
        <v>2012</v>
      </c>
      <c r="J637" s="34">
        <f t="shared" si="19"/>
        <v>2</v>
      </c>
      <c r="K637" s="34" t="s">
        <v>90</v>
      </c>
      <c r="L637" s="34" t="str">
        <f>I637 &amp; "-" &amp;VLOOKUP(I637,Střediska!$A$1:$B$40,2,FALSE)</f>
        <v>2012-Ženy B</v>
      </c>
      <c r="M637" s="35" t="str">
        <f>VLOOKUP(Zdroj!$I637,Střediska!$A$1:$B$41,2,FALSE)</f>
        <v>Ženy B</v>
      </c>
    </row>
    <row r="638" spans="1:13" hidden="1" x14ac:dyDescent="0.2">
      <c r="A638" s="36" t="s">
        <v>293</v>
      </c>
      <c r="B638" s="31" t="s">
        <v>1362</v>
      </c>
      <c r="C638" s="31" t="s">
        <v>64</v>
      </c>
      <c r="D638" s="31"/>
      <c r="E638" s="31" t="s">
        <v>1363</v>
      </c>
      <c r="F638" s="31">
        <v>0</v>
      </c>
      <c r="G638" s="31">
        <v>32500</v>
      </c>
      <c r="H638" s="31">
        <f t="shared" si="18"/>
        <v>32500</v>
      </c>
      <c r="I638" s="31">
        <v>2012</v>
      </c>
      <c r="J638" s="31">
        <f t="shared" si="19"/>
        <v>2</v>
      </c>
      <c r="K638" s="31" t="s">
        <v>90</v>
      </c>
      <c r="L638" s="31" t="str">
        <f>I638 &amp; "-" &amp;VLOOKUP(I638,Střediska!$A$1:$B$40,2,FALSE)</f>
        <v>2012-Ženy B</v>
      </c>
      <c r="M638" s="32" t="str">
        <f>VLOOKUP(Zdroj!$I638,Střediska!$A$1:$B$41,2,FALSE)</f>
        <v>Ženy B</v>
      </c>
    </row>
    <row r="639" spans="1:13" hidden="1" x14ac:dyDescent="0.2">
      <c r="A639" s="33" t="s">
        <v>20</v>
      </c>
      <c r="B639" s="34" t="s">
        <v>338</v>
      </c>
      <c r="C639" s="34" t="s">
        <v>19</v>
      </c>
      <c r="D639" s="34"/>
      <c r="E639" s="34" t="s">
        <v>339</v>
      </c>
      <c r="F639" s="34">
        <v>0</v>
      </c>
      <c r="G639" s="34">
        <v>-8408.5</v>
      </c>
      <c r="H639" s="34">
        <f t="shared" si="18"/>
        <v>-8408.5</v>
      </c>
      <c r="I639" s="34">
        <v>2012</v>
      </c>
      <c r="J639" s="34">
        <f t="shared" si="19"/>
        <v>2</v>
      </c>
      <c r="K639" s="34" t="s">
        <v>90</v>
      </c>
      <c r="L639" s="34" t="str">
        <f>I639 &amp; "-" &amp;VLOOKUP(I639,Střediska!$A$1:$B$40,2,FALSE)</f>
        <v>2012-Ženy B</v>
      </c>
      <c r="M639" s="35" t="str">
        <f>VLOOKUP(Zdroj!$I639,Střediska!$A$1:$B$41,2,FALSE)</f>
        <v>Ženy B</v>
      </c>
    </row>
    <row r="640" spans="1:13" hidden="1" x14ac:dyDescent="0.2">
      <c r="A640" s="36" t="s">
        <v>1367</v>
      </c>
      <c r="B640" s="31" t="s">
        <v>1366</v>
      </c>
      <c r="C640" s="31" t="s">
        <v>209</v>
      </c>
      <c r="D640" s="31"/>
      <c r="E640" s="31" t="s">
        <v>1368</v>
      </c>
      <c r="F640" s="31">
        <v>5178</v>
      </c>
      <c r="G640" s="31">
        <v>0</v>
      </c>
      <c r="H640" s="31">
        <f t="shared" si="18"/>
        <v>-5178</v>
      </c>
      <c r="I640" s="31">
        <v>2021</v>
      </c>
      <c r="J640" s="31">
        <f t="shared" si="19"/>
        <v>2</v>
      </c>
      <c r="K640" s="31" t="s">
        <v>103</v>
      </c>
      <c r="L640" s="31" t="str">
        <f>I640 &amp; "-" &amp;VLOOKUP(I640,Střediska!$A$1:$B$40,2,FALSE)</f>
        <v>2021-Juniorky</v>
      </c>
      <c r="M640" s="32" t="str">
        <f>VLOOKUP(Zdroj!$I640,Střediska!$A$1:$B$41,2,FALSE)</f>
        <v>Juniorky</v>
      </c>
    </row>
    <row r="641" spans="1:13" hidden="1" x14ac:dyDescent="0.2">
      <c r="A641" s="33" t="s">
        <v>1367</v>
      </c>
      <c r="B641" s="34" t="s">
        <v>1369</v>
      </c>
      <c r="C641" s="34" t="s">
        <v>209</v>
      </c>
      <c r="D641" s="34"/>
      <c r="E641" s="34" t="s">
        <v>1368</v>
      </c>
      <c r="F641" s="34">
        <v>6072</v>
      </c>
      <c r="G641" s="34">
        <v>0</v>
      </c>
      <c r="H641" s="34">
        <f t="shared" si="18"/>
        <v>-6072</v>
      </c>
      <c r="I641" s="34">
        <v>2021</v>
      </c>
      <c r="J641" s="34">
        <f t="shared" si="19"/>
        <v>2</v>
      </c>
      <c r="K641" s="34" t="s">
        <v>103</v>
      </c>
      <c r="L641" s="34" t="str">
        <f>I641 &amp; "-" &amp;VLOOKUP(I641,Střediska!$A$1:$B$40,2,FALSE)</f>
        <v>2021-Juniorky</v>
      </c>
      <c r="M641" s="35" t="str">
        <f>VLOOKUP(Zdroj!$I641,Střediska!$A$1:$B$41,2,FALSE)</f>
        <v>Juniorky</v>
      </c>
    </row>
    <row r="642" spans="1:13" hidden="1" x14ac:dyDescent="0.2">
      <c r="A642" s="36" t="s">
        <v>1048</v>
      </c>
      <c r="B642" s="31" t="s">
        <v>1370</v>
      </c>
      <c r="C642" s="31" t="s">
        <v>209</v>
      </c>
      <c r="D642" s="31"/>
      <c r="E642" s="31" t="s">
        <v>1368</v>
      </c>
      <c r="F642" s="31">
        <v>9972</v>
      </c>
      <c r="G642" s="31">
        <v>0</v>
      </c>
      <c r="H642" s="31">
        <f t="shared" ref="H642:H705" si="20">-F642+G642</f>
        <v>-9972</v>
      </c>
      <c r="I642" s="31">
        <v>2021</v>
      </c>
      <c r="J642" s="31">
        <f t="shared" ref="J642:J705" si="21">VALUE(LEFT(I642,1))</f>
        <v>2</v>
      </c>
      <c r="K642" s="31" t="s">
        <v>103</v>
      </c>
      <c r="L642" s="31" t="str">
        <f>I642 &amp; "-" &amp;VLOOKUP(I642,Střediska!$A$1:$B$40,2,FALSE)</f>
        <v>2021-Juniorky</v>
      </c>
      <c r="M642" s="32" t="str">
        <f>VLOOKUP(Zdroj!$I642,Střediska!$A$1:$B$41,2,FALSE)</f>
        <v>Juniorky</v>
      </c>
    </row>
    <row r="643" spans="1:13" hidden="1" x14ac:dyDescent="0.2">
      <c r="A643" s="33" t="s">
        <v>1048</v>
      </c>
      <c r="B643" s="34" t="s">
        <v>1371</v>
      </c>
      <c r="C643" s="34" t="s">
        <v>209</v>
      </c>
      <c r="D643" s="34"/>
      <c r="E643" s="34" t="s">
        <v>1368</v>
      </c>
      <c r="F643" s="34">
        <v>3324</v>
      </c>
      <c r="G643" s="34">
        <v>0</v>
      </c>
      <c r="H643" s="34">
        <f t="shared" si="20"/>
        <v>-3324</v>
      </c>
      <c r="I643" s="34">
        <v>2021</v>
      </c>
      <c r="J643" s="34">
        <f t="shared" si="21"/>
        <v>2</v>
      </c>
      <c r="K643" s="34" t="s">
        <v>103</v>
      </c>
      <c r="L643" s="34" t="str">
        <f>I643 &amp; "-" &amp;VLOOKUP(I643,Střediska!$A$1:$B$40,2,FALSE)</f>
        <v>2021-Juniorky</v>
      </c>
      <c r="M643" s="35" t="str">
        <f>VLOOKUP(Zdroj!$I643,Střediska!$A$1:$B$41,2,FALSE)</f>
        <v>Juniorky</v>
      </c>
    </row>
    <row r="644" spans="1:13" hidden="1" x14ac:dyDescent="0.2">
      <c r="A644" s="36" t="s">
        <v>293</v>
      </c>
      <c r="B644" s="31" t="s">
        <v>1372</v>
      </c>
      <c r="C644" s="31" t="s">
        <v>209</v>
      </c>
      <c r="D644" s="31"/>
      <c r="E644" s="31" t="s">
        <v>964</v>
      </c>
      <c r="F644" s="31">
        <v>8970</v>
      </c>
      <c r="G644" s="31">
        <v>0</v>
      </c>
      <c r="H644" s="31">
        <f t="shared" si="20"/>
        <v>-8970</v>
      </c>
      <c r="I644" s="31">
        <v>2021</v>
      </c>
      <c r="J644" s="31">
        <f t="shared" si="21"/>
        <v>2</v>
      </c>
      <c r="K644" s="31" t="s">
        <v>103</v>
      </c>
      <c r="L644" s="31" t="str">
        <f>I644 &amp; "-" &amp;VLOOKUP(I644,Střediska!$A$1:$B$40,2,FALSE)</f>
        <v>2021-Juniorky</v>
      </c>
      <c r="M644" s="32" t="str">
        <f>VLOOKUP(Zdroj!$I644,Střediska!$A$1:$B$41,2,FALSE)</f>
        <v>Juniorky</v>
      </c>
    </row>
    <row r="645" spans="1:13" hidden="1" x14ac:dyDescent="0.2">
      <c r="A645" s="33" t="s">
        <v>318</v>
      </c>
      <c r="B645" s="34" t="s">
        <v>1373</v>
      </c>
      <c r="C645" s="34" t="s">
        <v>209</v>
      </c>
      <c r="D645" s="34"/>
      <c r="E645" s="34" t="s">
        <v>964</v>
      </c>
      <c r="F645" s="34">
        <v>6900</v>
      </c>
      <c r="G645" s="34">
        <v>0</v>
      </c>
      <c r="H645" s="34">
        <f t="shared" si="20"/>
        <v>-6900</v>
      </c>
      <c r="I645" s="34">
        <v>2021</v>
      </c>
      <c r="J645" s="34">
        <f t="shared" si="21"/>
        <v>2</v>
      </c>
      <c r="K645" s="34" t="s">
        <v>103</v>
      </c>
      <c r="L645" s="34" t="str">
        <f>I645 &amp; "-" &amp;VLOOKUP(I645,Střediska!$A$1:$B$40,2,FALSE)</f>
        <v>2021-Juniorky</v>
      </c>
      <c r="M645" s="35" t="str">
        <f>VLOOKUP(Zdroj!$I645,Střediska!$A$1:$B$41,2,FALSE)</f>
        <v>Juniorky</v>
      </c>
    </row>
    <row r="646" spans="1:13" hidden="1" x14ac:dyDescent="0.2">
      <c r="A646" s="36" t="s">
        <v>318</v>
      </c>
      <c r="B646" s="31" t="s">
        <v>1374</v>
      </c>
      <c r="C646" s="31" t="s">
        <v>209</v>
      </c>
      <c r="D646" s="31"/>
      <c r="E646" s="31" t="s">
        <v>964</v>
      </c>
      <c r="F646" s="31">
        <v>3792</v>
      </c>
      <c r="G646" s="31">
        <v>0</v>
      </c>
      <c r="H646" s="31">
        <f t="shared" si="20"/>
        <v>-3792</v>
      </c>
      <c r="I646" s="31">
        <v>2021</v>
      </c>
      <c r="J646" s="31">
        <f t="shared" si="21"/>
        <v>2</v>
      </c>
      <c r="K646" s="31" t="s">
        <v>103</v>
      </c>
      <c r="L646" s="31" t="str">
        <f>I646 &amp; "-" &amp;VLOOKUP(I646,Střediska!$A$1:$B$40,2,FALSE)</f>
        <v>2021-Juniorky</v>
      </c>
      <c r="M646" s="32" t="str">
        <f>VLOOKUP(Zdroj!$I646,Střediska!$A$1:$B$41,2,FALSE)</f>
        <v>Juniorky</v>
      </c>
    </row>
    <row r="647" spans="1:13" hidden="1" x14ac:dyDescent="0.2">
      <c r="A647" s="33" t="s">
        <v>1203</v>
      </c>
      <c r="B647" s="34" t="s">
        <v>1375</v>
      </c>
      <c r="C647" s="34" t="s">
        <v>209</v>
      </c>
      <c r="D647" s="34"/>
      <c r="E647" s="34" t="s">
        <v>964</v>
      </c>
      <c r="F647" s="34">
        <v>6720</v>
      </c>
      <c r="G647" s="34">
        <v>0</v>
      </c>
      <c r="H647" s="34">
        <f t="shared" si="20"/>
        <v>-6720</v>
      </c>
      <c r="I647" s="34">
        <v>2021</v>
      </c>
      <c r="J647" s="34">
        <f t="shared" si="21"/>
        <v>2</v>
      </c>
      <c r="K647" s="34" t="s">
        <v>103</v>
      </c>
      <c r="L647" s="34" t="str">
        <f>I647 &amp; "-" &amp;VLOOKUP(I647,Střediska!$A$1:$B$40,2,FALSE)</f>
        <v>2021-Juniorky</v>
      </c>
      <c r="M647" s="35" t="str">
        <f>VLOOKUP(Zdroj!$I647,Střediska!$A$1:$B$41,2,FALSE)</f>
        <v>Juniorky</v>
      </c>
    </row>
    <row r="648" spans="1:13" hidden="1" x14ac:dyDescent="0.2">
      <c r="A648" s="36" t="s">
        <v>1367</v>
      </c>
      <c r="B648" s="31" t="s">
        <v>1378</v>
      </c>
      <c r="C648" s="31" t="s">
        <v>209</v>
      </c>
      <c r="D648" s="31"/>
      <c r="E648" s="31" t="s">
        <v>1379</v>
      </c>
      <c r="F648" s="31">
        <v>4370</v>
      </c>
      <c r="G648" s="31">
        <v>0</v>
      </c>
      <c r="H648" s="31">
        <f t="shared" si="20"/>
        <v>-4370</v>
      </c>
      <c r="I648" s="31">
        <v>2021</v>
      </c>
      <c r="J648" s="31">
        <f t="shared" si="21"/>
        <v>2</v>
      </c>
      <c r="K648" s="31" t="s">
        <v>1377</v>
      </c>
      <c r="L648" s="31" t="str">
        <f>I648 &amp; "-" &amp;VLOOKUP(I648,Střediska!$A$1:$B$40,2,FALSE)</f>
        <v>2021-Juniorky</v>
      </c>
      <c r="M648" s="32" t="str">
        <f>VLOOKUP(Zdroj!$I648,Střediska!$A$1:$B$41,2,FALSE)</f>
        <v>Juniorky</v>
      </c>
    </row>
    <row r="649" spans="1:13" hidden="1" x14ac:dyDescent="0.2">
      <c r="A649" s="33" t="s">
        <v>52</v>
      </c>
      <c r="B649" s="34" t="s">
        <v>1380</v>
      </c>
      <c r="C649" s="34" t="s">
        <v>106</v>
      </c>
      <c r="D649" s="34" t="s">
        <v>1381</v>
      </c>
      <c r="E649" s="34" t="s">
        <v>1382</v>
      </c>
      <c r="F649" s="34">
        <v>5000</v>
      </c>
      <c r="G649" s="34">
        <v>0</v>
      </c>
      <c r="H649" s="34">
        <f t="shared" si="20"/>
        <v>-5000</v>
      </c>
      <c r="I649" s="34">
        <v>2021</v>
      </c>
      <c r="J649" s="34">
        <f t="shared" si="21"/>
        <v>2</v>
      </c>
      <c r="K649" s="34" t="s">
        <v>110</v>
      </c>
      <c r="L649" s="34" t="str">
        <f>I649 &amp; "-" &amp;VLOOKUP(I649,Střediska!$A$1:$B$40,2,FALSE)</f>
        <v>2021-Juniorky</v>
      </c>
      <c r="M649" s="35" t="str">
        <f>VLOOKUP(Zdroj!$I649,Střediska!$A$1:$B$41,2,FALSE)</f>
        <v>Juniorky</v>
      </c>
    </row>
    <row r="650" spans="1:13" hidden="1" x14ac:dyDescent="0.2">
      <c r="A650" s="36" t="s">
        <v>55</v>
      </c>
      <c r="B650" s="31" t="s">
        <v>1383</v>
      </c>
      <c r="C650" s="31" t="s">
        <v>106</v>
      </c>
      <c r="D650" s="31" t="s">
        <v>1381</v>
      </c>
      <c r="E650" s="31" t="s">
        <v>1384</v>
      </c>
      <c r="F650" s="31">
        <v>5000</v>
      </c>
      <c r="G650" s="31">
        <v>0</v>
      </c>
      <c r="H650" s="31">
        <f t="shared" si="20"/>
        <v>-5000</v>
      </c>
      <c r="I650" s="31">
        <v>2021</v>
      </c>
      <c r="J650" s="31">
        <f t="shared" si="21"/>
        <v>2</v>
      </c>
      <c r="K650" s="31" t="s">
        <v>110</v>
      </c>
      <c r="L650" s="31" t="str">
        <f>I650 &amp; "-" &amp;VLOOKUP(I650,Střediska!$A$1:$B$40,2,FALSE)</f>
        <v>2021-Juniorky</v>
      </c>
      <c r="M650" s="32" t="str">
        <f>VLOOKUP(Zdroj!$I650,Střediska!$A$1:$B$41,2,FALSE)</f>
        <v>Juniorky</v>
      </c>
    </row>
    <row r="651" spans="1:13" hidden="1" x14ac:dyDescent="0.2">
      <c r="A651" s="33" t="s">
        <v>20</v>
      </c>
      <c r="B651" s="34" t="s">
        <v>1385</v>
      </c>
      <c r="C651" s="34" t="s">
        <v>106</v>
      </c>
      <c r="D651" s="34" t="s">
        <v>1381</v>
      </c>
      <c r="E651" s="34" t="s">
        <v>1386</v>
      </c>
      <c r="F651" s="34">
        <v>5000</v>
      </c>
      <c r="G651" s="34">
        <v>0</v>
      </c>
      <c r="H651" s="34">
        <f t="shared" si="20"/>
        <v>-5000</v>
      </c>
      <c r="I651" s="34">
        <v>2021</v>
      </c>
      <c r="J651" s="34">
        <f t="shared" si="21"/>
        <v>2</v>
      </c>
      <c r="K651" s="34" t="s">
        <v>110</v>
      </c>
      <c r="L651" s="34" t="str">
        <f>I651 &amp; "-" &amp;VLOOKUP(I651,Střediska!$A$1:$B$40,2,FALSE)</f>
        <v>2021-Juniorky</v>
      </c>
      <c r="M651" s="35" t="str">
        <f>VLOOKUP(Zdroj!$I651,Střediska!$A$1:$B$41,2,FALSE)</f>
        <v>Juniorky</v>
      </c>
    </row>
    <row r="652" spans="1:13" hidden="1" x14ac:dyDescent="0.2">
      <c r="A652" s="36" t="s">
        <v>611</v>
      </c>
      <c r="B652" s="31" t="s">
        <v>1387</v>
      </c>
      <c r="C652" s="31" t="s">
        <v>106</v>
      </c>
      <c r="D652" s="31" t="s">
        <v>1388</v>
      </c>
      <c r="E652" s="31" t="s">
        <v>1389</v>
      </c>
      <c r="F652" s="31">
        <v>3500</v>
      </c>
      <c r="G652" s="31">
        <v>0</v>
      </c>
      <c r="H652" s="31">
        <f t="shared" si="20"/>
        <v>-3500</v>
      </c>
      <c r="I652" s="31">
        <v>2021</v>
      </c>
      <c r="J652" s="31">
        <f t="shared" si="21"/>
        <v>2</v>
      </c>
      <c r="K652" s="31" t="s">
        <v>17</v>
      </c>
      <c r="L652" s="31" t="str">
        <f>I652 &amp; "-" &amp;VLOOKUP(I652,Střediska!$A$1:$B$40,2,FALSE)</f>
        <v>2021-Juniorky</v>
      </c>
      <c r="M652" s="32" t="str">
        <f>VLOOKUP(Zdroj!$I652,Střediska!$A$1:$B$41,2,FALSE)</f>
        <v>Juniorky</v>
      </c>
    </row>
    <row r="653" spans="1:13" hidden="1" x14ac:dyDescent="0.2">
      <c r="A653" s="33" t="s">
        <v>31</v>
      </c>
      <c r="B653" s="34" t="s">
        <v>1390</v>
      </c>
      <c r="C653" s="34" t="s">
        <v>106</v>
      </c>
      <c r="D653" s="34" t="s">
        <v>1391</v>
      </c>
      <c r="E653" s="34" t="s">
        <v>1392</v>
      </c>
      <c r="F653" s="34">
        <v>6600</v>
      </c>
      <c r="G653" s="34">
        <v>0</v>
      </c>
      <c r="H653" s="34">
        <f t="shared" si="20"/>
        <v>-6600</v>
      </c>
      <c r="I653" s="34">
        <v>2021</v>
      </c>
      <c r="J653" s="34">
        <f t="shared" si="21"/>
        <v>2</v>
      </c>
      <c r="K653" s="34" t="s">
        <v>17</v>
      </c>
      <c r="L653" s="34" t="str">
        <f>I653 &amp; "-" &amp;VLOOKUP(I653,Střediska!$A$1:$B$40,2,FALSE)</f>
        <v>2021-Juniorky</v>
      </c>
      <c r="M653" s="35" t="str">
        <f>VLOOKUP(Zdroj!$I653,Střediska!$A$1:$B$41,2,FALSE)</f>
        <v>Juniorky</v>
      </c>
    </row>
    <row r="654" spans="1:13" hidden="1" x14ac:dyDescent="0.2">
      <c r="A654" s="36" t="s">
        <v>1393</v>
      </c>
      <c r="B654" s="31" t="s">
        <v>1275</v>
      </c>
      <c r="C654" s="31" t="s">
        <v>106</v>
      </c>
      <c r="D654" s="31" t="s">
        <v>1391</v>
      </c>
      <c r="E654" s="31" t="s">
        <v>1392</v>
      </c>
      <c r="F654" s="31">
        <v>9100</v>
      </c>
      <c r="G654" s="31">
        <v>0</v>
      </c>
      <c r="H654" s="31">
        <f t="shared" si="20"/>
        <v>-9100</v>
      </c>
      <c r="I654" s="31">
        <v>2021</v>
      </c>
      <c r="J654" s="31">
        <f t="shared" si="21"/>
        <v>2</v>
      </c>
      <c r="K654" s="31" t="s">
        <v>17</v>
      </c>
      <c r="L654" s="31" t="str">
        <f>I654 &amp; "-" &amp;VLOOKUP(I654,Střediska!$A$1:$B$40,2,FALSE)</f>
        <v>2021-Juniorky</v>
      </c>
      <c r="M654" s="32" t="str">
        <f>VLOOKUP(Zdroj!$I654,Střediska!$A$1:$B$41,2,FALSE)</f>
        <v>Juniorky</v>
      </c>
    </row>
    <row r="655" spans="1:13" hidden="1" x14ac:dyDescent="0.2">
      <c r="A655" s="33" t="s">
        <v>20</v>
      </c>
      <c r="B655" s="34" t="s">
        <v>18</v>
      </c>
      <c r="C655" s="34" t="s">
        <v>19</v>
      </c>
      <c r="D655" s="34"/>
      <c r="E655" s="34" t="s">
        <v>21</v>
      </c>
      <c r="F655" s="34">
        <v>73229.170000000013</v>
      </c>
      <c r="G655" s="34">
        <v>0</v>
      </c>
      <c r="H655" s="34">
        <f t="shared" si="20"/>
        <v>-73229.170000000013</v>
      </c>
      <c r="I655" s="34">
        <v>2021</v>
      </c>
      <c r="J655" s="34">
        <f t="shared" si="21"/>
        <v>2</v>
      </c>
      <c r="K655" s="34" t="s">
        <v>17</v>
      </c>
      <c r="L655" s="34" t="str">
        <f>I655 &amp; "-" &amp;VLOOKUP(I655,Střediska!$A$1:$B$40,2,FALSE)</f>
        <v>2021-Juniorky</v>
      </c>
      <c r="M655" s="35" t="str">
        <f>VLOOKUP(Zdroj!$I655,Střediska!$A$1:$B$41,2,FALSE)</f>
        <v>Juniorky</v>
      </c>
    </row>
    <row r="656" spans="1:13" hidden="1" x14ac:dyDescent="0.2">
      <c r="A656" s="36" t="s">
        <v>196</v>
      </c>
      <c r="B656" s="31" t="s">
        <v>1394</v>
      </c>
      <c r="C656" s="31" t="s">
        <v>106</v>
      </c>
      <c r="D656" s="31" t="s">
        <v>973</v>
      </c>
      <c r="E656" s="38" t="s">
        <v>1395</v>
      </c>
      <c r="F656" s="31">
        <v>22500</v>
      </c>
      <c r="G656" s="31">
        <v>0</v>
      </c>
      <c r="H656" s="31">
        <f t="shared" si="20"/>
        <v>-22500</v>
      </c>
      <c r="I656" s="31">
        <v>2021</v>
      </c>
      <c r="J656" s="31">
        <f t="shared" si="21"/>
        <v>2</v>
      </c>
      <c r="K656" s="31" t="s">
        <v>154</v>
      </c>
      <c r="L656" s="31" t="str">
        <f>I656 &amp; "-" &amp;VLOOKUP(I656,Střediska!$A$1:$B$40,2,FALSE)</f>
        <v>2021-Juniorky</v>
      </c>
      <c r="M656" s="32" t="str">
        <f>VLOOKUP(Zdroj!$I656,Střediska!$A$1:$B$41,2,FALSE)</f>
        <v>Juniorky</v>
      </c>
    </row>
    <row r="657" spans="1:13" hidden="1" x14ac:dyDescent="0.2">
      <c r="A657" s="33" t="s">
        <v>1323</v>
      </c>
      <c r="B657" s="34" t="s">
        <v>1396</v>
      </c>
      <c r="C657" s="34" t="s">
        <v>106</v>
      </c>
      <c r="D657" s="34" t="s">
        <v>973</v>
      </c>
      <c r="E657" s="34" t="s">
        <v>1395</v>
      </c>
      <c r="F657" s="34">
        <v>17400</v>
      </c>
      <c r="G657" s="34">
        <v>0</v>
      </c>
      <c r="H657" s="34">
        <f t="shared" si="20"/>
        <v>-17400</v>
      </c>
      <c r="I657" s="34">
        <v>2021</v>
      </c>
      <c r="J657" s="34">
        <f t="shared" si="21"/>
        <v>2</v>
      </c>
      <c r="K657" s="34" t="s">
        <v>154</v>
      </c>
      <c r="L657" s="34" t="str">
        <f>I657 &amp; "-" &amp;VLOOKUP(I657,Střediska!$A$1:$B$40,2,FALSE)</f>
        <v>2021-Juniorky</v>
      </c>
      <c r="M657" s="35" t="str">
        <f>VLOOKUP(Zdroj!$I657,Střediska!$A$1:$B$41,2,FALSE)</f>
        <v>Juniorky</v>
      </c>
    </row>
    <row r="658" spans="1:13" hidden="1" x14ac:dyDescent="0.2">
      <c r="A658" s="36" t="s">
        <v>1399</v>
      </c>
      <c r="B658" s="31" t="s">
        <v>1397</v>
      </c>
      <c r="C658" s="31" t="s">
        <v>106</v>
      </c>
      <c r="D658" s="31" t="s">
        <v>1398</v>
      </c>
      <c r="E658" s="31" t="s">
        <v>1400</v>
      </c>
      <c r="F658" s="31">
        <v>3000</v>
      </c>
      <c r="G658" s="31">
        <v>0</v>
      </c>
      <c r="H658" s="31">
        <f t="shared" si="20"/>
        <v>-3000</v>
      </c>
      <c r="I658" s="31">
        <v>2021</v>
      </c>
      <c r="J658" s="31">
        <f t="shared" si="21"/>
        <v>2</v>
      </c>
      <c r="K658" s="31" t="s">
        <v>162</v>
      </c>
      <c r="L658" s="31" t="str">
        <f>I658 &amp; "-" &amp;VLOOKUP(I658,Střediska!$A$1:$B$40,2,FALSE)</f>
        <v>2021-Juniorky</v>
      </c>
      <c r="M658" s="32" t="str">
        <f>VLOOKUP(Zdroj!$I658,Střediska!$A$1:$B$41,2,FALSE)</f>
        <v>Juniorky</v>
      </c>
    </row>
    <row r="659" spans="1:13" hidden="1" x14ac:dyDescent="0.2">
      <c r="A659" s="33" t="s">
        <v>391</v>
      </c>
      <c r="B659" s="34" t="s">
        <v>1401</v>
      </c>
      <c r="C659" s="34" t="s">
        <v>19</v>
      </c>
      <c r="D659" s="34"/>
      <c r="E659" s="34" t="s">
        <v>1402</v>
      </c>
      <c r="F659" s="34">
        <v>1985</v>
      </c>
      <c r="G659" s="34">
        <v>0</v>
      </c>
      <c r="H659" s="34">
        <f t="shared" si="20"/>
        <v>-1985</v>
      </c>
      <c r="I659" s="34">
        <v>2021</v>
      </c>
      <c r="J659" s="34">
        <f t="shared" si="21"/>
        <v>2</v>
      </c>
      <c r="K659" s="34" t="s">
        <v>179</v>
      </c>
      <c r="L659" s="34" t="str">
        <f>I659 &amp; "-" &amp;VLOOKUP(I659,Střediska!$A$1:$B$40,2,FALSE)</f>
        <v>2021-Juniorky</v>
      </c>
      <c r="M659" s="35" t="str">
        <f>VLOOKUP(Zdroj!$I659,Střediska!$A$1:$B$41,2,FALSE)</f>
        <v>Juniorky</v>
      </c>
    </row>
    <row r="660" spans="1:13" hidden="1" x14ac:dyDescent="0.2">
      <c r="A660" s="36" t="s">
        <v>391</v>
      </c>
      <c r="B660" s="31" t="s">
        <v>1403</v>
      </c>
      <c r="C660" s="31" t="s">
        <v>19</v>
      </c>
      <c r="D660" s="31"/>
      <c r="E660" s="31" t="s">
        <v>1402</v>
      </c>
      <c r="F660" s="31">
        <v>1450</v>
      </c>
      <c r="G660" s="31">
        <v>0</v>
      </c>
      <c r="H660" s="31">
        <f t="shared" si="20"/>
        <v>-1450</v>
      </c>
      <c r="I660" s="31">
        <v>2021</v>
      </c>
      <c r="J660" s="31">
        <f t="shared" si="21"/>
        <v>2</v>
      </c>
      <c r="K660" s="31" t="s">
        <v>179</v>
      </c>
      <c r="L660" s="31" t="str">
        <f>I660 &amp; "-" &amp;VLOOKUP(I660,Střediska!$A$1:$B$40,2,FALSE)</f>
        <v>2021-Juniorky</v>
      </c>
      <c r="M660" s="32" t="str">
        <f>VLOOKUP(Zdroj!$I660,Střediska!$A$1:$B$41,2,FALSE)</f>
        <v>Juniorky</v>
      </c>
    </row>
    <row r="661" spans="1:13" hidden="1" x14ac:dyDescent="0.2">
      <c r="A661" s="33" t="s">
        <v>1310</v>
      </c>
      <c r="B661" s="34" t="s">
        <v>1404</v>
      </c>
      <c r="C661" s="34" t="s">
        <v>19</v>
      </c>
      <c r="D661" s="34"/>
      <c r="E661" s="34" t="s">
        <v>1402</v>
      </c>
      <c r="F661" s="34">
        <v>1540</v>
      </c>
      <c r="G661" s="34">
        <v>0</v>
      </c>
      <c r="H661" s="34">
        <f t="shared" si="20"/>
        <v>-1540</v>
      </c>
      <c r="I661" s="34">
        <v>2021</v>
      </c>
      <c r="J661" s="34">
        <f t="shared" si="21"/>
        <v>2</v>
      </c>
      <c r="K661" s="34" t="s">
        <v>179</v>
      </c>
      <c r="L661" s="34" t="str">
        <f>I661 &amp; "-" &amp;VLOOKUP(I661,Střediska!$A$1:$B$40,2,FALSE)</f>
        <v>2021-Juniorky</v>
      </c>
      <c r="M661" s="35" t="str">
        <f>VLOOKUP(Zdroj!$I661,Střediska!$A$1:$B$41,2,FALSE)</f>
        <v>Juniorky</v>
      </c>
    </row>
    <row r="662" spans="1:13" hidden="1" x14ac:dyDescent="0.2">
      <c r="A662" s="36" t="s">
        <v>1406</v>
      </c>
      <c r="B662" s="31" t="s">
        <v>1405</v>
      </c>
      <c r="C662" s="31" t="s">
        <v>19</v>
      </c>
      <c r="D662" s="31"/>
      <c r="E662" s="31" t="s">
        <v>1402</v>
      </c>
      <c r="F662" s="31">
        <v>1270</v>
      </c>
      <c r="G662" s="31">
        <v>0</v>
      </c>
      <c r="H662" s="31">
        <f t="shared" si="20"/>
        <v>-1270</v>
      </c>
      <c r="I662" s="31">
        <v>2021</v>
      </c>
      <c r="J662" s="31">
        <f t="shared" si="21"/>
        <v>2</v>
      </c>
      <c r="K662" s="31" t="s">
        <v>179</v>
      </c>
      <c r="L662" s="31" t="str">
        <f>I662 &amp; "-" &amp;VLOOKUP(I662,Střediska!$A$1:$B$40,2,FALSE)</f>
        <v>2021-Juniorky</v>
      </c>
      <c r="M662" s="32" t="str">
        <f>VLOOKUP(Zdroj!$I662,Střediska!$A$1:$B$41,2,FALSE)</f>
        <v>Juniorky</v>
      </c>
    </row>
    <row r="663" spans="1:13" hidden="1" x14ac:dyDescent="0.2">
      <c r="A663" s="33" t="s">
        <v>214</v>
      </c>
      <c r="B663" s="34" t="s">
        <v>1407</v>
      </c>
      <c r="C663" s="34" t="s">
        <v>19</v>
      </c>
      <c r="D663" s="34"/>
      <c r="E663" s="34" t="s">
        <v>1402</v>
      </c>
      <c r="F663" s="34">
        <v>1891</v>
      </c>
      <c r="G663" s="34">
        <v>0</v>
      </c>
      <c r="H663" s="34">
        <f t="shared" si="20"/>
        <v>-1891</v>
      </c>
      <c r="I663" s="34">
        <v>2021</v>
      </c>
      <c r="J663" s="34">
        <f t="shared" si="21"/>
        <v>2</v>
      </c>
      <c r="K663" s="34" t="s">
        <v>179</v>
      </c>
      <c r="L663" s="34" t="str">
        <f>I663 &amp; "-" &amp;VLOOKUP(I663,Střediska!$A$1:$B$40,2,FALSE)</f>
        <v>2021-Juniorky</v>
      </c>
      <c r="M663" s="35" t="str">
        <f>VLOOKUP(Zdroj!$I663,Střediska!$A$1:$B$41,2,FALSE)</f>
        <v>Juniorky</v>
      </c>
    </row>
    <row r="664" spans="1:13" hidden="1" x14ac:dyDescent="0.2">
      <c r="A664" s="36" t="s">
        <v>186</v>
      </c>
      <c r="B664" s="31" t="s">
        <v>1408</v>
      </c>
      <c r="C664" s="31" t="s">
        <v>19</v>
      </c>
      <c r="D664" s="31"/>
      <c r="E664" s="31" t="s">
        <v>1409</v>
      </c>
      <c r="F664" s="31">
        <v>1875</v>
      </c>
      <c r="G664" s="31">
        <v>0</v>
      </c>
      <c r="H664" s="31">
        <f t="shared" si="20"/>
        <v>-1875</v>
      </c>
      <c r="I664" s="31">
        <v>2021</v>
      </c>
      <c r="J664" s="31">
        <f t="shared" si="21"/>
        <v>2</v>
      </c>
      <c r="K664" s="31" t="s">
        <v>179</v>
      </c>
      <c r="L664" s="31" t="str">
        <f>I664 &amp; "-" &amp;VLOOKUP(I664,Střediska!$A$1:$B$40,2,FALSE)</f>
        <v>2021-Juniorky</v>
      </c>
      <c r="M664" s="32" t="str">
        <f>VLOOKUP(Zdroj!$I664,Střediska!$A$1:$B$41,2,FALSE)</f>
        <v>Juniorky</v>
      </c>
    </row>
    <row r="665" spans="1:13" hidden="1" x14ac:dyDescent="0.2">
      <c r="A665" s="33" t="s">
        <v>486</v>
      </c>
      <c r="B665" s="34" t="s">
        <v>1410</v>
      </c>
      <c r="C665" s="34" t="s">
        <v>19</v>
      </c>
      <c r="D665" s="34"/>
      <c r="E665" s="34" t="s">
        <v>1402</v>
      </c>
      <c r="F665" s="34">
        <v>2280</v>
      </c>
      <c r="G665" s="34">
        <v>0</v>
      </c>
      <c r="H665" s="34">
        <f t="shared" si="20"/>
        <v>-2280</v>
      </c>
      <c r="I665" s="34">
        <v>2021</v>
      </c>
      <c r="J665" s="34">
        <f t="shared" si="21"/>
        <v>2</v>
      </c>
      <c r="K665" s="34" t="s">
        <v>179</v>
      </c>
      <c r="L665" s="34" t="str">
        <f>I665 &amp; "-" &amp;VLOOKUP(I665,Střediska!$A$1:$B$40,2,FALSE)</f>
        <v>2021-Juniorky</v>
      </c>
      <c r="M665" s="35" t="str">
        <f>VLOOKUP(Zdroj!$I665,Střediska!$A$1:$B$41,2,FALSE)</f>
        <v>Juniorky</v>
      </c>
    </row>
    <row r="666" spans="1:13" hidden="1" x14ac:dyDescent="0.2">
      <c r="A666" s="36" t="s">
        <v>1412</v>
      </c>
      <c r="B666" s="31" t="s">
        <v>1411</v>
      </c>
      <c r="C666" s="31" t="s">
        <v>19</v>
      </c>
      <c r="D666" s="31"/>
      <c r="E666" s="31" t="s">
        <v>1402</v>
      </c>
      <c r="F666" s="31">
        <v>1425</v>
      </c>
      <c r="G666" s="31">
        <v>0</v>
      </c>
      <c r="H666" s="31">
        <f t="shared" si="20"/>
        <v>-1425</v>
      </c>
      <c r="I666" s="31">
        <v>2021</v>
      </c>
      <c r="J666" s="31">
        <f t="shared" si="21"/>
        <v>2</v>
      </c>
      <c r="K666" s="31" t="s">
        <v>179</v>
      </c>
      <c r="L666" s="31" t="str">
        <f>I666 &amp; "-" &amp;VLOOKUP(I666,Střediska!$A$1:$B$40,2,FALSE)</f>
        <v>2021-Juniorky</v>
      </c>
      <c r="M666" s="32" t="str">
        <f>VLOOKUP(Zdroj!$I666,Střediska!$A$1:$B$41,2,FALSE)</f>
        <v>Juniorky</v>
      </c>
    </row>
    <row r="667" spans="1:13" hidden="1" x14ac:dyDescent="0.2">
      <c r="A667" s="33" t="s">
        <v>343</v>
      </c>
      <c r="B667" s="34" t="s">
        <v>1413</v>
      </c>
      <c r="C667" s="34" t="s">
        <v>19</v>
      </c>
      <c r="D667" s="34"/>
      <c r="E667" s="34" t="s">
        <v>1402</v>
      </c>
      <c r="F667" s="34">
        <v>1650</v>
      </c>
      <c r="G667" s="34">
        <v>0</v>
      </c>
      <c r="H667" s="34">
        <f t="shared" si="20"/>
        <v>-1650</v>
      </c>
      <c r="I667" s="34">
        <v>2021</v>
      </c>
      <c r="J667" s="34">
        <f t="shared" si="21"/>
        <v>2</v>
      </c>
      <c r="K667" s="34" t="s">
        <v>179</v>
      </c>
      <c r="L667" s="34" t="str">
        <f>I667 &amp; "-" &amp;VLOOKUP(I667,Střediska!$A$1:$B$40,2,FALSE)</f>
        <v>2021-Juniorky</v>
      </c>
      <c r="M667" s="35" t="str">
        <f>VLOOKUP(Zdroj!$I667,Střediska!$A$1:$B$41,2,FALSE)</f>
        <v>Juniorky</v>
      </c>
    </row>
    <row r="668" spans="1:13" hidden="1" x14ac:dyDescent="0.2">
      <c r="A668" s="36" t="s">
        <v>1236</v>
      </c>
      <c r="B668" s="31" t="s">
        <v>1414</v>
      </c>
      <c r="C668" s="31" t="s">
        <v>19</v>
      </c>
      <c r="D668" s="31"/>
      <c r="E668" s="31" t="s">
        <v>1402</v>
      </c>
      <c r="F668" s="31">
        <v>2055</v>
      </c>
      <c r="G668" s="31">
        <v>0</v>
      </c>
      <c r="H668" s="31">
        <f t="shared" si="20"/>
        <v>-2055</v>
      </c>
      <c r="I668" s="31">
        <v>2021</v>
      </c>
      <c r="J668" s="31">
        <f t="shared" si="21"/>
        <v>2</v>
      </c>
      <c r="K668" s="31" t="s">
        <v>179</v>
      </c>
      <c r="L668" s="31" t="str">
        <f>I668 &amp; "-" &amp;VLOOKUP(I668,Střediska!$A$1:$B$40,2,FALSE)</f>
        <v>2021-Juniorky</v>
      </c>
      <c r="M668" s="32" t="str">
        <f>VLOOKUP(Zdroj!$I668,Střediska!$A$1:$B$41,2,FALSE)</f>
        <v>Juniorky</v>
      </c>
    </row>
    <row r="669" spans="1:13" hidden="1" x14ac:dyDescent="0.2">
      <c r="A669" s="33" t="s">
        <v>1416</v>
      </c>
      <c r="B669" s="34" t="s">
        <v>1415</v>
      </c>
      <c r="C669" s="34" t="s">
        <v>19</v>
      </c>
      <c r="D669" s="34"/>
      <c r="E669" s="34" t="s">
        <v>1402</v>
      </c>
      <c r="F669" s="34">
        <v>1432</v>
      </c>
      <c r="G669" s="34">
        <v>0</v>
      </c>
      <c r="H669" s="34">
        <f t="shared" si="20"/>
        <v>-1432</v>
      </c>
      <c r="I669" s="34">
        <v>2021</v>
      </c>
      <c r="J669" s="34">
        <f t="shared" si="21"/>
        <v>2</v>
      </c>
      <c r="K669" s="34" t="s">
        <v>179</v>
      </c>
      <c r="L669" s="34" t="str">
        <f>I669 &amp; "-" &amp;VLOOKUP(I669,Střediska!$A$1:$B$40,2,FALSE)</f>
        <v>2021-Juniorky</v>
      </c>
      <c r="M669" s="35" t="str">
        <f>VLOOKUP(Zdroj!$I669,Střediska!$A$1:$B$41,2,FALSE)</f>
        <v>Juniorky</v>
      </c>
    </row>
    <row r="670" spans="1:13" hidden="1" x14ac:dyDescent="0.2">
      <c r="A670" s="36" t="s">
        <v>49</v>
      </c>
      <c r="B670" s="31" t="s">
        <v>1417</v>
      </c>
      <c r="C670" s="31" t="s">
        <v>19</v>
      </c>
      <c r="D670" s="31"/>
      <c r="E670" s="31" t="s">
        <v>377</v>
      </c>
      <c r="F670" s="31">
        <v>1315</v>
      </c>
      <c r="G670" s="31">
        <v>0</v>
      </c>
      <c r="H670" s="31">
        <f t="shared" si="20"/>
        <v>-1315</v>
      </c>
      <c r="I670" s="31">
        <v>2021</v>
      </c>
      <c r="J670" s="31">
        <f t="shared" si="21"/>
        <v>2</v>
      </c>
      <c r="K670" s="31" t="s">
        <v>179</v>
      </c>
      <c r="L670" s="31" t="str">
        <f>I670 &amp; "-" &amp;VLOOKUP(I670,Střediska!$A$1:$B$40,2,FALSE)</f>
        <v>2021-Juniorky</v>
      </c>
      <c r="M670" s="32" t="str">
        <f>VLOOKUP(Zdroj!$I670,Střediska!$A$1:$B$41,2,FALSE)</f>
        <v>Juniorky</v>
      </c>
    </row>
    <row r="671" spans="1:13" hidden="1" x14ac:dyDescent="0.2">
      <c r="A671" s="33" t="s">
        <v>980</v>
      </c>
      <c r="B671" s="34" t="s">
        <v>1418</v>
      </c>
      <c r="C671" s="34" t="s">
        <v>19</v>
      </c>
      <c r="D671" s="34"/>
      <c r="E671" s="34" t="s">
        <v>1402</v>
      </c>
      <c r="F671" s="34">
        <v>1544</v>
      </c>
      <c r="G671" s="34">
        <v>0</v>
      </c>
      <c r="H671" s="34">
        <f t="shared" si="20"/>
        <v>-1544</v>
      </c>
      <c r="I671" s="34">
        <v>2021</v>
      </c>
      <c r="J671" s="34">
        <f t="shared" si="21"/>
        <v>2</v>
      </c>
      <c r="K671" s="34" t="s">
        <v>179</v>
      </c>
      <c r="L671" s="34" t="str">
        <f>I671 &amp; "-" &amp;VLOOKUP(I671,Střediska!$A$1:$B$40,2,FALSE)</f>
        <v>2021-Juniorky</v>
      </c>
      <c r="M671" s="35" t="str">
        <f>VLOOKUP(Zdroj!$I671,Střediska!$A$1:$B$41,2,FALSE)</f>
        <v>Juniorky</v>
      </c>
    </row>
    <row r="672" spans="1:13" hidden="1" x14ac:dyDescent="0.2">
      <c r="A672" s="36" t="s">
        <v>742</v>
      </c>
      <c r="B672" s="31" t="s">
        <v>1419</v>
      </c>
      <c r="C672" s="31" t="s">
        <v>19</v>
      </c>
      <c r="D672" s="31"/>
      <c r="E672" s="31" t="s">
        <v>1402</v>
      </c>
      <c r="F672" s="31">
        <v>1437</v>
      </c>
      <c r="G672" s="31">
        <v>0</v>
      </c>
      <c r="H672" s="31">
        <f t="shared" si="20"/>
        <v>-1437</v>
      </c>
      <c r="I672" s="31">
        <v>2021</v>
      </c>
      <c r="J672" s="31">
        <f t="shared" si="21"/>
        <v>2</v>
      </c>
      <c r="K672" s="31" t="s">
        <v>179</v>
      </c>
      <c r="L672" s="31" t="str">
        <f>I672 &amp; "-" &amp;VLOOKUP(I672,Střediska!$A$1:$B$40,2,FALSE)</f>
        <v>2021-Juniorky</v>
      </c>
      <c r="M672" s="32" t="str">
        <f>VLOOKUP(Zdroj!$I672,Střediska!$A$1:$B$41,2,FALSE)</f>
        <v>Juniorky</v>
      </c>
    </row>
    <row r="673" spans="1:13" hidden="1" x14ac:dyDescent="0.2">
      <c r="A673" s="33" t="s">
        <v>492</v>
      </c>
      <c r="B673" s="34" t="s">
        <v>1420</v>
      </c>
      <c r="C673" s="34" t="s">
        <v>19</v>
      </c>
      <c r="D673" s="34"/>
      <c r="E673" s="34" t="s">
        <v>1402</v>
      </c>
      <c r="F673" s="34">
        <v>1000</v>
      </c>
      <c r="G673" s="34">
        <v>0</v>
      </c>
      <c r="H673" s="34">
        <f t="shared" si="20"/>
        <v>-1000</v>
      </c>
      <c r="I673" s="34">
        <v>2021</v>
      </c>
      <c r="J673" s="34">
        <f t="shared" si="21"/>
        <v>2</v>
      </c>
      <c r="K673" s="34" t="s">
        <v>179</v>
      </c>
      <c r="L673" s="34" t="str">
        <f>I673 &amp; "-" &amp;VLOOKUP(I673,Střediska!$A$1:$B$40,2,FALSE)</f>
        <v>2021-Juniorky</v>
      </c>
      <c r="M673" s="35" t="str">
        <f>VLOOKUP(Zdroj!$I673,Střediska!$A$1:$B$41,2,FALSE)</f>
        <v>Juniorky</v>
      </c>
    </row>
    <row r="674" spans="1:13" hidden="1" x14ac:dyDescent="0.2">
      <c r="A674" s="36" t="s">
        <v>1422</v>
      </c>
      <c r="B674" s="31" t="s">
        <v>1421</v>
      </c>
      <c r="C674" s="31" t="s">
        <v>19</v>
      </c>
      <c r="D674" s="31"/>
      <c r="E674" s="31" t="s">
        <v>1402</v>
      </c>
      <c r="F674" s="31">
        <v>1490</v>
      </c>
      <c r="G674" s="31">
        <v>0</v>
      </c>
      <c r="H674" s="31">
        <f t="shared" si="20"/>
        <v>-1490</v>
      </c>
      <c r="I674" s="31">
        <v>2021</v>
      </c>
      <c r="J674" s="31">
        <f t="shared" si="21"/>
        <v>2</v>
      </c>
      <c r="K674" s="31" t="s">
        <v>179</v>
      </c>
      <c r="L674" s="31" t="str">
        <f>I674 &amp; "-" &amp;VLOOKUP(I674,Střediska!$A$1:$B$40,2,FALSE)</f>
        <v>2021-Juniorky</v>
      </c>
      <c r="M674" s="32" t="str">
        <f>VLOOKUP(Zdroj!$I674,Střediska!$A$1:$B$41,2,FALSE)</f>
        <v>Juniorky</v>
      </c>
    </row>
    <row r="675" spans="1:13" hidden="1" x14ac:dyDescent="0.2">
      <c r="A675" s="33" t="s">
        <v>20</v>
      </c>
      <c r="B675" s="34" t="s">
        <v>1423</v>
      </c>
      <c r="C675" s="34" t="s">
        <v>19</v>
      </c>
      <c r="D675" s="34"/>
      <c r="E675" s="34" t="s">
        <v>1402</v>
      </c>
      <c r="F675" s="34">
        <v>1270</v>
      </c>
      <c r="G675" s="34">
        <v>0</v>
      </c>
      <c r="H675" s="34">
        <f t="shared" si="20"/>
        <v>-1270</v>
      </c>
      <c r="I675" s="34">
        <v>2021</v>
      </c>
      <c r="J675" s="34">
        <f t="shared" si="21"/>
        <v>2</v>
      </c>
      <c r="K675" s="34" t="s">
        <v>179</v>
      </c>
      <c r="L675" s="34" t="str">
        <f>I675 &amp; "-" &amp;VLOOKUP(I675,Střediska!$A$1:$B$40,2,FALSE)</f>
        <v>2021-Juniorky</v>
      </c>
      <c r="M675" s="35" t="str">
        <f>VLOOKUP(Zdroj!$I675,Střediska!$A$1:$B$41,2,FALSE)</f>
        <v>Juniorky</v>
      </c>
    </row>
    <row r="676" spans="1:13" hidden="1" x14ac:dyDescent="0.2">
      <c r="A676" s="36" t="s">
        <v>391</v>
      </c>
      <c r="B676" s="31" t="s">
        <v>1424</v>
      </c>
      <c r="C676" s="31" t="s">
        <v>209</v>
      </c>
      <c r="D676" s="31"/>
      <c r="E676" s="31" t="s">
        <v>210</v>
      </c>
      <c r="F676" s="31">
        <v>1200</v>
      </c>
      <c r="G676" s="31">
        <v>0</v>
      </c>
      <c r="H676" s="31">
        <f t="shared" si="20"/>
        <v>-1200</v>
      </c>
      <c r="I676" s="31">
        <v>2021</v>
      </c>
      <c r="J676" s="31">
        <f t="shared" si="21"/>
        <v>2</v>
      </c>
      <c r="K676" s="31" t="s">
        <v>207</v>
      </c>
      <c r="L676" s="31" t="str">
        <f>I676 &amp; "-" &amp;VLOOKUP(I676,Střediska!$A$1:$B$40,2,FALSE)</f>
        <v>2021-Juniorky</v>
      </c>
      <c r="M676" s="32" t="str">
        <f>VLOOKUP(Zdroj!$I676,Střediska!$A$1:$B$41,2,FALSE)</f>
        <v>Juniorky</v>
      </c>
    </row>
    <row r="677" spans="1:13" hidden="1" x14ac:dyDescent="0.2">
      <c r="A677" s="33" t="s">
        <v>1406</v>
      </c>
      <c r="B677" s="34" t="s">
        <v>1425</v>
      </c>
      <c r="C677" s="34" t="s">
        <v>209</v>
      </c>
      <c r="D677" s="34"/>
      <c r="E677" s="34" t="s">
        <v>210</v>
      </c>
      <c r="F677" s="34">
        <v>1200</v>
      </c>
      <c r="G677" s="34">
        <v>0</v>
      </c>
      <c r="H677" s="34">
        <f t="shared" si="20"/>
        <v>-1200</v>
      </c>
      <c r="I677" s="34">
        <v>2021</v>
      </c>
      <c r="J677" s="34">
        <f t="shared" si="21"/>
        <v>2</v>
      </c>
      <c r="K677" s="34" t="s">
        <v>207</v>
      </c>
      <c r="L677" s="34" t="str">
        <f>I677 &amp; "-" &amp;VLOOKUP(I677,Střediska!$A$1:$B$40,2,FALSE)</f>
        <v>2021-Juniorky</v>
      </c>
      <c r="M677" s="35" t="str">
        <f>VLOOKUP(Zdroj!$I677,Střediska!$A$1:$B$41,2,FALSE)</f>
        <v>Juniorky</v>
      </c>
    </row>
    <row r="678" spans="1:13" hidden="1" x14ac:dyDescent="0.2">
      <c r="A678" s="36" t="s">
        <v>385</v>
      </c>
      <c r="B678" s="31" t="s">
        <v>1426</v>
      </c>
      <c r="C678" s="31" t="s">
        <v>209</v>
      </c>
      <c r="D678" s="31"/>
      <c r="E678" s="31" t="s">
        <v>210</v>
      </c>
      <c r="F678" s="31">
        <v>2500</v>
      </c>
      <c r="G678" s="31">
        <v>0</v>
      </c>
      <c r="H678" s="31">
        <f t="shared" si="20"/>
        <v>-2500</v>
      </c>
      <c r="I678" s="31">
        <v>2021</v>
      </c>
      <c r="J678" s="31">
        <f t="shared" si="21"/>
        <v>2</v>
      </c>
      <c r="K678" s="31" t="s">
        <v>207</v>
      </c>
      <c r="L678" s="31" t="str">
        <f>I678 &amp; "-" &amp;VLOOKUP(I678,Střediska!$A$1:$B$40,2,FALSE)</f>
        <v>2021-Juniorky</v>
      </c>
      <c r="M678" s="32" t="str">
        <f>VLOOKUP(Zdroj!$I678,Střediska!$A$1:$B$41,2,FALSE)</f>
        <v>Juniorky</v>
      </c>
    </row>
    <row r="679" spans="1:13" hidden="1" x14ac:dyDescent="0.2">
      <c r="A679" s="33" t="s">
        <v>186</v>
      </c>
      <c r="B679" s="34" t="s">
        <v>1428</v>
      </c>
      <c r="C679" s="34" t="s">
        <v>209</v>
      </c>
      <c r="D679" s="34"/>
      <c r="E679" s="34" t="s">
        <v>210</v>
      </c>
      <c r="F679" s="34">
        <v>1900</v>
      </c>
      <c r="G679" s="34">
        <v>0</v>
      </c>
      <c r="H679" s="34">
        <f t="shared" si="20"/>
        <v>-1900</v>
      </c>
      <c r="I679" s="34">
        <v>2021</v>
      </c>
      <c r="J679" s="34">
        <f t="shared" si="21"/>
        <v>2</v>
      </c>
      <c r="K679" s="34" t="s">
        <v>207</v>
      </c>
      <c r="L679" s="34" t="str">
        <f>I679 &amp; "-" &amp;VLOOKUP(I679,Střediska!$A$1:$B$40,2,FALSE)</f>
        <v>2021-Juniorky</v>
      </c>
      <c r="M679" s="35" t="str">
        <f>VLOOKUP(Zdroj!$I679,Střediska!$A$1:$B$41,2,FALSE)</f>
        <v>Juniorky</v>
      </c>
    </row>
    <row r="680" spans="1:13" hidden="1" x14ac:dyDescent="0.2">
      <c r="A680" s="36" t="s">
        <v>486</v>
      </c>
      <c r="B680" s="31" t="s">
        <v>1429</v>
      </c>
      <c r="C680" s="31" t="s">
        <v>209</v>
      </c>
      <c r="D680" s="31"/>
      <c r="E680" s="31" t="s">
        <v>210</v>
      </c>
      <c r="F680" s="31">
        <v>2200</v>
      </c>
      <c r="G680" s="31">
        <v>0</v>
      </c>
      <c r="H680" s="31">
        <f t="shared" si="20"/>
        <v>-2200</v>
      </c>
      <c r="I680" s="31">
        <v>2021</v>
      </c>
      <c r="J680" s="31">
        <f t="shared" si="21"/>
        <v>2</v>
      </c>
      <c r="K680" s="31" t="s">
        <v>207</v>
      </c>
      <c r="L680" s="31" t="str">
        <f>I680 &amp; "-" &amp;VLOOKUP(I680,Střediska!$A$1:$B$40,2,FALSE)</f>
        <v>2021-Juniorky</v>
      </c>
      <c r="M680" s="32" t="str">
        <f>VLOOKUP(Zdroj!$I680,Střediska!$A$1:$B$41,2,FALSE)</f>
        <v>Juniorky</v>
      </c>
    </row>
    <row r="681" spans="1:13" hidden="1" x14ac:dyDescent="0.2">
      <c r="A681" s="33" t="s">
        <v>1412</v>
      </c>
      <c r="B681" s="34" t="s">
        <v>1430</v>
      </c>
      <c r="C681" s="34" t="s">
        <v>209</v>
      </c>
      <c r="D681" s="34"/>
      <c r="E681" s="34" t="s">
        <v>210</v>
      </c>
      <c r="F681" s="34">
        <v>2200</v>
      </c>
      <c r="G681" s="34">
        <v>0</v>
      </c>
      <c r="H681" s="34">
        <f t="shared" si="20"/>
        <v>-2200</v>
      </c>
      <c r="I681" s="34">
        <v>2021</v>
      </c>
      <c r="J681" s="34">
        <f t="shared" si="21"/>
        <v>2</v>
      </c>
      <c r="K681" s="34" t="s">
        <v>207</v>
      </c>
      <c r="L681" s="34" t="str">
        <f>I681 &amp; "-" &amp;VLOOKUP(I681,Střediska!$A$1:$B$40,2,FALSE)</f>
        <v>2021-Juniorky</v>
      </c>
      <c r="M681" s="35" t="str">
        <f>VLOOKUP(Zdroj!$I681,Střediska!$A$1:$B$41,2,FALSE)</f>
        <v>Juniorky</v>
      </c>
    </row>
    <row r="682" spans="1:13" hidden="1" x14ac:dyDescent="0.2">
      <c r="A682" s="36" t="s">
        <v>343</v>
      </c>
      <c r="B682" s="31" t="s">
        <v>1431</v>
      </c>
      <c r="C682" s="31" t="s">
        <v>209</v>
      </c>
      <c r="D682" s="31"/>
      <c r="E682" s="31" t="s">
        <v>210</v>
      </c>
      <c r="F682" s="31">
        <v>2200</v>
      </c>
      <c r="G682" s="31">
        <v>0</v>
      </c>
      <c r="H682" s="31">
        <f t="shared" si="20"/>
        <v>-2200</v>
      </c>
      <c r="I682" s="31">
        <v>2021</v>
      </c>
      <c r="J682" s="31">
        <f t="shared" si="21"/>
        <v>2</v>
      </c>
      <c r="K682" s="31" t="s">
        <v>207</v>
      </c>
      <c r="L682" s="31" t="str">
        <f>I682 &amp; "-" &amp;VLOOKUP(I682,Střediska!$A$1:$B$40,2,FALSE)</f>
        <v>2021-Juniorky</v>
      </c>
      <c r="M682" s="32" t="str">
        <f>VLOOKUP(Zdroj!$I682,Střediska!$A$1:$B$41,2,FALSE)</f>
        <v>Juniorky</v>
      </c>
    </row>
    <row r="683" spans="1:13" hidden="1" x14ac:dyDescent="0.2">
      <c r="A683" s="33" t="s">
        <v>1236</v>
      </c>
      <c r="B683" s="34" t="s">
        <v>1432</v>
      </c>
      <c r="C683" s="34" t="s">
        <v>209</v>
      </c>
      <c r="D683" s="34"/>
      <c r="E683" s="34" t="s">
        <v>210</v>
      </c>
      <c r="F683" s="34">
        <v>2200</v>
      </c>
      <c r="G683" s="34">
        <v>0</v>
      </c>
      <c r="H683" s="34">
        <f t="shared" si="20"/>
        <v>-2200</v>
      </c>
      <c r="I683" s="34">
        <v>2021</v>
      </c>
      <c r="J683" s="34">
        <f t="shared" si="21"/>
        <v>2</v>
      </c>
      <c r="K683" s="34" t="s">
        <v>207</v>
      </c>
      <c r="L683" s="34" t="str">
        <f>I683 &amp; "-" &amp;VLOOKUP(I683,Střediska!$A$1:$B$40,2,FALSE)</f>
        <v>2021-Juniorky</v>
      </c>
      <c r="M683" s="35" t="str">
        <f>VLOOKUP(Zdroj!$I683,Střediska!$A$1:$B$41,2,FALSE)</f>
        <v>Juniorky</v>
      </c>
    </row>
    <row r="684" spans="1:13" hidden="1" x14ac:dyDescent="0.2">
      <c r="A684" s="36" t="s">
        <v>220</v>
      </c>
      <c r="B684" s="31" t="s">
        <v>1433</v>
      </c>
      <c r="C684" s="31" t="s">
        <v>209</v>
      </c>
      <c r="D684" s="31"/>
      <c r="E684" s="31" t="s">
        <v>210</v>
      </c>
      <c r="F684" s="31">
        <v>900</v>
      </c>
      <c r="G684" s="31">
        <v>0</v>
      </c>
      <c r="H684" s="31">
        <f t="shared" si="20"/>
        <v>-900</v>
      </c>
      <c r="I684" s="31">
        <v>2021</v>
      </c>
      <c r="J684" s="31">
        <f t="shared" si="21"/>
        <v>2</v>
      </c>
      <c r="K684" s="31" t="s">
        <v>207</v>
      </c>
      <c r="L684" s="31" t="str">
        <f>I684 &amp; "-" &amp;VLOOKUP(I684,Střediska!$A$1:$B$40,2,FALSE)</f>
        <v>2021-Juniorky</v>
      </c>
      <c r="M684" s="32" t="str">
        <f>VLOOKUP(Zdroj!$I684,Střediska!$A$1:$B$41,2,FALSE)</f>
        <v>Juniorky</v>
      </c>
    </row>
    <row r="685" spans="1:13" hidden="1" x14ac:dyDescent="0.2">
      <c r="A685" s="33" t="s">
        <v>444</v>
      </c>
      <c r="B685" s="34" t="s">
        <v>1434</v>
      </c>
      <c r="C685" s="34" t="s">
        <v>209</v>
      </c>
      <c r="D685" s="34"/>
      <c r="E685" s="34" t="s">
        <v>210</v>
      </c>
      <c r="F685" s="34">
        <v>900</v>
      </c>
      <c r="G685" s="34">
        <v>0</v>
      </c>
      <c r="H685" s="34">
        <f t="shared" si="20"/>
        <v>-900</v>
      </c>
      <c r="I685" s="34">
        <v>2021</v>
      </c>
      <c r="J685" s="34">
        <f t="shared" si="21"/>
        <v>2</v>
      </c>
      <c r="K685" s="34" t="s">
        <v>207</v>
      </c>
      <c r="L685" s="34" t="str">
        <f>I685 &amp; "-" &amp;VLOOKUP(I685,Střediska!$A$1:$B$40,2,FALSE)</f>
        <v>2021-Juniorky</v>
      </c>
      <c r="M685" s="35" t="str">
        <f>VLOOKUP(Zdroj!$I685,Střediska!$A$1:$B$41,2,FALSE)</f>
        <v>Juniorky</v>
      </c>
    </row>
    <row r="686" spans="1:13" hidden="1" x14ac:dyDescent="0.2">
      <c r="A686" s="36" t="s">
        <v>1250</v>
      </c>
      <c r="B686" s="31" t="s">
        <v>1435</v>
      </c>
      <c r="C686" s="31" t="s">
        <v>209</v>
      </c>
      <c r="D686" s="31"/>
      <c r="E686" s="31" t="s">
        <v>210</v>
      </c>
      <c r="F686" s="31">
        <v>1200</v>
      </c>
      <c r="G686" s="31">
        <v>0</v>
      </c>
      <c r="H686" s="31">
        <f t="shared" si="20"/>
        <v>-1200</v>
      </c>
      <c r="I686" s="31">
        <v>2021</v>
      </c>
      <c r="J686" s="31">
        <f t="shared" si="21"/>
        <v>2</v>
      </c>
      <c r="K686" s="31" t="s">
        <v>207</v>
      </c>
      <c r="L686" s="31" t="str">
        <f>I686 &amp; "-" &amp;VLOOKUP(I686,Střediska!$A$1:$B$40,2,FALSE)</f>
        <v>2021-Juniorky</v>
      </c>
      <c r="M686" s="32" t="str">
        <f>VLOOKUP(Zdroj!$I686,Střediska!$A$1:$B$41,2,FALSE)</f>
        <v>Juniorky</v>
      </c>
    </row>
    <row r="687" spans="1:13" hidden="1" x14ac:dyDescent="0.2">
      <c r="A687" s="33" t="s">
        <v>1250</v>
      </c>
      <c r="B687" s="34" t="s">
        <v>1436</v>
      </c>
      <c r="C687" s="34" t="s">
        <v>209</v>
      </c>
      <c r="D687" s="34"/>
      <c r="E687" s="34" t="s">
        <v>210</v>
      </c>
      <c r="F687" s="34">
        <v>1200</v>
      </c>
      <c r="G687" s="34">
        <v>0</v>
      </c>
      <c r="H687" s="34">
        <f t="shared" si="20"/>
        <v>-1200</v>
      </c>
      <c r="I687" s="34">
        <v>2021</v>
      </c>
      <c r="J687" s="34">
        <f t="shared" si="21"/>
        <v>2</v>
      </c>
      <c r="K687" s="34" t="s">
        <v>207</v>
      </c>
      <c r="L687" s="34" t="str">
        <f>I687 &amp; "-" &amp;VLOOKUP(I687,Střediska!$A$1:$B$40,2,FALSE)</f>
        <v>2021-Juniorky</v>
      </c>
      <c r="M687" s="35" t="str">
        <f>VLOOKUP(Zdroj!$I687,Střediska!$A$1:$B$41,2,FALSE)</f>
        <v>Juniorky</v>
      </c>
    </row>
    <row r="688" spans="1:13" hidden="1" x14ac:dyDescent="0.2">
      <c r="A688" s="36" t="s">
        <v>492</v>
      </c>
      <c r="B688" s="31" t="s">
        <v>1437</v>
      </c>
      <c r="C688" s="31" t="s">
        <v>209</v>
      </c>
      <c r="D688" s="31"/>
      <c r="E688" s="31" t="s">
        <v>210</v>
      </c>
      <c r="F688" s="31">
        <v>1200</v>
      </c>
      <c r="G688" s="31">
        <v>0</v>
      </c>
      <c r="H688" s="31">
        <f t="shared" si="20"/>
        <v>-1200</v>
      </c>
      <c r="I688" s="31">
        <v>2021</v>
      </c>
      <c r="J688" s="31">
        <f t="shared" si="21"/>
        <v>2</v>
      </c>
      <c r="K688" s="31" t="s">
        <v>207</v>
      </c>
      <c r="L688" s="31" t="str">
        <f>I688 &amp; "-" &amp;VLOOKUP(I688,Střediska!$A$1:$B$40,2,FALSE)</f>
        <v>2021-Juniorky</v>
      </c>
      <c r="M688" s="32" t="str">
        <f>VLOOKUP(Zdroj!$I688,Střediska!$A$1:$B$41,2,FALSE)</f>
        <v>Juniorky</v>
      </c>
    </row>
    <row r="689" spans="1:13" hidden="1" x14ac:dyDescent="0.2">
      <c r="A689" s="33" t="s">
        <v>1422</v>
      </c>
      <c r="B689" s="34" t="s">
        <v>1438</v>
      </c>
      <c r="C689" s="34" t="s">
        <v>209</v>
      </c>
      <c r="D689" s="34"/>
      <c r="E689" s="34" t="s">
        <v>210</v>
      </c>
      <c r="F689" s="34">
        <v>1200</v>
      </c>
      <c r="G689" s="34">
        <v>0</v>
      </c>
      <c r="H689" s="34">
        <f t="shared" si="20"/>
        <v>-1200</v>
      </c>
      <c r="I689" s="34">
        <v>2021</v>
      </c>
      <c r="J689" s="34">
        <f t="shared" si="21"/>
        <v>2</v>
      </c>
      <c r="K689" s="34" t="s">
        <v>207</v>
      </c>
      <c r="L689" s="34" t="str">
        <f>I689 &amp; "-" &amp;VLOOKUP(I689,Střediska!$A$1:$B$40,2,FALSE)</f>
        <v>2021-Juniorky</v>
      </c>
      <c r="M689" s="35" t="str">
        <f>VLOOKUP(Zdroj!$I689,Střediska!$A$1:$B$41,2,FALSE)</f>
        <v>Juniorky</v>
      </c>
    </row>
    <row r="690" spans="1:13" hidden="1" x14ac:dyDescent="0.2">
      <c r="A690" s="36" t="s">
        <v>1278</v>
      </c>
      <c r="B690" s="31" t="s">
        <v>1439</v>
      </c>
      <c r="C690" s="31" t="s">
        <v>209</v>
      </c>
      <c r="D690" s="31"/>
      <c r="E690" s="31" t="s">
        <v>210</v>
      </c>
      <c r="F690" s="31">
        <v>1200</v>
      </c>
      <c r="G690" s="31">
        <v>0</v>
      </c>
      <c r="H690" s="31">
        <f t="shared" si="20"/>
        <v>-1200</v>
      </c>
      <c r="I690" s="31">
        <v>2021</v>
      </c>
      <c r="J690" s="31">
        <f t="shared" si="21"/>
        <v>2</v>
      </c>
      <c r="K690" s="31" t="s">
        <v>207</v>
      </c>
      <c r="L690" s="31" t="str">
        <f>I690 &amp; "-" &amp;VLOOKUP(I690,Střediska!$A$1:$B$40,2,FALSE)</f>
        <v>2021-Juniorky</v>
      </c>
      <c r="M690" s="32" t="str">
        <f>VLOOKUP(Zdroj!$I690,Střediska!$A$1:$B$41,2,FALSE)</f>
        <v>Juniorky</v>
      </c>
    </row>
    <row r="691" spans="1:13" hidden="1" x14ac:dyDescent="0.2">
      <c r="A691" s="33" t="s">
        <v>20</v>
      </c>
      <c r="B691" s="34" t="s">
        <v>59</v>
      </c>
      <c r="C691" s="34" t="s">
        <v>19</v>
      </c>
      <c r="D691" s="34"/>
      <c r="E691" s="34" t="s">
        <v>60</v>
      </c>
      <c r="F691" s="34">
        <v>109900</v>
      </c>
      <c r="G691" s="34">
        <v>0</v>
      </c>
      <c r="H691" s="34">
        <f t="shared" si="20"/>
        <v>-109900</v>
      </c>
      <c r="I691" s="34">
        <v>2021</v>
      </c>
      <c r="J691" s="34">
        <f t="shared" si="21"/>
        <v>2</v>
      </c>
      <c r="K691" s="34" t="s">
        <v>23</v>
      </c>
      <c r="L691" s="34" t="str">
        <f>I691 &amp; "-" &amp;VLOOKUP(I691,Střediska!$A$1:$B$40,2,FALSE)</f>
        <v>2021-Juniorky</v>
      </c>
      <c r="M691" s="35" t="str">
        <f>VLOOKUP(Zdroj!$I691,Střediska!$A$1:$B$41,2,FALSE)</f>
        <v>Juniorky</v>
      </c>
    </row>
    <row r="692" spans="1:13" x14ac:dyDescent="0.2">
      <c r="A692" s="36" t="s">
        <v>46</v>
      </c>
      <c r="B692" s="31" t="s">
        <v>1346</v>
      </c>
      <c r="C692" s="31" t="s">
        <v>87</v>
      </c>
      <c r="D692" s="31" t="s">
        <v>1347</v>
      </c>
      <c r="E692" s="31" t="s">
        <v>1348</v>
      </c>
      <c r="F692" s="31">
        <v>0</v>
      </c>
      <c r="G692" s="31">
        <v>33333.33</v>
      </c>
      <c r="H692" s="31">
        <f t="shared" si="20"/>
        <v>33333.33</v>
      </c>
      <c r="I692" s="31">
        <v>2021</v>
      </c>
      <c r="J692" s="31">
        <f t="shared" si="21"/>
        <v>2</v>
      </c>
      <c r="K692" s="31" t="s">
        <v>84</v>
      </c>
      <c r="L692" s="31" t="str">
        <f>I692 &amp; "-" &amp;VLOOKUP(I692,Střediska!$A$1:$B$40,2,FALSE)</f>
        <v>2021-Juniorky</v>
      </c>
      <c r="M692" s="32" t="str">
        <f>VLOOKUP(Zdroj!$I692,Střediska!$A$1:$B$41,2,FALSE)</f>
        <v>Juniorky</v>
      </c>
    </row>
    <row r="693" spans="1:13" ht="24" x14ac:dyDescent="0.2">
      <c r="A693" s="33" t="s">
        <v>46</v>
      </c>
      <c r="B693" s="34" t="s">
        <v>1349</v>
      </c>
      <c r="C693" s="34" t="s">
        <v>87</v>
      </c>
      <c r="D693" s="34" t="s">
        <v>1350</v>
      </c>
      <c r="E693" s="37" t="s">
        <v>1351</v>
      </c>
      <c r="F693" s="34">
        <v>0</v>
      </c>
      <c r="G693" s="34">
        <v>19666.66</v>
      </c>
      <c r="H693" s="34">
        <f t="shared" si="20"/>
        <v>19666.66</v>
      </c>
      <c r="I693" s="34">
        <v>2021</v>
      </c>
      <c r="J693" s="34">
        <f t="shared" si="21"/>
        <v>2</v>
      </c>
      <c r="K693" s="34" t="s">
        <v>84</v>
      </c>
      <c r="L693" s="34" t="str">
        <f>I693 &amp; "-" &amp;VLOOKUP(I693,Střediska!$A$1:$B$40,2,FALSE)</f>
        <v>2021-Juniorky</v>
      </c>
      <c r="M693" s="35" t="str">
        <f>VLOOKUP(Zdroj!$I693,Střediska!$A$1:$B$41,2,FALSE)</f>
        <v>Juniorky</v>
      </c>
    </row>
    <row r="694" spans="1:13" hidden="1" x14ac:dyDescent="0.2">
      <c r="A694" s="36" t="s">
        <v>630</v>
      </c>
      <c r="B694" s="31" t="s">
        <v>1440</v>
      </c>
      <c r="C694" s="31" t="s">
        <v>64</v>
      </c>
      <c r="D694" s="31"/>
      <c r="E694" s="31" t="s">
        <v>1441</v>
      </c>
      <c r="F694" s="31">
        <v>0</v>
      </c>
      <c r="G694" s="31">
        <v>4600</v>
      </c>
      <c r="H694" s="31">
        <f t="shared" si="20"/>
        <v>4600</v>
      </c>
      <c r="I694" s="31">
        <v>2021</v>
      </c>
      <c r="J694" s="31">
        <f t="shared" si="21"/>
        <v>2</v>
      </c>
      <c r="K694" s="31" t="s">
        <v>90</v>
      </c>
      <c r="L694" s="31" t="str">
        <f>I694 &amp; "-" &amp;VLOOKUP(I694,Střediska!$A$1:$B$40,2,FALSE)</f>
        <v>2021-Juniorky</v>
      </c>
      <c r="M694" s="32" t="str">
        <f>VLOOKUP(Zdroj!$I694,Střediska!$A$1:$B$41,2,FALSE)</f>
        <v>Juniorky</v>
      </c>
    </row>
    <row r="695" spans="1:13" hidden="1" x14ac:dyDescent="0.2">
      <c r="A695" s="33" t="s">
        <v>635</v>
      </c>
      <c r="B695" s="34" t="s">
        <v>1442</v>
      </c>
      <c r="C695" s="34" t="s">
        <v>64</v>
      </c>
      <c r="D695" s="34"/>
      <c r="E695" s="34" t="s">
        <v>1443</v>
      </c>
      <c r="F695" s="34">
        <v>0</v>
      </c>
      <c r="G695" s="34">
        <v>4600</v>
      </c>
      <c r="H695" s="34">
        <f t="shared" si="20"/>
        <v>4600</v>
      </c>
      <c r="I695" s="34">
        <v>2021</v>
      </c>
      <c r="J695" s="34">
        <f t="shared" si="21"/>
        <v>2</v>
      </c>
      <c r="K695" s="34" t="s">
        <v>90</v>
      </c>
      <c r="L695" s="34" t="str">
        <f>I695 &amp; "-" &amp;VLOOKUP(I695,Střediska!$A$1:$B$40,2,FALSE)</f>
        <v>2021-Juniorky</v>
      </c>
      <c r="M695" s="35" t="str">
        <f>VLOOKUP(Zdroj!$I695,Střediska!$A$1:$B$41,2,FALSE)</f>
        <v>Juniorky</v>
      </c>
    </row>
    <row r="696" spans="1:13" hidden="1" x14ac:dyDescent="0.2">
      <c r="A696" s="36" t="s">
        <v>635</v>
      </c>
      <c r="B696" s="31" t="s">
        <v>1444</v>
      </c>
      <c r="C696" s="31" t="s">
        <v>64</v>
      </c>
      <c r="D696" s="31"/>
      <c r="E696" s="31" t="s">
        <v>1445</v>
      </c>
      <c r="F696" s="31">
        <v>0</v>
      </c>
      <c r="G696" s="31">
        <v>2300</v>
      </c>
      <c r="H696" s="31">
        <f t="shared" si="20"/>
        <v>2300</v>
      </c>
      <c r="I696" s="31">
        <v>2021</v>
      </c>
      <c r="J696" s="31">
        <f t="shared" si="21"/>
        <v>2</v>
      </c>
      <c r="K696" s="31" t="s">
        <v>90</v>
      </c>
      <c r="L696" s="31" t="str">
        <f>I696 &amp; "-" &amp;VLOOKUP(I696,Střediska!$A$1:$B$40,2,FALSE)</f>
        <v>2021-Juniorky</v>
      </c>
      <c r="M696" s="32" t="str">
        <f>VLOOKUP(Zdroj!$I696,Střediska!$A$1:$B$41,2,FALSE)</f>
        <v>Juniorky</v>
      </c>
    </row>
    <row r="697" spans="1:13" hidden="1" x14ac:dyDescent="0.2">
      <c r="A697" s="33" t="s">
        <v>640</v>
      </c>
      <c r="B697" s="34" t="s">
        <v>1446</v>
      </c>
      <c r="C697" s="34" t="s">
        <v>64</v>
      </c>
      <c r="D697" s="34"/>
      <c r="E697" s="34" t="s">
        <v>95</v>
      </c>
      <c r="F697" s="34">
        <v>0</v>
      </c>
      <c r="G697" s="34">
        <v>4600</v>
      </c>
      <c r="H697" s="34">
        <f t="shared" si="20"/>
        <v>4600</v>
      </c>
      <c r="I697" s="34">
        <v>2021</v>
      </c>
      <c r="J697" s="34">
        <f t="shared" si="21"/>
        <v>2</v>
      </c>
      <c r="K697" s="34" t="s">
        <v>90</v>
      </c>
      <c r="L697" s="34" t="str">
        <f>I697 &amp; "-" &amp;VLOOKUP(I697,Střediska!$A$1:$B$40,2,FALSE)</f>
        <v>2021-Juniorky</v>
      </c>
      <c r="M697" s="35" t="str">
        <f>VLOOKUP(Zdroj!$I697,Střediska!$A$1:$B$41,2,FALSE)</f>
        <v>Juniorky</v>
      </c>
    </row>
    <row r="698" spans="1:13" hidden="1" x14ac:dyDescent="0.2">
      <c r="A698" s="36" t="s">
        <v>646</v>
      </c>
      <c r="B698" s="31" t="s">
        <v>1447</v>
      </c>
      <c r="C698" s="31" t="s">
        <v>64</v>
      </c>
      <c r="D698" s="31"/>
      <c r="E698" s="31" t="s">
        <v>1448</v>
      </c>
      <c r="F698" s="31">
        <v>0</v>
      </c>
      <c r="G698" s="31">
        <v>2300</v>
      </c>
      <c r="H698" s="31">
        <f t="shared" si="20"/>
        <v>2300</v>
      </c>
      <c r="I698" s="31">
        <v>2021</v>
      </c>
      <c r="J698" s="31">
        <f t="shared" si="21"/>
        <v>2</v>
      </c>
      <c r="K698" s="31" t="s">
        <v>90</v>
      </c>
      <c r="L698" s="31" t="str">
        <f>I698 &amp; "-" &amp;VLOOKUP(I698,Střediska!$A$1:$B$40,2,FALSE)</f>
        <v>2021-Juniorky</v>
      </c>
      <c r="M698" s="32" t="str">
        <f>VLOOKUP(Zdroj!$I698,Střediska!$A$1:$B$41,2,FALSE)</f>
        <v>Juniorky</v>
      </c>
    </row>
    <row r="699" spans="1:13" hidden="1" x14ac:dyDescent="0.2">
      <c r="A699" s="33" t="s">
        <v>502</v>
      </c>
      <c r="B699" s="34" t="s">
        <v>1449</v>
      </c>
      <c r="C699" s="34" t="s">
        <v>64</v>
      </c>
      <c r="D699" s="34"/>
      <c r="E699" s="34" t="s">
        <v>95</v>
      </c>
      <c r="F699" s="34">
        <v>0</v>
      </c>
      <c r="G699" s="34">
        <v>2300</v>
      </c>
      <c r="H699" s="34">
        <f t="shared" si="20"/>
        <v>2300</v>
      </c>
      <c r="I699" s="34">
        <v>2021</v>
      </c>
      <c r="J699" s="34">
        <f t="shared" si="21"/>
        <v>2</v>
      </c>
      <c r="K699" s="34" t="s">
        <v>90</v>
      </c>
      <c r="L699" s="34" t="str">
        <f>I699 &amp; "-" &amp;VLOOKUP(I699,Střediska!$A$1:$B$40,2,FALSE)</f>
        <v>2021-Juniorky</v>
      </c>
      <c r="M699" s="35" t="str">
        <f>VLOOKUP(Zdroj!$I699,Střediska!$A$1:$B$41,2,FALSE)</f>
        <v>Juniorky</v>
      </c>
    </row>
    <row r="700" spans="1:13" hidden="1" x14ac:dyDescent="0.2">
      <c r="A700" s="36" t="s">
        <v>510</v>
      </c>
      <c r="B700" s="31" t="s">
        <v>1450</v>
      </c>
      <c r="C700" s="31" t="s">
        <v>64</v>
      </c>
      <c r="D700" s="31"/>
      <c r="E700" s="31" t="s">
        <v>1451</v>
      </c>
      <c r="F700" s="31">
        <v>0</v>
      </c>
      <c r="G700" s="31">
        <v>2300</v>
      </c>
      <c r="H700" s="31">
        <f t="shared" si="20"/>
        <v>2300</v>
      </c>
      <c r="I700" s="31">
        <v>2021</v>
      </c>
      <c r="J700" s="31">
        <f t="shared" si="21"/>
        <v>2</v>
      </c>
      <c r="K700" s="31" t="s">
        <v>90</v>
      </c>
      <c r="L700" s="31" t="str">
        <f>I700 &amp; "-" &amp;VLOOKUP(I700,Střediska!$A$1:$B$40,2,FALSE)</f>
        <v>2021-Juniorky</v>
      </c>
      <c r="M700" s="32" t="str">
        <f>VLOOKUP(Zdroj!$I700,Střediska!$A$1:$B$41,2,FALSE)</f>
        <v>Juniorky</v>
      </c>
    </row>
    <row r="701" spans="1:13" hidden="1" x14ac:dyDescent="0.2">
      <c r="A701" s="33" t="s">
        <v>513</v>
      </c>
      <c r="B701" s="34" t="s">
        <v>1452</v>
      </c>
      <c r="C701" s="34" t="s">
        <v>64</v>
      </c>
      <c r="D701" s="34"/>
      <c r="E701" s="34" t="s">
        <v>1453</v>
      </c>
      <c r="F701" s="34">
        <v>0</v>
      </c>
      <c r="G701" s="34">
        <v>2300</v>
      </c>
      <c r="H701" s="34">
        <f t="shared" si="20"/>
        <v>2300</v>
      </c>
      <c r="I701" s="34">
        <v>2021</v>
      </c>
      <c r="J701" s="34">
        <f t="shared" si="21"/>
        <v>2</v>
      </c>
      <c r="K701" s="34" t="s">
        <v>90</v>
      </c>
      <c r="L701" s="34" t="str">
        <f>I701 &amp; "-" &amp;VLOOKUP(I701,Střediska!$A$1:$B$40,2,FALSE)</f>
        <v>2021-Juniorky</v>
      </c>
      <c r="M701" s="35" t="str">
        <f>VLOOKUP(Zdroj!$I701,Střediska!$A$1:$B$41,2,FALSE)</f>
        <v>Juniorky</v>
      </c>
    </row>
    <row r="702" spans="1:13" hidden="1" x14ac:dyDescent="0.2">
      <c r="A702" s="36" t="s">
        <v>407</v>
      </c>
      <c r="B702" s="31" t="s">
        <v>1454</v>
      </c>
      <c r="C702" s="31" t="s">
        <v>64</v>
      </c>
      <c r="D702" s="31"/>
      <c r="E702" s="31" t="s">
        <v>95</v>
      </c>
      <c r="F702" s="31">
        <v>0</v>
      </c>
      <c r="G702" s="31">
        <v>2300</v>
      </c>
      <c r="H702" s="31">
        <f t="shared" si="20"/>
        <v>2300</v>
      </c>
      <c r="I702" s="31">
        <v>2021</v>
      </c>
      <c r="J702" s="31">
        <f t="shared" si="21"/>
        <v>2</v>
      </c>
      <c r="K702" s="31" t="s">
        <v>90</v>
      </c>
      <c r="L702" s="31" t="str">
        <f>I702 &amp; "-" &amp;VLOOKUP(I702,Střediska!$A$1:$B$40,2,FALSE)</f>
        <v>2021-Juniorky</v>
      </c>
      <c r="M702" s="32" t="str">
        <f>VLOOKUP(Zdroj!$I702,Střediska!$A$1:$B$41,2,FALSE)</f>
        <v>Juniorky</v>
      </c>
    </row>
    <row r="703" spans="1:13" hidden="1" x14ac:dyDescent="0.2">
      <c r="A703" s="33" t="s">
        <v>531</v>
      </c>
      <c r="B703" s="34" t="s">
        <v>1455</v>
      </c>
      <c r="C703" s="34" t="s">
        <v>64</v>
      </c>
      <c r="D703" s="34"/>
      <c r="E703" s="34" t="s">
        <v>1443</v>
      </c>
      <c r="F703" s="34">
        <v>0</v>
      </c>
      <c r="G703" s="34">
        <v>5300</v>
      </c>
      <c r="H703" s="34">
        <f t="shared" si="20"/>
        <v>5300</v>
      </c>
      <c r="I703" s="34">
        <v>2021</v>
      </c>
      <c r="J703" s="34">
        <f t="shared" si="21"/>
        <v>2</v>
      </c>
      <c r="K703" s="34" t="s">
        <v>90</v>
      </c>
      <c r="L703" s="34" t="str">
        <f>I703 &amp; "-" &amp;VLOOKUP(I703,Střediska!$A$1:$B$40,2,FALSE)</f>
        <v>2021-Juniorky</v>
      </c>
      <c r="M703" s="35" t="str">
        <f>VLOOKUP(Zdroj!$I703,Střediska!$A$1:$B$41,2,FALSE)</f>
        <v>Juniorky</v>
      </c>
    </row>
    <row r="704" spans="1:13" hidden="1" x14ac:dyDescent="0.2">
      <c r="A704" s="36" t="s">
        <v>1318</v>
      </c>
      <c r="B704" s="31" t="s">
        <v>1456</v>
      </c>
      <c r="C704" s="31" t="s">
        <v>64</v>
      </c>
      <c r="D704" s="31"/>
      <c r="E704" s="31" t="s">
        <v>1457</v>
      </c>
      <c r="F704" s="31">
        <v>0</v>
      </c>
      <c r="G704" s="31">
        <v>2650</v>
      </c>
      <c r="H704" s="31">
        <f t="shared" si="20"/>
        <v>2650</v>
      </c>
      <c r="I704" s="31">
        <v>2021</v>
      </c>
      <c r="J704" s="31">
        <f t="shared" si="21"/>
        <v>2</v>
      </c>
      <c r="K704" s="31" t="s">
        <v>90</v>
      </c>
      <c r="L704" s="31" t="str">
        <f>I704 &amp; "-" &amp;VLOOKUP(I704,Střediska!$A$1:$B$40,2,FALSE)</f>
        <v>2021-Juniorky</v>
      </c>
      <c r="M704" s="32" t="str">
        <f>VLOOKUP(Zdroj!$I704,Střediska!$A$1:$B$41,2,FALSE)</f>
        <v>Juniorky</v>
      </c>
    </row>
    <row r="705" spans="1:13" hidden="1" x14ac:dyDescent="0.2">
      <c r="A705" s="33" t="s">
        <v>544</v>
      </c>
      <c r="B705" s="34" t="s">
        <v>1458</v>
      </c>
      <c r="C705" s="34" t="s">
        <v>64</v>
      </c>
      <c r="D705" s="34"/>
      <c r="E705" s="34" t="s">
        <v>1459</v>
      </c>
      <c r="F705" s="34">
        <v>0</v>
      </c>
      <c r="G705" s="34">
        <v>2650</v>
      </c>
      <c r="H705" s="34">
        <f t="shared" si="20"/>
        <v>2650</v>
      </c>
      <c r="I705" s="34">
        <v>2021</v>
      </c>
      <c r="J705" s="34">
        <f t="shared" si="21"/>
        <v>2</v>
      </c>
      <c r="K705" s="34" t="s">
        <v>90</v>
      </c>
      <c r="L705" s="34" t="str">
        <f>I705 &amp; "-" &amp;VLOOKUP(I705,Střediska!$A$1:$B$40,2,FALSE)</f>
        <v>2021-Juniorky</v>
      </c>
      <c r="M705" s="35" t="str">
        <f>VLOOKUP(Zdroj!$I705,Střediska!$A$1:$B$41,2,FALSE)</f>
        <v>Juniorky</v>
      </c>
    </row>
    <row r="706" spans="1:13" hidden="1" x14ac:dyDescent="0.2">
      <c r="A706" s="36" t="s">
        <v>433</v>
      </c>
      <c r="B706" s="31" t="s">
        <v>1460</v>
      </c>
      <c r="C706" s="31" t="s">
        <v>64</v>
      </c>
      <c r="D706" s="31"/>
      <c r="E706" s="31" t="s">
        <v>1461</v>
      </c>
      <c r="F706" s="31">
        <v>0</v>
      </c>
      <c r="G706" s="31">
        <v>2650</v>
      </c>
      <c r="H706" s="31">
        <f t="shared" ref="H706:H769" si="22">-F706+G706</f>
        <v>2650</v>
      </c>
      <c r="I706" s="31">
        <v>2021</v>
      </c>
      <c r="J706" s="31">
        <f t="shared" ref="J706:J769" si="23">VALUE(LEFT(I706,1))</f>
        <v>2</v>
      </c>
      <c r="K706" s="31" t="s">
        <v>90</v>
      </c>
      <c r="L706" s="31" t="str">
        <f>I706 &amp; "-" &amp;VLOOKUP(I706,Střediska!$A$1:$B$40,2,FALSE)</f>
        <v>2021-Juniorky</v>
      </c>
      <c r="M706" s="32" t="str">
        <f>VLOOKUP(Zdroj!$I706,Střediska!$A$1:$B$41,2,FALSE)</f>
        <v>Juniorky</v>
      </c>
    </row>
    <row r="707" spans="1:13" hidden="1" x14ac:dyDescent="0.2">
      <c r="A707" s="33" t="s">
        <v>709</v>
      </c>
      <c r="B707" s="34" t="s">
        <v>1462</v>
      </c>
      <c r="C707" s="34" t="s">
        <v>64</v>
      </c>
      <c r="D707" s="34"/>
      <c r="E707" s="34" t="s">
        <v>1463</v>
      </c>
      <c r="F707" s="34">
        <v>0</v>
      </c>
      <c r="G707" s="34">
        <v>2650</v>
      </c>
      <c r="H707" s="34">
        <f t="shared" si="22"/>
        <v>2650</v>
      </c>
      <c r="I707" s="34">
        <v>2021</v>
      </c>
      <c r="J707" s="34">
        <f t="shared" si="23"/>
        <v>2</v>
      </c>
      <c r="K707" s="34" t="s">
        <v>90</v>
      </c>
      <c r="L707" s="34" t="str">
        <f>I707 &amp; "-" &amp;VLOOKUP(I707,Střediska!$A$1:$B$40,2,FALSE)</f>
        <v>2021-Juniorky</v>
      </c>
      <c r="M707" s="35" t="str">
        <f>VLOOKUP(Zdroj!$I707,Střediska!$A$1:$B$41,2,FALSE)</f>
        <v>Juniorky</v>
      </c>
    </row>
    <row r="708" spans="1:13" hidden="1" x14ac:dyDescent="0.2">
      <c r="A708" s="36" t="s">
        <v>444</v>
      </c>
      <c r="B708" s="31" t="s">
        <v>1464</v>
      </c>
      <c r="C708" s="31" t="s">
        <v>64</v>
      </c>
      <c r="D708" s="31"/>
      <c r="E708" s="31" t="s">
        <v>95</v>
      </c>
      <c r="F708" s="31">
        <v>0</v>
      </c>
      <c r="G708" s="31">
        <v>2650</v>
      </c>
      <c r="H708" s="31">
        <f t="shared" si="22"/>
        <v>2650</v>
      </c>
      <c r="I708" s="31">
        <v>2021</v>
      </c>
      <c r="J708" s="31">
        <f t="shared" si="23"/>
        <v>2</v>
      </c>
      <c r="K708" s="31" t="s">
        <v>90</v>
      </c>
      <c r="L708" s="31" t="str">
        <f>I708 &amp; "-" &amp;VLOOKUP(I708,Střediska!$A$1:$B$40,2,FALSE)</f>
        <v>2021-Juniorky</v>
      </c>
      <c r="M708" s="32" t="str">
        <f>VLOOKUP(Zdroj!$I708,Střediska!$A$1:$B$41,2,FALSE)</f>
        <v>Juniorky</v>
      </c>
    </row>
    <row r="709" spans="1:13" hidden="1" x14ac:dyDescent="0.2">
      <c r="A709" s="33" t="s">
        <v>481</v>
      </c>
      <c r="B709" s="34" t="s">
        <v>1465</v>
      </c>
      <c r="C709" s="34" t="s">
        <v>64</v>
      </c>
      <c r="D709" s="34"/>
      <c r="E709" s="34" t="s">
        <v>1466</v>
      </c>
      <c r="F709" s="34">
        <v>0</v>
      </c>
      <c r="G709" s="34">
        <v>2650</v>
      </c>
      <c r="H709" s="34">
        <f t="shared" si="22"/>
        <v>2650</v>
      </c>
      <c r="I709" s="34">
        <v>2021</v>
      </c>
      <c r="J709" s="34">
        <f t="shared" si="23"/>
        <v>2</v>
      </c>
      <c r="K709" s="34" t="s">
        <v>90</v>
      </c>
      <c r="L709" s="34" t="str">
        <f>I709 &amp; "-" &amp;VLOOKUP(I709,Střediska!$A$1:$B$40,2,FALSE)</f>
        <v>2021-Juniorky</v>
      </c>
      <c r="M709" s="35" t="str">
        <f>VLOOKUP(Zdroj!$I709,Střediska!$A$1:$B$41,2,FALSE)</f>
        <v>Juniorky</v>
      </c>
    </row>
    <row r="710" spans="1:13" hidden="1" x14ac:dyDescent="0.2">
      <c r="A710" s="36" t="s">
        <v>49</v>
      </c>
      <c r="B710" s="31" t="s">
        <v>91</v>
      </c>
      <c r="C710" s="31" t="s">
        <v>19</v>
      </c>
      <c r="D710" s="31"/>
      <c r="E710" s="31" t="s">
        <v>93</v>
      </c>
      <c r="F710" s="31">
        <v>0</v>
      </c>
      <c r="G710" s="31">
        <v>8003.2699999999995</v>
      </c>
      <c r="H710" s="31">
        <f t="shared" si="22"/>
        <v>8003.2699999999995</v>
      </c>
      <c r="I710" s="31">
        <v>2021</v>
      </c>
      <c r="J710" s="31">
        <f t="shared" si="23"/>
        <v>2</v>
      </c>
      <c r="K710" s="31" t="s">
        <v>90</v>
      </c>
      <c r="L710" s="31" t="str">
        <f>I710 &amp; "-" &amp;VLOOKUP(I710,Střediska!$A$1:$B$40,2,FALSE)</f>
        <v>2021-Juniorky</v>
      </c>
      <c r="M710" s="32" t="str">
        <f>VLOOKUP(Zdroj!$I710,Střediska!$A$1:$B$41,2,FALSE)</f>
        <v>Juniorky</v>
      </c>
    </row>
    <row r="711" spans="1:13" hidden="1" x14ac:dyDescent="0.2">
      <c r="A711" s="33" t="s">
        <v>49</v>
      </c>
      <c r="B711" s="34" t="s">
        <v>1467</v>
      </c>
      <c r="C711" s="34" t="s">
        <v>64</v>
      </c>
      <c r="D711" s="34"/>
      <c r="E711" s="34" t="s">
        <v>1468</v>
      </c>
      <c r="F711" s="34">
        <v>0</v>
      </c>
      <c r="G711" s="34">
        <v>2650</v>
      </c>
      <c r="H711" s="34">
        <f t="shared" si="22"/>
        <v>2650</v>
      </c>
      <c r="I711" s="34">
        <v>2021</v>
      </c>
      <c r="J711" s="34">
        <f t="shared" si="23"/>
        <v>2</v>
      </c>
      <c r="K711" s="34" t="s">
        <v>90</v>
      </c>
      <c r="L711" s="34" t="str">
        <f>I711 &amp; "-" &amp;VLOOKUP(I711,Střediska!$A$1:$B$40,2,FALSE)</f>
        <v>2021-Juniorky</v>
      </c>
      <c r="M711" s="35" t="str">
        <f>VLOOKUP(Zdroj!$I711,Střediska!$A$1:$B$41,2,FALSE)</f>
        <v>Juniorky</v>
      </c>
    </row>
    <row r="712" spans="1:13" hidden="1" x14ac:dyDescent="0.2">
      <c r="A712" s="36" t="s">
        <v>49</v>
      </c>
      <c r="B712" s="31" t="s">
        <v>1469</v>
      </c>
      <c r="C712" s="31" t="s">
        <v>64</v>
      </c>
      <c r="D712" s="31"/>
      <c r="E712" s="31" t="s">
        <v>1470</v>
      </c>
      <c r="F712" s="31">
        <v>0</v>
      </c>
      <c r="G712" s="31">
        <v>2650</v>
      </c>
      <c r="H712" s="31">
        <f t="shared" si="22"/>
        <v>2650</v>
      </c>
      <c r="I712" s="31">
        <v>2021</v>
      </c>
      <c r="J712" s="31">
        <f t="shared" si="23"/>
        <v>2</v>
      </c>
      <c r="K712" s="31" t="s">
        <v>90</v>
      </c>
      <c r="L712" s="31" t="str">
        <f>I712 &amp; "-" &amp;VLOOKUP(I712,Střediska!$A$1:$B$40,2,FALSE)</f>
        <v>2021-Juniorky</v>
      </c>
      <c r="M712" s="32" t="str">
        <f>VLOOKUP(Zdroj!$I712,Střediska!$A$1:$B$41,2,FALSE)</f>
        <v>Juniorky</v>
      </c>
    </row>
    <row r="713" spans="1:13" hidden="1" x14ac:dyDescent="0.2">
      <c r="A713" s="33" t="s">
        <v>349</v>
      </c>
      <c r="B713" s="34" t="s">
        <v>1471</v>
      </c>
      <c r="C713" s="34" t="s">
        <v>64</v>
      </c>
      <c r="D713" s="34"/>
      <c r="E713" s="34" t="s">
        <v>1472</v>
      </c>
      <c r="F713" s="34">
        <v>0</v>
      </c>
      <c r="G713" s="34">
        <v>5300</v>
      </c>
      <c r="H713" s="34">
        <f t="shared" si="22"/>
        <v>5300</v>
      </c>
      <c r="I713" s="34">
        <v>2021</v>
      </c>
      <c r="J713" s="34">
        <f t="shared" si="23"/>
        <v>2</v>
      </c>
      <c r="K713" s="34" t="s">
        <v>90</v>
      </c>
      <c r="L713" s="34" t="str">
        <f>I713 &amp; "-" &amp;VLOOKUP(I713,Střediska!$A$1:$B$40,2,FALSE)</f>
        <v>2021-Juniorky</v>
      </c>
      <c r="M713" s="35" t="str">
        <f>VLOOKUP(Zdroj!$I713,Střediska!$A$1:$B$41,2,FALSE)</f>
        <v>Juniorky</v>
      </c>
    </row>
    <row r="714" spans="1:13" hidden="1" x14ac:dyDescent="0.2">
      <c r="A714" s="36" t="s">
        <v>270</v>
      </c>
      <c r="B714" s="31" t="s">
        <v>1473</v>
      </c>
      <c r="C714" s="31" t="s">
        <v>64</v>
      </c>
      <c r="D714" s="31"/>
      <c r="E714" s="31" t="s">
        <v>1474</v>
      </c>
      <c r="F714" s="31">
        <v>0</v>
      </c>
      <c r="G714" s="31">
        <v>2650</v>
      </c>
      <c r="H714" s="31">
        <f t="shared" si="22"/>
        <v>2650</v>
      </c>
      <c r="I714" s="31">
        <v>2021</v>
      </c>
      <c r="J714" s="31">
        <f t="shared" si="23"/>
        <v>2</v>
      </c>
      <c r="K714" s="31" t="s">
        <v>90</v>
      </c>
      <c r="L714" s="31" t="str">
        <f>I714 &amp; "-" &amp;VLOOKUP(I714,Střediska!$A$1:$B$40,2,FALSE)</f>
        <v>2021-Juniorky</v>
      </c>
      <c r="M714" s="32" t="str">
        <f>VLOOKUP(Zdroj!$I714,Střediska!$A$1:$B$41,2,FALSE)</f>
        <v>Juniorky</v>
      </c>
    </row>
    <row r="715" spans="1:13" hidden="1" x14ac:dyDescent="0.2">
      <c r="A715" s="33" t="s">
        <v>565</v>
      </c>
      <c r="B715" s="34" t="s">
        <v>1475</v>
      </c>
      <c r="C715" s="34" t="s">
        <v>64</v>
      </c>
      <c r="D715" s="34"/>
      <c r="E715" s="34" t="s">
        <v>1476</v>
      </c>
      <c r="F715" s="34">
        <v>0</v>
      </c>
      <c r="G715" s="34">
        <v>5300</v>
      </c>
      <c r="H715" s="34">
        <f t="shared" si="22"/>
        <v>5300</v>
      </c>
      <c r="I715" s="34">
        <v>2021</v>
      </c>
      <c r="J715" s="34">
        <f t="shared" si="23"/>
        <v>2</v>
      </c>
      <c r="K715" s="34" t="s">
        <v>90</v>
      </c>
      <c r="L715" s="34" t="str">
        <f>I715 &amp; "-" &amp;VLOOKUP(I715,Střediska!$A$1:$B$40,2,FALSE)</f>
        <v>2021-Juniorky</v>
      </c>
      <c r="M715" s="35" t="str">
        <f>VLOOKUP(Zdroj!$I715,Střediska!$A$1:$B$41,2,FALSE)</f>
        <v>Juniorky</v>
      </c>
    </row>
    <row r="716" spans="1:13" hidden="1" x14ac:dyDescent="0.2">
      <c r="A716" s="36" t="s">
        <v>274</v>
      </c>
      <c r="B716" s="31" t="s">
        <v>1477</v>
      </c>
      <c r="C716" s="31" t="s">
        <v>64</v>
      </c>
      <c r="D716" s="31"/>
      <c r="E716" s="31" t="s">
        <v>1478</v>
      </c>
      <c r="F716" s="31">
        <v>0</v>
      </c>
      <c r="G716" s="31">
        <v>2650</v>
      </c>
      <c r="H716" s="31">
        <f t="shared" si="22"/>
        <v>2650</v>
      </c>
      <c r="I716" s="31">
        <v>2021</v>
      </c>
      <c r="J716" s="31">
        <f t="shared" si="23"/>
        <v>2</v>
      </c>
      <c r="K716" s="31" t="s">
        <v>90</v>
      </c>
      <c r="L716" s="31" t="str">
        <f>I716 &amp; "-" &amp;VLOOKUP(I716,Střediska!$A$1:$B$40,2,FALSE)</f>
        <v>2021-Juniorky</v>
      </c>
      <c r="M716" s="32" t="str">
        <f>VLOOKUP(Zdroj!$I716,Střediska!$A$1:$B$41,2,FALSE)</f>
        <v>Juniorky</v>
      </c>
    </row>
    <row r="717" spans="1:13" hidden="1" x14ac:dyDescent="0.2">
      <c r="A717" s="33" t="s">
        <v>293</v>
      </c>
      <c r="B717" s="34" t="s">
        <v>1479</v>
      </c>
      <c r="C717" s="34" t="s">
        <v>64</v>
      </c>
      <c r="D717" s="34"/>
      <c r="E717" s="34" t="s">
        <v>1480</v>
      </c>
      <c r="F717" s="34">
        <v>0</v>
      </c>
      <c r="G717" s="34">
        <v>2650</v>
      </c>
      <c r="H717" s="34">
        <f t="shared" si="22"/>
        <v>2650</v>
      </c>
      <c r="I717" s="34">
        <v>2021</v>
      </c>
      <c r="J717" s="34">
        <f t="shared" si="23"/>
        <v>2</v>
      </c>
      <c r="K717" s="34" t="s">
        <v>90</v>
      </c>
      <c r="L717" s="34" t="str">
        <f>I717 &amp; "-" &amp;VLOOKUP(I717,Střediska!$A$1:$B$40,2,FALSE)</f>
        <v>2021-Juniorky</v>
      </c>
      <c r="M717" s="35" t="str">
        <f>VLOOKUP(Zdroj!$I717,Střediska!$A$1:$B$41,2,FALSE)</f>
        <v>Juniorky</v>
      </c>
    </row>
    <row r="718" spans="1:13" hidden="1" x14ac:dyDescent="0.2">
      <c r="A718" s="36" t="s">
        <v>20</v>
      </c>
      <c r="B718" s="31" t="s">
        <v>338</v>
      </c>
      <c r="C718" s="31" t="s">
        <v>19</v>
      </c>
      <c r="D718" s="31"/>
      <c r="E718" s="31" t="s">
        <v>339</v>
      </c>
      <c r="F718" s="31">
        <v>0</v>
      </c>
      <c r="G718" s="31">
        <v>-9127.7800000000007</v>
      </c>
      <c r="H718" s="31">
        <f t="shared" si="22"/>
        <v>-9127.7800000000007</v>
      </c>
      <c r="I718" s="31">
        <v>2021</v>
      </c>
      <c r="J718" s="31">
        <f t="shared" si="23"/>
        <v>2</v>
      </c>
      <c r="K718" s="31" t="s">
        <v>90</v>
      </c>
      <c r="L718" s="31" t="str">
        <f>I718 &amp; "-" &amp;VLOOKUP(I718,Střediska!$A$1:$B$40,2,FALSE)</f>
        <v>2021-Juniorky</v>
      </c>
      <c r="M718" s="32" t="str">
        <f>VLOOKUP(Zdroj!$I718,Střediska!$A$1:$B$41,2,FALSE)</f>
        <v>Juniorky</v>
      </c>
    </row>
    <row r="719" spans="1:13" hidden="1" x14ac:dyDescent="0.2">
      <c r="A719" s="33" t="s">
        <v>1484</v>
      </c>
      <c r="B719" s="34" t="s">
        <v>1483</v>
      </c>
      <c r="C719" s="34" t="s">
        <v>106</v>
      </c>
      <c r="D719" s="34" t="s">
        <v>1341</v>
      </c>
      <c r="E719" s="34" t="s">
        <v>235</v>
      </c>
      <c r="F719" s="34">
        <v>5000</v>
      </c>
      <c r="G719" s="34">
        <v>0</v>
      </c>
      <c r="H719" s="34">
        <f t="shared" si="22"/>
        <v>-5000</v>
      </c>
      <c r="I719" s="34">
        <v>2031</v>
      </c>
      <c r="J719" s="34">
        <f t="shared" si="23"/>
        <v>2</v>
      </c>
      <c r="K719" s="34" t="s">
        <v>148</v>
      </c>
      <c r="L719" s="34" t="str">
        <f>I719 &amp; "-" &amp;VLOOKUP(I719,Střediska!$A$1:$B$40,2,FALSE)</f>
        <v>2031-Dorostenky</v>
      </c>
      <c r="M719" s="35" t="str">
        <f>VLOOKUP(Zdroj!$I719,Střediska!$A$1:$B$41,2,FALSE)</f>
        <v>Dorostenky</v>
      </c>
    </row>
    <row r="720" spans="1:13" hidden="1" x14ac:dyDescent="0.2">
      <c r="A720" s="36" t="s">
        <v>151</v>
      </c>
      <c r="B720" s="31" t="s">
        <v>1485</v>
      </c>
      <c r="C720" s="31" t="s">
        <v>106</v>
      </c>
      <c r="D720" s="31" t="s">
        <v>1486</v>
      </c>
      <c r="E720" s="31" t="s">
        <v>1487</v>
      </c>
      <c r="F720" s="31">
        <v>5850</v>
      </c>
      <c r="G720" s="31">
        <v>0</v>
      </c>
      <c r="H720" s="31">
        <f t="shared" si="22"/>
        <v>-5850</v>
      </c>
      <c r="I720" s="31">
        <v>2031</v>
      </c>
      <c r="J720" s="31">
        <f t="shared" si="23"/>
        <v>2</v>
      </c>
      <c r="K720" s="31" t="s">
        <v>148</v>
      </c>
      <c r="L720" s="31" t="str">
        <f>I720 &amp; "-" &amp;VLOOKUP(I720,Střediska!$A$1:$B$40,2,FALSE)</f>
        <v>2031-Dorostenky</v>
      </c>
      <c r="M720" s="32" t="str">
        <f>VLOOKUP(Zdroj!$I720,Střediska!$A$1:$B$41,2,FALSE)</f>
        <v>Dorostenky</v>
      </c>
    </row>
    <row r="721" spans="1:13" hidden="1" x14ac:dyDescent="0.2">
      <c r="A721" s="33" t="s">
        <v>1316</v>
      </c>
      <c r="B721" s="34" t="s">
        <v>1488</v>
      </c>
      <c r="C721" s="34" t="s">
        <v>106</v>
      </c>
      <c r="D721" s="34" t="s">
        <v>471</v>
      </c>
      <c r="E721" s="34" t="s">
        <v>1489</v>
      </c>
      <c r="F721" s="34">
        <v>2600</v>
      </c>
      <c r="G721" s="34">
        <v>0</v>
      </c>
      <c r="H721" s="34">
        <f t="shared" si="22"/>
        <v>-2600</v>
      </c>
      <c r="I721" s="34">
        <v>2031</v>
      </c>
      <c r="J721" s="34">
        <f t="shared" si="23"/>
        <v>2</v>
      </c>
      <c r="K721" s="34" t="s">
        <v>17</v>
      </c>
      <c r="L721" s="34" t="str">
        <f>I721 &amp; "-" &amp;VLOOKUP(I721,Střediska!$A$1:$B$40,2,FALSE)</f>
        <v>2031-Dorostenky</v>
      </c>
      <c r="M721" s="35" t="str">
        <f>VLOOKUP(Zdroj!$I721,Střediska!$A$1:$B$41,2,FALSE)</f>
        <v>Dorostenky</v>
      </c>
    </row>
    <row r="722" spans="1:13" hidden="1" x14ac:dyDescent="0.2">
      <c r="A722" s="36" t="s">
        <v>1492</v>
      </c>
      <c r="B722" s="31" t="s">
        <v>1490</v>
      </c>
      <c r="C722" s="31" t="s">
        <v>106</v>
      </c>
      <c r="D722" s="31" t="s">
        <v>1491</v>
      </c>
      <c r="E722" s="31" t="s">
        <v>1489</v>
      </c>
      <c r="F722" s="31">
        <v>3000</v>
      </c>
      <c r="G722" s="31">
        <v>0</v>
      </c>
      <c r="H722" s="31">
        <f t="shared" si="22"/>
        <v>-3000</v>
      </c>
      <c r="I722" s="31">
        <v>2031</v>
      </c>
      <c r="J722" s="31">
        <f t="shared" si="23"/>
        <v>2</v>
      </c>
      <c r="K722" s="31" t="s">
        <v>17</v>
      </c>
      <c r="L722" s="31" t="str">
        <f>I722 &amp; "-" &amp;VLOOKUP(I722,Střediska!$A$1:$B$40,2,FALSE)</f>
        <v>2031-Dorostenky</v>
      </c>
      <c r="M722" s="32" t="str">
        <f>VLOOKUP(Zdroj!$I722,Střediska!$A$1:$B$41,2,FALSE)</f>
        <v>Dorostenky</v>
      </c>
    </row>
    <row r="723" spans="1:13" hidden="1" x14ac:dyDescent="0.2">
      <c r="A723" s="33" t="s">
        <v>20</v>
      </c>
      <c r="B723" s="34" t="s">
        <v>18</v>
      </c>
      <c r="C723" s="34" t="s">
        <v>19</v>
      </c>
      <c r="D723" s="34"/>
      <c r="E723" s="34" t="s">
        <v>21</v>
      </c>
      <c r="F723" s="34">
        <v>137238.04</v>
      </c>
      <c r="G723" s="34">
        <v>0</v>
      </c>
      <c r="H723" s="34">
        <f t="shared" si="22"/>
        <v>-137238.04</v>
      </c>
      <c r="I723" s="34">
        <v>2031</v>
      </c>
      <c r="J723" s="34">
        <f t="shared" si="23"/>
        <v>2</v>
      </c>
      <c r="K723" s="34" t="s">
        <v>17</v>
      </c>
      <c r="L723" s="34" t="str">
        <f>I723 &amp; "-" &amp;VLOOKUP(I723,Střediska!$A$1:$B$40,2,FALSE)</f>
        <v>2031-Dorostenky</v>
      </c>
      <c r="M723" s="35" t="str">
        <f>VLOOKUP(Zdroj!$I723,Střediska!$A$1:$B$41,2,FALSE)</f>
        <v>Dorostenky</v>
      </c>
    </row>
    <row r="724" spans="1:13" hidden="1" x14ac:dyDescent="0.2">
      <c r="A724" s="36" t="s">
        <v>789</v>
      </c>
      <c r="B724" s="31" t="s">
        <v>1493</v>
      </c>
      <c r="C724" s="31" t="s">
        <v>106</v>
      </c>
      <c r="D724" s="31" t="s">
        <v>1494</v>
      </c>
      <c r="E724" s="31" t="s">
        <v>1495</v>
      </c>
      <c r="F724" s="31">
        <v>10000</v>
      </c>
      <c r="G724" s="31">
        <v>0</v>
      </c>
      <c r="H724" s="31">
        <f t="shared" si="22"/>
        <v>-10000</v>
      </c>
      <c r="I724" s="31">
        <v>2031</v>
      </c>
      <c r="J724" s="31">
        <f t="shared" si="23"/>
        <v>2</v>
      </c>
      <c r="K724" s="31" t="s">
        <v>154</v>
      </c>
      <c r="L724" s="31" t="str">
        <f>I724 &amp; "-" &amp;VLOOKUP(I724,Střediska!$A$1:$B$40,2,FALSE)</f>
        <v>2031-Dorostenky</v>
      </c>
      <c r="M724" s="32" t="str">
        <f>VLOOKUP(Zdroj!$I724,Střediska!$A$1:$B$41,2,FALSE)</f>
        <v>Dorostenky</v>
      </c>
    </row>
    <row r="725" spans="1:13" hidden="1" x14ac:dyDescent="0.2">
      <c r="A725" s="33" t="s">
        <v>1497</v>
      </c>
      <c r="B725" s="34" t="s">
        <v>1496</v>
      </c>
      <c r="C725" s="34" t="s">
        <v>106</v>
      </c>
      <c r="D725" s="34" t="s">
        <v>164</v>
      </c>
      <c r="E725" s="34" t="s">
        <v>166</v>
      </c>
      <c r="F725" s="34">
        <v>5000</v>
      </c>
      <c r="G725" s="34">
        <v>0</v>
      </c>
      <c r="H725" s="34">
        <f t="shared" si="22"/>
        <v>-5000</v>
      </c>
      <c r="I725" s="34">
        <v>2031</v>
      </c>
      <c r="J725" s="34">
        <f t="shared" si="23"/>
        <v>2</v>
      </c>
      <c r="K725" s="34" t="s">
        <v>162</v>
      </c>
      <c r="L725" s="34" t="str">
        <f>I725 &amp; "-" &amp;VLOOKUP(I725,Střediska!$A$1:$B$40,2,FALSE)</f>
        <v>2031-Dorostenky</v>
      </c>
      <c r="M725" s="35" t="str">
        <f>VLOOKUP(Zdroj!$I725,Střediska!$A$1:$B$41,2,FALSE)</f>
        <v>Dorostenky</v>
      </c>
    </row>
    <row r="726" spans="1:13" hidden="1" x14ac:dyDescent="0.2">
      <c r="A726" s="36" t="s">
        <v>181</v>
      </c>
      <c r="B726" s="31" t="s">
        <v>1498</v>
      </c>
      <c r="C726" s="31" t="s">
        <v>19</v>
      </c>
      <c r="D726" s="31"/>
      <c r="E726" s="31" t="s">
        <v>1499</v>
      </c>
      <c r="F726" s="31">
        <v>1800</v>
      </c>
      <c r="G726" s="31">
        <v>0</v>
      </c>
      <c r="H726" s="31">
        <f t="shared" si="22"/>
        <v>-1800</v>
      </c>
      <c r="I726" s="31">
        <v>2031</v>
      </c>
      <c r="J726" s="31">
        <f t="shared" si="23"/>
        <v>2</v>
      </c>
      <c r="K726" s="31" t="s">
        <v>179</v>
      </c>
      <c r="L726" s="31" t="str">
        <f>I726 &amp; "-" &amp;VLOOKUP(I726,Střediska!$A$1:$B$40,2,FALSE)</f>
        <v>2031-Dorostenky</v>
      </c>
      <c r="M726" s="32" t="str">
        <f>VLOOKUP(Zdroj!$I726,Střediska!$A$1:$B$41,2,FALSE)</f>
        <v>Dorostenky</v>
      </c>
    </row>
    <row r="727" spans="1:13" hidden="1" x14ac:dyDescent="0.2">
      <c r="A727" s="33" t="s">
        <v>869</v>
      </c>
      <c r="B727" s="34" t="s">
        <v>1500</v>
      </c>
      <c r="C727" s="34" t="s">
        <v>19</v>
      </c>
      <c r="D727" s="34"/>
      <c r="E727" s="34" t="s">
        <v>1501</v>
      </c>
      <c r="F727" s="34">
        <v>1735</v>
      </c>
      <c r="G727" s="34">
        <v>0</v>
      </c>
      <c r="H727" s="34">
        <f t="shared" si="22"/>
        <v>-1735</v>
      </c>
      <c r="I727" s="34">
        <v>2031</v>
      </c>
      <c r="J727" s="34">
        <f t="shared" si="23"/>
        <v>2</v>
      </c>
      <c r="K727" s="34" t="s">
        <v>179</v>
      </c>
      <c r="L727" s="34" t="str">
        <f>I727 &amp; "-" &amp;VLOOKUP(I727,Střediska!$A$1:$B$40,2,FALSE)</f>
        <v>2031-Dorostenky</v>
      </c>
      <c r="M727" s="35" t="str">
        <f>VLOOKUP(Zdroj!$I727,Střediska!$A$1:$B$41,2,FALSE)</f>
        <v>Dorostenky</v>
      </c>
    </row>
    <row r="728" spans="1:13" hidden="1" x14ac:dyDescent="0.2">
      <c r="A728" s="36" t="s">
        <v>199</v>
      </c>
      <c r="B728" s="31" t="s">
        <v>1502</v>
      </c>
      <c r="C728" s="31" t="s">
        <v>19</v>
      </c>
      <c r="D728" s="31"/>
      <c r="E728" s="31" t="s">
        <v>1499</v>
      </c>
      <c r="F728" s="31">
        <v>2670</v>
      </c>
      <c r="G728" s="31">
        <v>0</v>
      </c>
      <c r="H728" s="31">
        <f t="shared" si="22"/>
        <v>-2670</v>
      </c>
      <c r="I728" s="31">
        <v>2031</v>
      </c>
      <c r="J728" s="31">
        <f t="shared" si="23"/>
        <v>2</v>
      </c>
      <c r="K728" s="31" t="s">
        <v>179</v>
      </c>
      <c r="L728" s="31" t="str">
        <f>I728 &amp; "-" &amp;VLOOKUP(I728,Střediska!$A$1:$B$40,2,FALSE)</f>
        <v>2031-Dorostenky</v>
      </c>
      <c r="M728" s="32" t="str">
        <f>VLOOKUP(Zdroj!$I728,Střediska!$A$1:$B$41,2,FALSE)</f>
        <v>Dorostenky</v>
      </c>
    </row>
    <row r="729" spans="1:13" hidden="1" x14ac:dyDescent="0.2">
      <c r="A729" s="33" t="s">
        <v>20</v>
      </c>
      <c r="B729" s="34" t="s">
        <v>59</v>
      </c>
      <c r="C729" s="34" t="s">
        <v>19</v>
      </c>
      <c r="D729" s="34"/>
      <c r="E729" s="34" t="s">
        <v>60</v>
      </c>
      <c r="F729" s="34">
        <v>17970</v>
      </c>
      <c r="G729" s="34">
        <v>0</v>
      </c>
      <c r="H729" s="34">
        <f t="shared" si="22"/>
        <v>-17970</v>
      </c>
      <c r="I729" s="34">
        <v>2031</v>
      </c>
      <c r="J729" s="34">
        <f t="shared" si="23"/>
        <v>2</v>
      </c>
      <c r="K729" s="34" t="s">
        <v>23</v>
      </c>
      <c r="L729" s="34" t="str">
        <f>I729 &amp; "-" &amp;VLOOKUP(I729,Střediska!$A$1:$B$40,2,FALSE)</f>
        <v>2031-Dorostenky</v>
      </c>
      <c r="M729" s="35" t="str">
        <f>VLOOKUP(Zdroj!$I729,Střediska!$A$1:$B$41,2,FALSE)</f>
        <v>Dorostenky</v>
      </c>
    </row>
    <row r="730" spans="1:13" hidden="1" x14ac:dyDescent="0.2">
      <c r="A730" s="36" t="s">
        <v>49</v>
      </c>
      <c r="B730" s="31" t="s">
        <v>1503</v>
      </c>
      <c r="C730" s="31" t="s">
        <v>19</v>
      </c>
      <c r="D730" s="31"/>
      <c r="E730" s="31" t="s">
        <v>1504</v>
      </c>
      <c r="F730" s="31">
        <v>0</v>
      </c>
      <c r="G730" s="31">
        <v>37700</v>
      </c>
      <c r="H730" s="31">
        <f t="shared" si="22"/>
        <v>37700</v>
      </c>
      <c r="I730" s="31">
        <v>2031</v>
      </c>
      <c r="J730" s="31">
        <f t="shared" si="23"/>
        <v>2</v>
      </c>
      <c r="K730" s="31" t="s">
        <v>246</v>
      </c>
      <c r="L730" s="31" t="str">
        <f>I730 &amp; "-" &amp;VLOOKUP(I730,Střediska!$A$1:$B$40,2,FALSE)</f>
        <v>2031-Dorostenky</v>
      </c>
      <c r="M730" s="32" t="str">
        <f>VLOOKUP(Zdroj!$I730,Střediska!$A$1:$B$41,2,FALSE)</f>
        <v>Dorostenky</v>
      </c>
    </row>
    <row r="731" spans="1:13" hidden="1" x14ac:dyDescent="0.2">
      <c r="A731" s="33" t="s">
        <v>635</v>
      </c>
      <c r="B731" s="34" t="s">
        <v>1505</v>
      </c>
      <c r="C731" s="34" t="s">
        <v>64</v>
      </c>
      <c r="D731" s="34"/>
      <c r="E731" s="34" t="s">
        <v>1506</v>
      </c>
      <c r="F731" s="34">
        <v>0</v>
      </c>
      <c r="G731" s="34">
        <v>4600</v>
      </c>
      <c r="H731" s="34">
        <f t="shared" si="22"/>
        <v>4600</v>
      </c>
      <c r="I731" s="34">
        <v>2031</v>
      </c>
      <c r="J731" s="34">
        <f t="shared" si="23"/>
        <v>2</v>
      </c>
      <c r="K731" s="34" t="s">
        <v>90</v>
      </c>
      <c r="L731" s="34" t="str">
        <f>I731 &amp; "-" &amp;VLOOKUP(I731,Střediska!$A$1:$B$40,2,FALSE)</f>
        <v>2031-Dorostenky</v>
      </c>
      <c r="M731" s="35" t="str">
        <f>VLOOKUP(Zdroj!$I731,Střediska!$A$1:$B$41,2,FALSE)</f>
        <v>Dorostenky</v>
      </c>
    </row>
    <row r="732" spans="1:13" hidden="1" x14ac:dyDescent="0.2">
      <c r="A732" s="36" t="s">
        <v>376</v>
      </c>
      <c r="B732" s="31" t="s">
        <v>1507</v>
      </c>
      <c r="C732" s="31" t="s">
        <v>64</v>
      </c>
      <c r="D732" s="31"/>
      <c r="E732" s="31" t="s">
        <v>1508</v>
      </c>
      <c r="F732" s="31">
        <v>0</v>
      </c>
      <c r="G732" s="31">
        <v>4600</v>
      </c>
      <c r="H732" s="31">
        <f t="shared" si="22"/>
        <v>4600</v>
      </c>
      <c r="I732" s="31">
        <v>2031</v>
      </c>
      <c r="J732" s="31">
        <f t="shared" si="23"/>
        <v>2</v>
      </c>
      <c r="K732" s="31" t="s">
        <v>90</v>
      </c>
      <c r="L732" s="31" t="str">
        <f>I732 &amp; "-" &amp;VLOOKUP(I732,Střediska!$A$1:$B$40,2,FALSE)</f>
        <v>2031-Dorostenky</v>
      </c>
      <c r="M732" s="32" t="str">
        <f>VLOOKUP(Zdroj!$I732,Střediska!$A$1:$B$41,2,FALSE)</f>
        <v>Dorostenky</v>
      </c>
    </row>
    <row r="733" spans="1:13" hidden="1" x14ac:dyDescent="0.2">
      <c r="A733" s="33" t="s">
        <v>836</v>
      </c>
      <c r="B733" s="34" t="s">
        <v>1509</v>
      </c>
      <c r="C733" s="34" t="s">
        <v>64</v>
      </c>
      <c r="D733" s="34"/>
      <c r="E733" s="34" t="s">
        <v>1510</v>
      </c>
      <c r="F733" s="34">
        <v>0</v>
      </c>
      <c r="G733" s="34">
        <v>4600</v>
      </c>
      <c r="H733" s="34">
        <f t="shared" si="22"/>
        <v>4600</v>
      </c>
      <c r="I733" s="34">
        <v>2031</v>
      </c>
      <c r="J733" s="34">
        <f t="shared" si="23"/>
        <v>2</v>
      </c>
      <c r="K733" s="34" t="s">
        <v>90</v>
      </c>
      <c r="L733" s="34" t="str">
        <f>I733 &amp; "-" &amp;VLOOKUP(I733,Střediska!$A$1:$B$40,2,FALSE)</f>
        <v>2031-Dorostenky</v>
      </c>
      <c r="M733" s="35" t="str">
        <f>VLOOKUP(Zdroj!$I733,Střediska!$A$1:$B$41,2,FALSE)</f>
        <v>Dorostenky</v>
      </c>
    </row>
    <row r="734" spans="1:13" hidden="1" x14ac:dyDescent="0.2">
      <c r="A734" s="36" t="s">
        <v>513</v>
      </c>
      <c r="B734" s="31" t="s">
        <v>1511</v>
      </c>
      <c r="C734" s="31" t="s">
        <v>64</v>
      </c>
      <c r="D734" s="31"/>
      <c r="E734" s="31" t="s">
        <v>95</v>
      </c>
      <c r="F734" s="31">
        <v>0</v>
      </c>
      <c r="G734" s="31">
        <v>4600</v>
      </c>
      <c r="H734" s="31">
        <f t="shared" si="22"/>
        <v>4600</v>
      </c>
      <c r="I734" s="31">
        <v>2031</v>
      </c>
      <c r="J734" s="31">
        <f t="shared" si="23"/>
        <v>2</v>
      </c>
      <c r="K734" s="31" t="s">
        <v>90</v>
      </c>
      <c r="L734" s="31" t="str">
        <f>I734 &amp; "-" &amp;VLOOKUP(I734,Střediska!$A$1:$B$40,2,FALSE)</f>
        <v>2031-Dorostenky</v>
      </c>
      <c r="M734" s="32" t="str">
        <f>VLOOKUP(Zdroj!$I734,Střediska!$A$1:$B$41,2,FALSE)</f>
        <v>Dorostenky</v>
      </c>
    </row>
    <row r="735" spans="1:13" hidden="1" x14ac:dyDescent="0.2">
      <c r="A735" s="33" t="s">
        <v>1513</v>
      </c>
      <c r="B735" s="34" t="s">
        <v>1512</v>
      </c>
      <c r="C735" s="34" t="s">
        <v>64</v>
      </c>
      <c r="D735" s="34"/>
      <c r="E735" s="34" t="s">
        <v>1514</v>
      </c>
      <c r="F735" s="34">
        <v>0</v>
      </c>
      <c r="G735" s="34">
        <v>4600</v>
      </c>
      <c r="H735" s="34">
        <f t="shared" si="22"/>
        <v>4600</v>
      </c>
      <c r="I735" s="34">
        <v>2031</v>
      </c>
      <c r="J735" s="34">
        <f t="shared" si="23"/>
        <v>2</v>
      </c>
      <c r="K735" s="34" t="s">
        <v>90</v>
      </c>
      <c r="L735" s="34" t="str">
        <f>I735 &amp; "-" &amp;VLOOKUP(I735,Střediska!$A$1:$B$40,2,FALSE)</f>
        <v>2031-Dorostenky</v>
      </c>
      <c r="M735" s="35" t="str">
        <f>VLOOKUP(Zdroj!$I735,Střediska!$A$1:$B$41,2,FALSE)</f>
        <v>Dorostenky</v>
      </c>
    </row>
    <row r="736" spans="1:13" hidden="1" x14ac:dyDescent="0.2">
      <c r="A736" s="36" t="s">
        <v>407</v>
      </c>
      <c r="B736" s="31" t="s">
        <v>1515</v>
      </c>
      <c r="C736" s="31" t="s">
        <v>64</v>
      </c>
      <c r="D736" s="31"/>
      <c r="E736" s="31" t="s">
        <v>1516</v>
      </c>
      <c r="F736" s="31">
        <v>0</v>
      </c>
      <c r="G736" s="31">
        <v>4600</v>
      </c>
      <c r="H736" s="31">
        <f t="shared" si="22"/>
        <v>4600</v>
      </c>
      <c r="I736" s="31">
        <v>2031</v>
      </c>
      <c r="J736" s="31">
        <f t="shared" si="23"/>
        <v>2</v>
      </c>
      <c r="K736" s="31" t="s">
        <v>90</v>
      </c>
      <c r="L736" s="31" t="str">
        <f>I736 &amp; "-" &amp;VLOOKUP(I736,Střediska!$A$1:$B$40,2,FALSE)</f>
        <v>2031-Dorostenky</v>
      </c>
      <c r="M736" s="32" t="str">
        <f>VLOOKUP(Zdroj!$I736,Střediska!$A$1:$B$41,2,FALSE)</f>
        <v>Dorostenky</v>
      </c>
    </row>
    <row r="737" spans="1:13" hidden="1" x14ac:dyDescent="0.2">
      <c r="A737" s="33" t="s">
        <v>25</v>
      </c>
      <c r="B737" s="34" t="s">
        <v>1517</v>
      </c>
      <c r="C737" s="34" t="s">
        <v>64</v>
      </c>
      <c r="D737" s="34"/>
      <c r="E737" s="34" t="s">
        <v>1518</v>
      </c>
      <c r="F737" s="34">
        <v>0</v>
      </c>
      <c r="G737" s="34">
        <v>2300</v>
      </c>
      <c r="H737" s="34">
        <f t="shared" si="22"/>
        <v>2300</v>
      </c>
      <c r="I737" s="34">
        <v>2031</v>
      </c>
      <c r="J737" s="34">
        <f t="shared" si="23"/>
        <v>2</v>
      </c>
      <c r="K737" s="34" t="s">
        <v>90</v>
      </c>
      <c r="L737" s="34" t="str">
        <f>I737 &amp; "-" &amp;VLOOKUP(I737,Střediska!$A$1:$B$40,2,FALSE)</f>
        <v>2031-Dorostenky</v>
      </c>
      <c r="M737" s="35" t="str">
        <f>VLOOKUP(Zdroj!$I737,Střediska!$A$1:$B$41,2,FALSE)</f>
        <v>Dorostenky</v>
      </c>
    </row>
    <row r="738" spans="1:13" hidden="1" x14ac:dyDescent="0.2">
      <c r="A738" s="36" t="s">
        <v>25</v>
      </c>
      <c r="B738" s="31" t="s">
        <v>1519</v>
      </c>
      <c r="C738" s="31" t="s">
        <v>64</v>
      </c>
      <c r="D738" s="31"/>
      <c r="E738" s="31" t="s">
        <v>1520</v>
      </c>
      <c r="F738" s="31">
        <v>0</v>
      </c>
      <c r="G738" s="31">
        <v>2300</v>
      </c>
      <c r="H738" s="31">
        <f t="shared" si="22"/>
        <v>2300</v>
      </c>
      <c r="I738" s="31">
        <v>2031</v>
      </c>
      <c r="J738" s="31">
        <f t="shared" si="23"/>
        <v>2</v>
      </c>
      <c r="K738" s="31" t="s">
        <v>90</v>
      </c>
      <c r="L738" s="31" t="str">
        <f>I738 &amp; "-" &amp;VLOOKUP(I738,Střediska!$A$1:$B$40,2,FALSE)</f>
        <v>2031-Dorostenky</v>
      </c>
      <c r="M738" s="32" t="str">
        <f>VLOOKUP(Zdroj!$I738,Střediska!$A$1:$B$41,2,FALSE)</f>
        <v>Dorostenky</v>
      </c>
    </row>
    <row r="739" spans="1:13" hidden="1" x14ac:dyDescent="0.2">
      <c r="A739" s="33" t="s">
        <v>25</v>
      </c>
      <c r="B739" s="34" t="s">
        <v>1521</v>
      </c>
      <c r="C739" s="34" t="s">
        <v>64</v>
      </c>
      <c r="D739" s="34"/>
      <c r="E739" s="34" t="s">
        <v>95</v>
      </c>
      <c r="F739" s="34">
        <v>0</v>
      </c>
      <c r="G739" s="34">
        <v>2300</v>
      </c>
      <c r="H739" s="34">
        <f t="shared" si="22"/>
        <v>2300</v>
      </c>
      <c r="I739" s="34">
        <v>2031</v>
      </c>
      <c r="J739" s="34">
        <f t="shared" si="23"/>
        <v>2</v>
      </c>
      <c r="K739" s="34" t="s">
        <v>90</v>
      </c>
      <c r="L739" s="34" t="str">
        <f>I739 &amp; "-" &amp;VLOOKUP(I739,Střediska!$A$1:$B$40,2,FALSE)</f>
        <v>2031-Dorostenky</v>
      </c>
      <c r="M739" s="35" t="str">
        <f>VLOOKUP(Zdroj!$I739,Střediska!$A$1:$B$41,2,FALSE)</f>
        <v>Dorostenky</v>
      </c>
    </row>
    <row r="740" spans="1:13" hidden="1" x14ac:dyDescent="0.2">
      <c r="A740" s="36" t="s">
        <v>413</v>
      </c>
      <c r="B740" s="31" t="s">
        <v>1522</v>
      </c>
      <c r="C740" s="31" t="s">
        <v>64</v>
      </c>
      <c r="D740" s="31"/>
      <c r="E740" s="31" t="s">
        <v>1523</v>
      </c>
      <c r="F740" s="31">
        <v>0</v>
      </c>
      <c r="G740" s="31">
        <v>4600</v>
      </c>
      <c r="H740" s="31">
        <f t="shared" si="22"/>
        <v>4600</v>
      </c>
      <c r="I740" s="31">
        <v>2031</v>
      </c>
      <c r="J740" s="31">
        <f t="shared" si="23"/>
        <v>2</v>
      </c>
      <c r="K740" s="31" t="s">
        <v>90</v>
      </c>
      <c r="L740" s="31" t="str">
        <f>I740 &amp; "-" &amp;VLOOKUP(I740,Střediska!$A$1:$B$40,2,FALSE)</f>
        <v>2031-Dorostenky</v>
      </c>
      <c r="M740" s="32" t="str">
        <f>VLOOKUP(Zdroj!$I740,Střediska!$A$1:$B$41,2,FALSE)</f>
        <v>Dorostenky</v>
      </c>
    </row>
    <row r="741" spans="1:13" hidden="1" x14ac:dyDescent="0.2">
      <c r="A741" s="33" t="s">
        <v>1525</v>
      </c>
      <c r="B741" s="34" t="s">
        <v>1524</v>
      </c>
      <c r="C741" s="34" t="s">
        <v>64</v>
      </c>
      <c r="D741" s="34"/>
      <c r="E741" s="34" t="s">
        <v>1526</v>
      </c>
      <c r="F741" s="34">
        <v>0</v>
      </c>
      <c r="G741" s="34">
        <v>4600</v>
      </c>
      <c r="H741" s="34">
        <f t="shared" si="22"/>
        <v>4600</v>
      </c>
      <c r="I741" s="34">
        <v>2031</v>
      </c>
      <c r="J741" s="34">
        <f t="shared" si="23"/>
        <v>2</v>
      </c>
      <c r="K741" s="34" t="s">
        <v>90</v>
      </c>
      <c r="L741" s="34" t="str">
        <f>I741 &amp; "-" &amp;VLOOKUP(I741,Střediska!$A$1:$B$40,2,FALSE)</f>
        <v>2031-Dorostenky</v>
      </c>
      <c r="M741" s="35" t="str">
        <f>VLOOKUP(Zdroj!$I741,Střediska!$A$1:$B$41,2,FALSE)</f>
        <v>Dorostenky</v>
      </c>
    </row>
    <row r="742" spans="1:13" hidden="1" x14ac:dyDescent="0.2">
      <c r="A742" s="36" t="s">
        <v>1528</v>
      </c>
      <c r="B742" s="31" t="s">
        <v>1527</v>
      </c>
      <c r="C742" s="31" t="s">
        <v>64</v>
      </c>
      <c r="D742" s="31"/>
      <c r="E742" s="31" t="s">
        <v>1529</v>
      </c>
      <c r="F742" s="31">
        <v>0</v>
      </c>
      <c r="G742" s="31">
        <v>4600</v>
      </c>
      <c r="H742" s="31">
        <f t="shared" si="22"/>
        <v>4600</v>
      </c>
      <c r="I742" s="31">
        <v>2031</v>
      </c>
      <c r="J742" s="31">
        <f t="shared" si="23"/>
        <v>2</v>
      </c>
      <c r="K742" s="31" t="s">
        <v>90</v>
      </c>
      <c r="L742" s="31" t="str">
        <f>I742 &amp; "-" &amp;VLOOKUP(I742,Střediska!$A$1:$B$40,2,FALSE)</f>
        <v>2031-Dorostenky</v>
      </c>
      <c r="M742" s="32" t="str">
        <f>VLOOKUP(Zdroj!$I742,Střediska!$A$1:$B$41,2,FALSE)</f>
        <v>Dorostenky</v>
      </c>
    </row>
    <row r="743" spans="1:13" hidden="1" x14ac:dyDescent="0.2">
      <c r="A743" s="33" t="s">
        <v>1531</v>
      </c>
      <c r="B743" s="34" t="s">
        <v>1530</v>
      </c>
      <c r="C743" s="34" t="s">
        <v>64</v>
      </c>
      <c r="D743" s="34"/>
      <c r="E743" s="34" t="s">
        <v>1532</v>
      </c>
      <c r="F743" s="34">
        <v>0</v>
      </c>
      <c r="G743" s="34">
        <v>4600</v>
      </c>
      <c r="H743" s="34">
        <f t="shared" si="22"/>
        <v>4600</v>
      </c>
      <c r="I743" s="34">
        <v>2031</v>
      </c>
      <c r="J743" s="34">
        <f t="shared" si="23"/>
        <v>2</v>
      </c>
      <c r="K743" s="34" t="s">
        <v>90</v>
      </c>
      <c r="L743" s="34" t="str">
        <f>I743 &amp; "-" &amp;VLOOKUP(I743,Střediska!$A$1:$B$40,2,FALSE)</f>
        <v>2031-Dorostenky</v>
      </c>
      <c r="M743" s="35" t="str">
        <f>VLOOKUP(Zdroj!$I743,Střediska!$A$1:$B$41,2,FALSE)</f>
        <v>Dorostenky</v>
      </c>
    </row>
    <row r="744" spans="1:13" hidden="1" x14ac:dyDescent="0.2">
      <c r="A744" s="36" t="s">
        <v>1534</v>
      </c>
      <c r="B744" s="31" t="s">
        <v>1533</v>
      </c>
      <c r="C744" s="31" t="s">
        <v>64</v>
      </c>
      <c r="D744" s="31"/>
      <c r="E744" s="31" t="s">
        <v>1535</v>
      </c>
      <c r="F744" s="31">
        <v>0</v>
      </c>
      <c r="G744" s="31">
        <v>2300</v>
      </c>
      <c r="H744" s="31">
        <f t="shared" si="22"/>
        <v>2300</v>
      </c>
      <c r="I744" s="31">
        <v>2031</v>
      </c>
      <c r="J744" s="31">
        <f t="shared" si="23"/>
        <v>2</v>
      </c>
      <c r="K744" s="31" t="s">
        <v>90</v>
      </c>
      <c r="L744" s="31" t="str">
        <f>I744 &amp; "-" &amp;VLOOKUP(I744,Střediska!$A$1:$B$40,2,FALSE)</f>
        <v>2031-Dorostenky</v>
      </c>
      <c r="M744" s="32" t="str">
        <f>VLOOKUP(Zdroj!$I744,Střediska!$A$1:$B$41,2,FALSE)</f>
        <v>Dorostenky</v>
      </c>
    </row>
    <row r="745" spans="1:13" hidden="1" x14ac:dyDescent="0.2">
      <c r="A745" s="33" t="s">
        <v>256</v>
      </c>
      <c r="B745" s="34" t="s">
        <v>1536</v>
      </c>
      <c r="C745" s="34" t="s">
        <v>64</v>
      </c>
      <c r="D745" s="34"/>
      <c r="E745" s="34" t="s">
        <v>1537</v>
      </c>
      <c r="F745" s="34">
        <v>0</v>
      </c>
      <c r="G745" s="34">
        <v>2650</v>
      </c>
      <c r="H745" s="34">
        <f t="shared" si="22"/>
        <v>2650</v>
      </c>
      <c r="I745" s="34">
        <v>2031</v>
      </c>
      <c r="J745" s="34">
        <f t="shared" si="23"/>
        <v>2</v>
      </c>
      <c r="K745" s="34" t="s">
        <v>90</v>
      </c>
      <c r="L745" s="34" t="str">
        <f>I745 &amp; "-" &amp;VLOOKUP(I745,Střediska!$A$1:$B$40,2,FALSE)</f>
        <v>2031-Dorostenky</v>
      </c>
      <c r="M745" s="35" t="str">
        <f>VLOOKUP(Zdroj!$I745,Střediska!$A$1:$B$41,2,FALSE)</f>
        <v>Dorostenky</v>
      </c>
    </row>
    <row r="746" spans="1:13" hidden="1" x14ac:dyDescent="0.2">
      <c r="A746" s="36" t="s">
        <v>256</v>
      </c>
      <c r="B746" s="31" t="s">
        <v>1538</v>
      </c>
      <c r="C746" s="31" t="s">
        <v>64</v>
      </c>
      <c r="D746" s="31"/>
      <c r="E746" s="31" t="s">
        <v>1539</v>
      </c>
      <c r="F746" s="31">
        <v>0</v>
      </c>
      <c r="G746" s="31">
        <v>5300</v>
      </c>
      <c r="H746" s="31">
        <f t="shared" si="22"/>
        <v>5300</v>
      </c>
      <c r="I746" s="31">
        <v>2031</v>
      </c>
      <c r="J746" s="31">
        <f t="shared" si="23"/>
        <v>2</v>
      </c>
      <c r="K746" s="31" t="s">
        <v>90</v>
      </c>
      <c r="L746" s="31" t="str">
        <f>I746 &amp; "-" &amp;VLOOKUP(I746,Střediska!$A$1:$B$40,2,FALSE)</f>
        <v>2031-Dorostenky</v>
      </c>
      <c r="M746" s="32" t="str">
        <f>VLOOKUP(Zdroj!$I746,Střediska!$A$1:$B$41,2,FALSE)</f>
        <v>Dorostenky</v>
      </c>
    </row>
    <row r="747" spans="1:13" hidden="1" x14ac:dyDescent="0.2">
      <c r="A747" s="33" t="s">
        <v>256</v>
      </c>
      <c r="B747" s="34" t="s">
        <v>1540</v>
      </c>
      <c r="C747" s="34" t="s">
        <v>64</v>
      </c>
      <c r="D747" s="34"/>
      <c r="E747" s="34" t="s">
        <v>1541</v>
      </c>
      <c r="F747" s="34">
        <v>0</v>
      </c>
      <c r="G747" s="34">
        <v>5300</v>
      </c>
      <c r="H747" s="34">
        <f t="shared" si="22"/>
        <v>5300</v>
      </c>
      <c r="I747" s="34">
        <v>2031</v>
      </c>
      <c r="J747" s="34">
        <f t="shared" si="23"/>
        <v>2</v>
      </c>
      <c r="K747" s="34" t="s">
        <v>90</v>
      </c>
      <c r="L747" s="34" t="str">
        <f>I747 &amp; "-" &amp;VLOOKUP(I747,Střediska!$A$1:$B$40,2,FALSE)</f>
        <v>2031-Dorostenky</v>
      </c>
      <c r="M747" s="35" t="str">
        <f>VLOOKUP(Zdroj!$I747,Střediska!$A$1:$B$41,2,FALSE)</f>
        <v>Dorostenky</v>
      </c>
    </row>
    <row r="748" spans="1:13" hidden="1" x14ac:dyDescent="0.2">
      <c r="A748" s="36" t="s">
        <v>536</v>
      </c>
      <c r="B748" s="31" t="s">
        <v>1542</v>
      </c>
      <c r="C748" s="31" t="s">
        <v>64</v>
      </c>
      <c r="D748" s="31"/>
      <c r="E748" s="31" t="s">
        <v>1543</v>
      </c>
      <c r="F748" s="31">
        <v>0</v>
      </c>
      <c r="G748" s="31">
        <v>5300</v>
      </c>
      <c r="H748" s="31">
        <f t="shared" si="22"/>
        <v>5300</v>
      </c>
      <c r="I748" s="31">
        <v>2031</v>
      </c>
      <c r="J748" s="31">
        <f t="shared" si="23"/>
        <v>2</v>
      </c>
      <c r="K748" s="31" t="s">
        <v>90</v>
      </c>
      <c r="L748" s="31" t="str">
        <f>I748 &amp; "-" &amp;VLOOKUP(I748,Střediska!$A$1:$B$40,2,FALSE)</f>
        <v>2031-Dorostenky</v>
      </c>
      <c r="M748" s="32" t="str">
        <f>VLOOKUP(Zdroj!$I748,Střediska!$A$1:$B$41,2,FALSE)</f>
        <v>Dorostenky</v>
      </c>
    </row>
    <row r="749" spans="1:13" hidden="1" x14ac:dyDescent="0.2">
      <c r="A749" s="33" t="s">
        <v>544</v>
      </c>
      <c r="B749" s="34" t="s">
        <v>1544</v>
      </c>
      <c r="C749" s="34" t="s">
        <v>64</v>
      </c>
      <c r="D749" s="34"/>
      <c r="E749" s="34" t="s">
        <v>95</v>
      </c>
      <c r="F749" s="34">
        <v>0</v>
      </c>
      <c r="G749" s="34">
        <v>5300</v>
      </c>
      <c r="H749" s="34">
        <f t="shared" si="22"/>
        <v>5300</v>
      </c>
      <c r="I749" s="34">
        <v>2031</v>
      </c>
      <c r="J749" s="34">
        <f t="shared" si="23"/>
        <v>2</v>
      </c>
      <c r="K749" s="34" t="s">
        <v>90</v>
      </c>
      <c r="L749" s="34" t="str">
        <f>I749 &amp; "-" &amp;VLOOKUP(I749,Střediska!$A$1:$B$40,2,FALSE)</f>
        <v>2031-Dorostenky</v>
      </c>
      <c r="M749" s="35" t="str">
        <f>VLOOKUP(Zdroj!$I749,Střediska!$A$1:$B$41,2,FALSE)</f>
        <v>Dorostenky</v>
      </c>
    </row>
    <row r="750" spans="1:13" hidden="1" x14ac:dyDescent="0.2">
      <c r="A750" s="36" t="s">
        <v>261</v>
      </c>
      <c r="B750" s="31" t="s">
        <v>1545</v>
      </c>
      <c r="C750" s="31" t="s">
        <v>64</v>
      </c>
      <c r="D750" s="31"/>
      <c r="E750" s="31" t="s">
        <v>95</v>
      </c>
      <c r="F750" s="31">
        <v>0</v>
      </c>
      <c r="G750" s="31">
        <v>5300</v>
      </c>
      <c r="H750" s="31">
        <f t="shared" si="22"/>
        <v>5300</v>
      </c>
      <c r="I750" s="31">
        <v>2031</v>
      </c>
      <c r="J750" s="31">
        <f t="shared" si="23"/>
        <v>2</v>
      </c>
      <c r="K750" s="31" t="s">
        <v>90</v>
      </c>
      <c r="L750" s="31" t="str">
        <f>I750 &amp; "-" &amp;VLOOKUP(I750,Střediska!$A$1:$B$40,2,FALSE)</f>
        <v>2031-Dorostenky</v>
      </c>
      <c r="M750" s="32" t="str">
        <f>VLOOKUP(Zdroj!$I750,Střediska!$A$1:$B$41,2,FALSE)</f>
        <v>Dorostenky</v>
      </c>
    </row>
    <row r="751" spans="1:13" hidden="1" x14ac:dyDescent="0.2">
      <c r="A751" s="33" t="s">
        <v>705</v>
      </c>
      <c r="B751" s="34" t="s">
        <v>1546</v>
      </c>
      <c r="C751" s="34" t="s">
        <v>64</v>
      </c>
      <c r="D751" s="34"/>
      <c r="E751" s="34" t="s">
        <v>1547</v>
      </c>
      <c r="F751" s="34">
        <v>0</v>
      </c>
      <c r="G751" s="34">
        <v>5300</v>
      </c>
      <c r="H751" s="34">
        <f t="shared" si="22"/>
        <v>5300</v>
      </c>
      <c r="I751" s="34">
        <v>2031</v>
      </c>
      <c r="J751" s="34">
        <f t="shared" si="23"/>
        <v>2</v>
      </c>
      <c r="K751" s="34" t="s">
        <v>90</v>
      </c>
      <c r="L751" s="34" t="str">
        <f>I751 &amp; "-" &amp;VLOOKUP(I751,Střediska!$A$1:$B$40,2,FALSE)</f>
        <v>2031-Dorostenky</v>
      </c>
      <c r="M751" s="35" t="str">
        <f>VLOOKUP(Zdroj!$I751,Střediska!$A$1:$B$41,2,FALSE)</f>
        <v>Dorostenky</v>
      </c>
    </row>
    <row r="752" spans="1:13" hidden="1" x14ac:dyDescent="0.2">
      <c r="A752" s="36" t="s">
        <v>481</v>
      </c>
      <c r="B752" s="31" t="s">
        <v>1549</v>
      </c>
      <c r="C752" s="31" t="s">
        <v>64</v>
      </c>
      <c r="D752" s="31"/>
      <c r="E752" s="31" t="s">
        <v>1550</v>
      </c>
      <c r="F752" s="31">
        <v>0</v>
      </c>
      <c r="G752" s="31">
        <v>5300</v>
      </c>
      <c r="H752" s="31">
        <f t="shared" si="22"/>
        <v>5300</v>
      </c>
      <c r="I752" s="31">
        <v>2031</v>
      </c>
      <c r="J752" s="31">
        <f t="shared" si="23"/>
        <v>2</v>
      </c>
      <c r="K752" s="31" t="s">
        <v>90</v>
      </c>
      <c r="L752" s="31" t="str">
        <f>I752 &amp; "-" &amp;VLOOKUP(I752,Střediska!$A$1:$B$40,2,FALSE)</f>
        <v>2031-Dorostenky</v>
      </c>
      <c r="M752" s="32" t="str">
        <f>VLOOKUP(Zdroj!$I752,Střediska!$A$1:$B$41,2,FALSE)</f>
        <v>Dorostenky</v>
      </c>
    </row>
    <row r="753" spans="1:13" hidden="1" x14ac:dyDescent="0.2">
      <c r="A753" s="33" t="s">
        <v>49</v>
      </c>
      <c r="B753" s="34" t="s">
        <v>91</v>
      </c>
      <c r="C753" s="34" t="s">
        <v>19</v>
      </c>
      <c r="D753" s="34"/>
      <c r="E753" s="34" t="s">
        <v>93</v>
      </c>
      <c r="F753" s="34">
        <v>0</v>
      </c>
      <c r="G753" s="34">
        <v>8003.2699999999995</v>
      </c>
      <c r="H753" s="34">
        <f t="shared" si="22"/>
        <v>8003.2699999999995</v>
      </c>
      <c r="I753" s="34">
        <v>2031</v>
      </c>
      <c r="J753" s="34">
        <f t="shared" si="23"/>
        <v>2</v>
      </c>
      <c r="K753" s="34" t="s">
        <v>90</v>
      </c>
      <c r="L753" s="34" t="str">
        <f>I753 &amp; "-" &amp;VLOOKUP(I753,Střediska!$A$1:$B$40,2,FALSE)</f>
        <v>2031-Dorostenky</v>
      </c>
      <c r="M753" s="35" t="str">
        <f>VLOOKUP(Zdroj!$I753,Střediska!$A$1:$B$41,2,FALSE)</f>
        <v>Dorostenky</v>
      </c>
    </row>
    <row r="754" spans="1:13" hidden="1" x14ac:dyDescent="0.2">
      <c r="A754" s="36" t="s">
        <v>349</v>
      </c>
      <c r="B754" s="31" t="s">
        <v>1551</v>
      </c>
      <c r="C754" s="31" t="s">
        <v>64</v>
      </c>
      <c r="D754" s="31"/>
      <c r="E754" s="31" t="s">
        <v>1552</v>
      </c>
      <c r="F754" s="31">
        <v>0</v>
      </c>
      <c r="G754" s="31">
        <v>5300</v>
      </c>
      <c r="H754" s="31">
        <f t="shared" si="22"/>
        <v>5300</v>
      </c>
      <c r="I754" s="31">
        <v>2031</v>
      </c>
      <c r="J754" s="31">
        <f t="shared" si="23"/>
        <v>2</v>
      </c>
      <c r="K754" s="31" t="s">
        <v>90</v>
      </c>
      <c r="L754" s="31" t="str">
        <f>I754 &amp; "-" &amp;VLOOKUP(I754,Střediska!$A$1:$B$40,2,FALSE)</f>
        <v>2031-Dorostenky</v>
      </c>
      <c r="M754" s="32" t="str">
        <f>VLOOKUP(Zdroj!$I754,Střediska!$A$1:$B$41,2,FALSE)</f>
        <v>Dorostenky</v>
      </c>
    </row>
    <row r="755" spans="1:13" hidden="1" x14ac:dyDescent="0.2">
      <c r="A755" s="33" t="s">
        <v>944</v>
      </c>
      <c r="B755" s="34" t="s">
        <v>1553</v>
      </c>
      <c r="C755" s="34" t="s">
        <v>64</v>
      </c>
      <c r="D755" s="34"/>
      <c r="E755" s="34" t="s">
        <v>1537</v>
      </c>
      <c r="F755" s="34">
        <v>0</v>
      </c>
      <c r="G755" s="34">
        <v>2650</v>
      </c>
      <c r="H755" s="34">
        <f t="shared" si="22"/>
        <v>2650</v>
      </c>
      <c r="I755" s="34">
        <v>2031</v>
      </c>
      <c r="J755" s="34">
        <f t="shared" si="23"/>
        <v>2</v>
      </c>
      <c r="K755" s="34" t="s">
        <v>90</v>
      </c>
      <c r="L755" s="34" t="str">
        <f>I755 &amp; "-" &amp;VLOOKUP(I755,Střediska!$A$1:$B$40,2,FALSE)</f>
        <v>2031-Dorostenky</v>
      </c>
      <c r="M755" s="35" t="str">
        <f>VLOOKUP(Zdroj!$I755,Střediska!$A$1:$B$41,2,FALSE)</f>
        <v>Dorostenky</v>
      </c>
    </row>
    <row r="756" spans="1:13" hidden="1" x14ac:dyDescent="0.2">
      <c r="A756" s="36" t="s">
        <v>736</v>
      </c>
      <c r="B756" s="31" t="s">
        <v>1554</v>
      </c>
      <c r="C756" s="31" t="s">
        <v>64</v>
      </c>
      <c r="D756" s="31"/>
      <c r="E756" s="31" t="s">
        <v>1555</v>
      </c>
      <c r="F756" s="31">
        <v>0</v>
      </c>
      <c r="G756" s="31">
        <v>5300</v>
      </c>
      <c r="H756" s="31">
        <f t="shared" si="22"/>
        <v>5300</v>
      </c>
      <c r="I756" s="31">
        <v>2031</v>
      </c>
      <c r="J756" s="31">
        <f t="shared" si="23"/>
        <v>2</v>
      </c>
      <c r="K756" s="31" t="s">
        <v>90</v>
      </c>
      <c r="L756" s="31" t="str">
        <f>I756 &amp; "-" &amp;VLOOKUP(I756,Střediska!$A$1:$B$40,2,FALSE)</f>
        <v>2031-Dorostenky</v>
      </c>
      <c r="M756" s="32" t="str">
        <f>VLOOKUP(Zdroj!$I756,Střediska!$A$1:$B$41,2,FALSE)</f>
        <v>Dorostenky</v>
      </c>
    </row>
    <row r="757" spans="1:13" hidden="1" x14ac:dyDescent="0.2">
      <c r="A757" s="33" t="s">
        <v>948</v>
      </c>
      <c r="B757" s="34" t="s">
        <v>1556</v>
      </c>
      <c r="C757" s="34" t="s">
        <v>64</v>
      </c>
      <c r="D757" s="34"/>
      <c r="E757" s="34" t="s">
        <v>1557</v>
      </c>
      <c r="F757" s="34">
        <v>0</v>
      </c>
      <c r="G757" s="34">
        <v>5300</v>
      </c>
      <c r="H757" s="34">
        <f t="shared" si="22"/>
        <v>5300</v>
      </c>
      <c r="I757" s="34">
        <v>2031</v>
      </c>
      <c r="J757" s="34">
        <f t="shared" si="23"/>
        <v>2</v>
      </c>
      <c r="K757" s="34" t="s">
        <v>90</v>
      </c>
      <c r="L757" s="34" t="str">
        <f>I757 &amp; "-" &amp;VLOOKUP(I757,Střediska!$A$1:$B$40,2,FALSE)</f>
        <v>2031-Dorostenky</v>
      </c>
      <c r="M757" s="35" t="str">
        <f>VLOOKUP(Zdroj!$I757,Střediska!$A$1:$B$41,2,FALSE)</f>
        <v>Dorostenky</v>
      </c>
    </row>
    <row r="758" spans="1:13" hidden="1" x14ac:dyDescent="0.2">
      <c r="A758" s="36" t="s">
        <v>565</v>
      </c>
      <c r="B758" s="31" t="s">
        <v>1558</v>
      </c>
      <c r="C758" s="31" t="s">
        <v>64</v>
      </c>
      <c r="D758" s="31"/>
      <c r="E758" s="31" t="s">
        <v>1559</v>
      </c>
      <c r="F758" s="31">
        <v>0</v>
      </c>
      <c r="G758" s="31">
        <v>5300</v>
      </c>
      <c r="H758" s="31">
        <f t="shared" si="22"/>
        <v>5300</v>
      </c>
      <c r="I758" s="31">
        <v>2031</v>
      </c>
      <c r="J758" s="31">
        <f t="shared" si="23"/>
        <v>2</v>
      </c>
      <c r="K758" s="31" t="s">
        <v>90</v>
      </c>
      <c r="L758" s="31" t="str">
        <f>I758 &amp; "-" &amp;VLOOKUP(I758,Střediska!$A$1:$B$40,2,FALSE)</f>
        <v>2031-Dorostenky</v>
      </c>
      <c r="M758" s="32" t="str">
        <f>VLOOKUP(Zdroj!$I758,Střediska!$A$1:$B$41,2,FALSE)</f>
        <v>Dorostenky</v>
      </c>
    </row>
    <row r="759" spans="1:13" hidden="1" x14ac:dyDescent="0.2">
      <c r="A759" s="33" t="s">
        <v>20</v>
      </c>
      <c r="B759" s="34" t="s">
        <v>338</v>
      </c>
      <c r="C759" s="34" t="s">
        <v>19</v>
      </c>
      <c r="D759" s="34"/>
      <c r="E759" s="34" t="s">
        <v>339</v>
      </c>
      <c r="F759" s="34">
        <v>0</v>
      </c>
      <c r="G759" s="34">
        <v>-12886.27</v>
      </c>
      <c r="H759" s="34">
        <f t="shared" si="22"/>
        <v>-12886.27</v>
      </c>
      <c r="I759" s="34">
        <v>2031</v>
      </c>
      <c r="J759" s="34">
        <f t="shared" si="23"/>
        <v>2</v>
      </c>
      <c r="K759" s="34" t="s">
        <v>90</v>
      </c>
      <c r="L759" s="34" t="str">
        <f>I759 &amp; "-" &amp;VLOOKUP(I759,Střediska!$A$1:$B$40,2,FALSE)</f>
        <v>2031-Dorostenky</v>
      </c>
      <c r="M759" s="35" t="str">
        <f>VLOOKUP(Zdroj!$I759,Střediska!$A$1:$B$41,2,FALSE)</f>
        <v>Dorostenky</v>
      </c>
    </row>
    <row r="760" spans="1:13" hidden="1" x14ac:dyDescent="0.2">
      <c r="A760" s="36" t="s">
        <v>37</v>
      </c>
      <c r="B760" s="31" t="s">
        <v>1564</v>
      </c>
      <c r="C760" s="31" t="s">
        <v>19</v>
      </c>
      <c r="D760" s="31"/>
      <c r="E760" s="31" t="s">
        <v>1565</v>
      </c>
      <c r="F760" s="31">
        <v>34661</v>
      </c>
      <c r="G760" s="31">
        <v>0</v>
      </c>
      <c r="H760" s="31">
        <f t="shared" si="22"/>
        <v>-34661</v>
      </c>
      <c r="I760" s="31">
        <v>2041</v>
      </c>
      <c r="J760" s="31">
        <f t="shared" si="23"/>
        <v>2</v>
      </c>
      <c r="K760" s="31" t="s">
        <v>1563</v>
      </c>
      <c r="L760" s="31" t="str">
        <f>I760 &amp; "-" &amp;VLOOKUP(I760,Střediska!$A$1:$B$40,2,FALSE)</f>
        <v>2041-Starší žákyně</v>
      </c>
      <c r="M760" s="32" t="str">
        <f>VLOOKUP(Zdroj!$I760,Střediska!$A$1:$B$41,2,FALSE)</f>
        <v>Starší žákyně</v>
      </c>
    </row>
    <row r="761" spans="1:13" hidden="1" x14ac:dyDescent="0.2">
      <c r="A761" s="33" t="s">
        <v>20</v>
      </c>
      <c r="B761" s="34" t="s">
        <v>18</v>
      </c>
      <c r="C761" s="34" t="s">
        <v>19</v>
      </c>
      <c r="D761" s="34"/>
      <c r="E761" s="34" t="s">
        <v>21</v>
      </c>
      <c r="F761" s="34">
        <v>66876.429999999993</v>
      </c>
      <c r="G761" s="34">
        <v>0</v>
      </c>
      <c r="H761" s="34">
        <f t="shared" si="22"/>
        <v>-66876.429999999993</v>
      </c>
      <c r="I761" s="34">
        <v>2041</v>
      </c>
      <c r="J761" s="34">
        <f t="shared" si="23"/>
        <v>2</v>
      </c>
      <c r="K761" s="34" t="s">
        <v>17</v>
      </c>
      <c r="L761" s="34" t="str">
        <f>I761 &amp; "-" &amp;VLOOKUP(I761,Střediska!$A$1:$B$40,2,FALSE)</f>
        <v>2041-Starší žákyně</v>
      </c>
      <c r="M761" s="35" t="str">
        <f>VLOOKUP(Zdroj!$I761,Střediska!$A$1:$B$41,2,FALSE)</f>
        <v>Starší žákyně</v>
      </c>
    </row>
    <row r="762" spans="1:13" hidden="1" x14ac:dyDescent="0.2">
      <c r="A762" s="36" t="s">
        <v>391</v>
      </c>
      <c r="B762" s="31" t="s">
        <v>1566</v>
      </c>
      <c r="C762" s="31" t="s">
        <v>19</v>
      </c>
      <c r="D762" s="31"/>
      <c r="E762" s="31" t="s">
        <v>1567</v>
      </c>
      <c r="F762" s="31">
        <v>2025</v>
      </c>
      <c r="G762" s="31">
        <v>0</v>
      </c>
      <c r="H762" s="31">
        <f t="shared" si="22"/>
        <v>-2025</v>
      </c>
      <c r="I762" s="31">
        <v>2041</v>
      </c>
      <c r="J762" s="31">
        <f t="shared" si="23"/>
        <v>2</v>
      </c>
      <c r="K762" s="31" t="s">
        <v>179</v>
      </c>
      <c r="L762" s="31" t="str">
        <f>I762 &amp; "-" &amp;VLOOKUP(I762,Střediska!$A$1:$B$40,2,FALSE)</f>
        <v>2041-Starší žákyně</v>
      </c>
      <c r="M762" s="32" t="str">
        <f>VLOOKUP(Zdroj!$I762,Střediska!$A$1:$B$41,2,FALSE)</f>
        <v>Starší žákyně</v>
      </c>
    </row>
    <row r="763" spans="1:13" hidden="1" x14ac:dyDescent="0.2">
      <c r="A763" s="33" t="s">
        <v>1569</v>
      </c>
      <c r="B763" s="34" t="s">
        <v>1568</v>
      </c>
      <c r="C763" s="34" t="s">
        <v>19</v>
      </c>
      <c r="D763" s="34"/>
      <c r="E763" s="34" t="s">
        <v>1567</v>
      </c>
      <c r="F763" s="34">
        <v>3600</v>
      </c>
      <c r="G763" s="34">
        <v>0</v>
      </c>
      <c r="H763" s="34">
        <f t="shared" si="22"/>
        <v>-3600</v>
      </c>
      <c r="I763" s="34">
        <v>2041</v>
      </c>
      <c r="J763" s="34">
        <f t="shared" si="23"/>
        <v>2</v>
      </c>
      <c r="K763" s="34" t="s">
        <v>179</v>
      </c>
      <c r="L763" s="34" t="str">
        <f>I763 &amp; "-" &amp;VLOOKUP(I763,Střediska!$A$1:$B$40,2,FALSE)</f>
        <v>2041-Starší žákyně</v>
      </c>
      <c r="M763" s="35" t="str">
        <f>VLOOKUP(Zdroj!$I763,Střediska!$A$1:$B$41,2,FALSE)</f>
        <v>Starší žákyně</v>
      </c>
    </row>
    <row r="764" spans="1:13" hidden="1" x14ac:dyDescent="0.2">
      <c r="A764" s="36" t="s">
        <v>742</v>
      </c>
      <c r="B764" s="31" t="s">
        <v>1570</v>
      </c>
      <c r="C764" s="31" t="s">
        <v>19</v>
      </c>
      <c r="D764" s="31"/>
      <c r="E764" s="31" t="s">
        <v>1567</v>
      </c>
      <c r="F764" s="31">
        <v>3180</v>
      </c>
      <c r="G764" s="31">
        <v>0</v>
      </c>
      <c r="H764" s="31">
        <f t="shared" si="22"/>
        <v>-3180</v>
      </c>
      <c r="I764" s="31">
        <v>2041</v>
      </c>
      <c r="J764" s="31">
        <f t="shared" si="23"/>
        <v>2</v>
      </c>
      <c r="K764" s="31" t="s">
        <v>179</v>
      </c>
      <c r="L764" s="31" t="str">
        <f>I764 &amp; "-" &amp;VLOOKUP(I764,Střediska!$A$1:$B$40,2,FALSE)</f>
        <v>2041-Starší žákyně</v>
      </c>
      <c r="M764" s="32" t="str">
        <f>VLOOKUP(Zdroj!$I764,Střediska!$A$1:$B$41,2,FALSE)</f>
        <v>Starší žákyně</v>
      </c>
    </row>
    <row r="765" spans="1:13" hidden="1" x14ac:dyDescent="0.2">
      <c r="A765" s="33" t="s">
        <v>20</v>
      </c>
      <c r="B765" s="34" t="s">
        <v>59</v>
      </c>
      <c r="C765" s="34" t="s">
        <v>19</v>
      </c>
      <c r="D765" s="34"/>
      <c r="E765" s="34" t="s">
        <v>60</v>
      </c>
      <c r="F765" s="34">
        <v>21550</v>
      </c>
      <c r="G765" s="34">
        <v>0</v>
      </c>
      <c r="H765" s="34">
        <f t="shared" si="22"/>
        <v>-21550</v>
      </c>
      <c r="I765" s="34">
        <v>2041</v>
      </c>
      <c r="J765" s="34">
        <f t="shared" si="23"/>
        <v>2</v>
      </c>
      <c r="K765" s="34" t="s">
        <v>23</v>
      </c>
      <c r="L765" s="34" t="str">
        <f>I765 &amp; "-" &amp;VLOOKUP(I765,Střediska!$A$1:$B$40,2,FALSE)</f>
        <v>2041-Starší žákyně</v>
      </c>
      <c r="M765" s="35" t="str">
        <f>VLOOKUP(Zdroj!$I765,Střediska!$A$1:$B$41,2,FALSE)</f>
        <v>Starší žákyně</v>
      </c>
    </row>
    <row r="766" spans="1:13" hidden="1" x14ac:dyDescent="0.2">
      <c r="A766" s="36" t="s">
        <v>623</v>
      </c>
      <c r="B766" s="31" t="s">
        <v>1571</v>
      </c>
      <c r="C766" s="31" t="s">
        <v>64</v>
      </c>
      <c r="D766" s="31"/>
      <c r="E766" s="31" t="s">
        <v>1572</v>
      </c>
      <c r="F766" s="31">
        <v>0</v>
      </c>
      <c r="G766" s="31">
        <v>4600</v>
      </c>
      <c r="H766" s="31">
        <f t="shared" si="22"/>
        <v>4600</v>
      </c>
      <c r="I766" s="31">
        <v>2041</v>
      </c>
      <c r="J766" s="31">
        <f t="shared" si="23"/>
        <v>2</v>
      </c>
      <c r="K766" s="31" t="s">
        <v>90</v>
      </c>
      <c r="L766" s="31" t="str">
        <f>I766 &amp; "-" &amp;VLOOKUP(I766,Střediska!$A$1:$B$40,2,FALSE)</f>
        <v>2041-Starší žákyně</v>
      </c>
      <c r="M766" s="32" t="str">
        <f>VLOOKUP(Zdroj!$I766,Střediska!$A$1:$B$41,2,FALSE)</f>
        <v>Starší žákyně</v>
      </c>
    </row>
    <row r="767" spans="1:13" hidden="1" x14ac:dyDescent="0.2">
      <c r="A767" s="33" t="s">
        <v>399</v>
      </c>
      <c r="B767" s="34" t="s">
        <v>1573</v>
      </c>
      <c r="C767" s="34" t="s">
        <v>64</v>
      </c>
      <c r="D767" s="34"/>
      <c r="E767" s="34" t="s">
        <v>1574</v>
      </c>
      <c r="F767" s="34">
        <v>0</v>
      </c>
      <c r="G767" s="34">
        <v>4600</v>
      </c>
      <c r="H767" s="34">
        <f t="shared" si="22"/>
        <v>4600</v>
      </c>
      <c r="I767" s="34">
        <v>2041</v>
      </c>
      <c r="J767" s="34">
        <f t="shared" si="23"/>
        <v>2</v>
      </c>
      <c r="K767" s="34" t="s">
        <v>90</v>
      </c>
      <c r="L767" s="34" t="str">
        <f>I767 &amp; "-" &amp;VLOOKUP(I767,Střediska!$A$1:$B$40,2,FALSE)</f>
        <v>2041-Starší žákyně</v>
      </c>
      <c r="M767" s="35" t="str">
        <f>VLOOKUP(Zdroj!$I767,Střediska!$A$1:$B$41,2,FALSE)</f>
        <v>Starší žákyně</v>
      </c>
    </row>
    <row r="768" spans="1:13" hidden="1" x14ac:dyDescent="0.2">
      <c r="A768" s="36" t="s">
        <v>399</v>
      </c>
      <c r="B768" s="31" t="s">
        <v>1575</v>
      </c>
      <c r="C768" s="31" t="s">
        <v>64</v>
      </c>
      <c r="D768" s="31"/>
      <c r="E768" s="31" t="s">
        <v>1576</v>
      </c>
      <c r="F768" s="31">
        <v>0</v>
      </c>
      <c r="G768" s="31">
        <v>4600</v>
      </c>
      <c r="H768" s="31">
        <f t="shared" si="22"/>
        <v>4600</v>
      </c>
      <c r="I768" s="31">
        <v>2041</v>
      </c>
      <c r="J768" s="31">
        <f t="shared" si="23"/>
        <v>2</v>
      </c>
      <c r="K768" s="31" t="s">
        <v>90</v>
      </c>
      <c r="L768" s="31" t="str">
        <f>I768 &amp; "-" &amp;VLOOKUP(I768,Střediska!$A$1:$B$40,2,FALSE)</f>
        <v>2041-Starší žákyně</v>
      </c>
      <c r="M768" s="32" t="str">
        <f>VLOOKUP(Zdroj!$I768,Střediska!$A$1:$B$41,2,FALSE)</f>
        <v>Starší žákyně</v>
      </c>
    </row>
    <row r="769" spans="1:13" hidden="1" x14ac:dyDescent="0.2">
      <c r="A769" s="33" t="s">
        <v>635</v>
      </c>
      <c r="B769" s="34" t="s">
        <v>1577</v>
      </c>
      <c r="C769" s="34" t="s">
        <v>64</v>
      </c>
      <c r="D769" s="34"/>
      <c r="E769" s="34" t="s">
        <v>1578</v>
      </c>
      <c r="F769" s="34">
        <v>0</v>
      </c>
      <c r="G769" s="34">
        <v>4600</v>
      </c>
      <c r="H769" s="34">
        <f t="shared" si="22"/>
        <v>4600</v>
      </c>
      <c r="I769" s="34">
        <v>2041</v>
      </c>
      <c r="J769" s="34">
        <f t="shared" si="23"/>
        <v>2</v>
      </c>
      <c r="K769" s="34" t="s">
        <v>90</v>
      </c>
      <c r="L769" s="34" t="str">
        <f>I769 &amp; "-" &amp;VLOOKUP(I769,Střediska!$A$1:$B$40,2,FALSE)</f>
        <v>2041-Starší žákyně</v>
      </c>
      <c r="M769" s="35" t="str">
        <f>VLOOKUP(Zdroj!$I769,Střediska!$A$1:$B$41,2,FALSE)</f>
        <v>Starší žákyně</v>
      </c>
    </row>
    <row r="770" spans="1:13" hidden="1" x14ac:dyDescent="0.2">
      <c r="A770" s="36" t="s">
        <v>391</v>
      </c>
      <c r="B770" s="31" t="s">
        <v>1579</v>
      </c>
      <c r="C770" s="31" t="s">
        <v>64</v>
      </c>
      <c r="D770" s="31"/>
      <c r="E770" s="31" t="s">
        <v>1580</v>
      </c>
      <c r="F770" s="31">
        <v>0</v>
      </c>
      <c r="G770" s="31">
        <v>4600</v>
      </c>
      <c r="H770" s="31">
        <f t="shared" ref="H770:H833" si="24">-F770+G770</f>
        <v>4600</v>
      </c>
      <c r="I770" s="31">
        <v>2041</v>
      </c>
      <c r="J770" s="31">
        <f t="shared" ref="J770:J833" si="25">VALUE(LEFT(I770,1))</f>
        <v>2</v>
      </c>
      <c r="K770" s="31" t="s">
        <v>90</v>
      </c>
      <c r="L770" s="31" t="str">
        <f>I770 &amp; "-" &amp;VLOOKUP(I770,Střediska!$A$1:$B$40,2,FALSE)</f>
        <v>2041-Starší žákyně</v>
      </c>
      <c r="M770" s="32" t="str">
        <f>VLOOKUP(Zdroj!$I770,Střediska!$A$1:$B$41,2,FALSE)</f>
        <v>Starší žákyně</v>
      </c>
    </row>
    <row r="771" spans="1:13" hidden="1" x14ac:dyDescent="0.2">
      <c r="A771" s="33" t="s">
        <v>391</v>
      </c>
      <c r="B771" s="34" t="s">
        <v>1581</v>
      </c>
      <c r="C771" s="34" t="s">
        <v>64</v>
      </c>
      <c r="D771" s="34"/>
      <c r="E771" s="34" t="s">
        <v>1582</v>
      </c>
      <c r="F771" s="34">
        <v>0</v>
      </c>
      <c r="G771" s="34">
        <v>4600</v>
      </c>
      <c r="H771" s="34">
        <f t="shared" si="24"/>
        <v>4600</v>
      </c>
      <c r="I771" s="34">
        <v>2041</v>
      </c>
      <c r="J771" s="34">
        <f t="shared" si="25"/>
        <v>2</v>
      </c>
      <c r="K771" s="34" t="s">
        <v>90</v>
      </c>
      <c r="L771" s="34" t="str">
        <f>I771 &amp; "-" &amp;VLOOKUP(I771,Střediska!$A$1:$B$40,2,FALSE)</f>
        <v>2041-Starší žákyně</v>
      </c>
      <c r="M771" s="35" t="str">
        <f>VLOOKUP(Zdroj!$I771,Střediska!$A$1:$B$41,2,FALSE)</f>
        <v>Starší žákyně</v>
      </c>
    </row>
    <row r="772" spans="1:13" hidden="1" x14ac:dyDescent="0.2">
      <c r="A772" s="36" t="s">
        <v>651</v>
      </c>
      <c r="B772" s="31" t="s">
        <v>1583</v>
      </c>
      <c r="C772" s="31" t="s">
        <v>64</v>
      </c>
      <c r="D772" s="31"/>
      <c r="E772" s="31" t="s">
        <v>1584</v>
      </c>
      <c r="F772" s="31">
        <v>0</v>
      </c>
      <c r="G772" s="31">
        <v>-2400</v>
      </c>
      <c r="H772" s="31">
        <f t="shared" si="24"/>
        <v>-2400</v>
      </c>
      <c r="I772" s="31">
        <v>2041</v>
      </c>
      <c r="J772" s="31">
        <f t="shared" si="25"/>
        <v>2</v>
      </c>
      <c r="K772" s="31" t="s">
        <v>90</v>
      </c>
      <c r="L772" s="31" t="str">
        <f>I772 &amp; "-" &amp;VLOOKUP(I772,Střediska!$A$1:$B$40,2,FALSE)</f>
        <v>2041-Starší žákyně</v>
      </c>
      <c r="M772" s="32" t="str">
        <f>VLOOKUP(Zdroj!$I772,Střediska!$A$1:$B$41,2,FALSE)</f>
        <v>Starší žákyně</v>
      </c>
    </row>
    <row r="773" spans="1:13" hidden="1" x14ac:dyDescent="0.2">
      <c r="A773" s="33" t="s">
        <v>404</v>
      </c>
      <c r="B773" s="34" t="s">
        <v>1585</v>
      </c>
      <c r="C773" s="34" t="s">
        <v>64</v>
      </c>
      <c r="D773" s="34"/>
      <c r="E773" s="34" t="s">
        <v>1586</v>
      </c>
      <c r="F773" s="34">
        <v>0</v>
      </c>
      <c r="G773" s="34">
        <v>4600</v>
      </c>
      <c r="H773" s="34">
        <f t="shared" si="24"/>
        <v>4600</v>
      </c>
      <c r="I773" s="34">
        <v>2041</v>
      </c>
      <c r="J773" s="34">
        <f t="shared" si="25"/>
        <v>2</v>
      </c>
      <c r="K773" s="34" t="s">
        <v>90</v>
      </c>
      <c r="L773" s="34" t="str">
        <f>I773 &amp; "-" &amp;VLOOKUP(I773,Střediska!$A$1:$B$40,2,FALSE)</f>
        <v>2041-Starší žákyně</v>
      </c>
      <c r="M773" s="35" t="str">
        <f>VLOOKUP(Zdroj!$I773,Střediska!$A$1:$B$41,2,FALSE)</f>
        <v>Starší žákyně</v>
      </c>
    </row>
    <row r="774" spans="1:13" hidden="1" x14ac:dyDescent="0.2">
      <c r="A774" s="36" t="s">
        <v>836</v>
      </c>
      <c r="B774" s="31" t="s">
        <v>1587</v>
      </c>
      <c r="C774" s="31" t="s">
        <v>87</v>
      </c>
      <c r="D774" s="31" t="s">
        <v>1588</v>
      </c>
      <c r="E774" s="31" t="s">
        <v>1589</v>
      </c>
      <c r="F774" s="31">
        <v>0</v>
      </c>
      <c r="G774" s="31">
        <v>4600</v>
      </c>
      <c r="H774" s="31">
        <f t="shared" si="24"/>
        <v>4600</v>
      </c>
      <c r="I774" s="31">
        <v>2041</v>
      </c>
      <c r="J774" s="31">
        <f t="shared" si="25"/>
        <v>2</v>
      </c>
      <c r="K774" s="31" t="s">
        <v>90</v>
      </c>
      <c r="L774" s="31" t="str">
        <f>I774 &amp; "-" &amp;VLOOKUP(I774,Střediska!$A$1:$B$40,2,FALSE)</f>
        <v>2041-Starší žákyně</v>
      </c>
      <c r="M774" s="32" t="str">
        <f>VLOOKUP(Zdroj!$I774,Střediska!$A$1:$B$41,2,FALSE)</f>
        <v>Starší žákyně</v>
      </c>
    </row>
    <row r="775" spans="1:13" hidden="1" x14ac:dyDescent="0.2">
      <c r="A775" s="33" t="s">
        <v>407</v>
      </c>
      <c r="B775" s="34" t="s">
        <v>1590</v>
      </c>
      <c r="C775" s="34" t="s">
        <v>64</v>
      </c>
      <c r="D775" s="34"/>
      <c r="E775" s="34" t="s">
        <v>1591</v>
      </c>
      <c r="F775" s="34">
        <v>0</v>
      </c>
      <c r="G775" s="34">
        <v>4600</v>
      </c>
      <c r="H775" s="34">
        <f t="shared" si="24"/>
        <v>4600</v>
      </c>
      <c r="I775" s="34">
        <v>2041</v>
      </c>
      <c r="J775" s="34">
        <f t="shared" si="25"/>
        <v>2</v>
      </c>
      <c r="K775" s="34" t="s">
        <v>90</v>
      </c>
      <c r="L775" s="34" t="str">
        <f>I775 &amp; "-" &amp;VLOOKUP(I775,Střediska!$A$1:$B$40,2,FALSE)</f>
        <v>2041-Starší žákyně</v>
      </c>
      <c r="M775" s="35" t="str">
        <f>VLOOKUP(Zdroj!$I775,Střediska!$A$1:$B$41,2,FALSE)</f>
        <v>Starší žákyně</v>
      </c>
    </row>
    <row r="776" spans="1:13" hidden="1" x14ac:dyDescent="0.2">
      <c r="A776" s="36" t="s">
        <v>407</v>
      </c>
      <c r="B776" s="31" t="s">
        <v>1592</v>
      </c>
      <c r="C776" s="31" t="s">
        <v>64</v>
      </c>
      <c r="D776" s="31"/>
      <c r="E776" s="31" t="s">
        <v>1593</v>
      </c>
      <c r="F776" s="31">
        <v>0</v>
      </c>
      <c r="G776" s="31">
        <v>2300</v>
      </c>
      <c r="H776" s="31">
        <f t="shared" si="24"/>
        <v>2300</v>
      </c>
      <c r="I776" s="31">
        <v>2041</v>
      </c>
      <c r="J776" s="31">
        <f t="shared" si="25"/>
        <v>2</v>
      </c>
      <c r="K776" s="31" t="s">
        <v>90</v>
      </c>
      <c r="L776" s="31" t="str">
        <f>I776 &amp; "-" &amp;VLOOKUP(I776,Střediska!$A$1:$B$40,2,FALSE)</f>
        <v>2041-Starší žákyně</v>
      </c>
      <c r="M776" s="32" t="str">
        <f>VLOOKUP(Zdroj!$I776,Střediska!$A$1:$B$41,2,FALSE)</f>
        <v>Starší žákyně</v>
      </c>
    </row>
    <row r="777" spans="1:13" hidden="1" x14ac:dyDescent="0.2">
      <c r="A777" s="33" t="s">
        <v>407</v>
      </c>
      <c r="B777" s="34" t="s">
        <v>1594</v>
      </c>
      <c r="C777" s="34" t="s">
        <v>64</v>
      </c>
      <c r="D777" s="34"/>
      <c r="E777" s="34" t="s">
        <v>1595</v>
      </c>
      <c r="F777" s="34">
        <v>0</v>
      </c>
      <c r="G777" s="34">
        <v>4600</v>
      </c>
      <c r="H777" s="34">
        <f t="shared" si="24"/>
        <v>4600</v>
      </c>
      <c r="I777" s="34">
        <v>2041</v>
      </c>
      <c r="J777" s="34">
        <f t="shared" si="25"/>
        <v>2</v>
      </c>
      <c r="K777" s="34" t="s">
        <v>90</v>
      </c>
      <c r="L777" s="34" t="str">
        <f>I777 &amp; "-" &amp;VLOOKUP(I777,Střediska!$A$1:$B$40,2,FALSE)</f>
        <v>2041-Starší žákyně</v>
      </c>
      <c r="M777" s="35" t="str">
        <f>VLOOKUP(Zdroj!$I777,Střediska!$A$1:$B$41,2,FALSE)</f>
        <v>Starší žákyně</v>
      </c>
    </row>
    <row r="778" spans="1:13" hidden="1" x14ac:dyDescent="0.2">
      <c r="A778" s="36" t="s">
        <v>407</v>
      </c>
      <c r="B778" s="31" t="s">
        <v>1596</v>
      </c>
      <c r="C778" s="31" t="s">
        <v>64</v>
      </c>
      <c r="D778" s="31"/>
      <c r="E778" s="31" t="s">
        <v>1597</v>
      </c>
      <c r="F778" s="31">
        <v>0</v>
      </c>
      <c r="G778" s="31">
        <v>4600</v>
      </c>
      <c r="H778" s="31">
        <f t="shared" si="24"/>
        <v>4600</v>
      </c>
      <c r="I778" s="31">
        <v>2041</v>
      </c>
      <c r="J778" s="31">
        <f t="shared" si="25"/>
        <v>2</v>
      </c>
      <c r="K778" s="31" t="s">
        <v>90</v>
      </c>
      <c r="L778" s="31" t="str">
        <f>I778 &amp; "-" &amp;VLOOKUP(I778,Střediska!$A$1:$B$40,2,FALSE)</f>
        <v>2041-Starší žákyně</v>
      </c>
      <c r="M778" s="32" t="str">
        <f>VLOOKUP(Zdroj!$I778,Střediska!$A$1:$B$41,2,FALSE)</f>
        <v>Starší žákyně</v>
      </c>
    </row>
    <row r="779" spans="1:13" hidden="1" x14ac:dyDescent="0.2">
      <c r="A779" s="33" t="s">
        <v>25</v>
      </c>
      <c r="B779" s="34" t="s">
        <v>1598</v>
      </c>
      <c r="C779" s="34" t="s">
        <v>64</v>
      </c>
      <c r="D779" s="34"/>
      <c r="E779" s="34" t="s">
        <v>95</v>
      </c>
      <c r="F779" s="34">
        <v>0</v>
      </c>
      <c r="G779" s="34">
        <v>4600</v>
      </c>
      <c r="H779" s="34">
        <f t="shared" si="24"/>
        <v>4600</v>
      </c>
      <c r="I779" s="34">
        <v>2041</v>
      </c>
      <c r="J779" s="34">
        <f t="shared" si="25"/>
        <v>2</v>
      </c>
      <c r="K779" s="34" t="s">
        <v>90</v>
      </c>
      <c r="L779" s="34" t="str">
        <f>I779 &amp; "-" &amp;VLOOKUP(I779,Střediska!$A$1:$B$40,2,FALSE)</f>
        <v>2041-Starší žákyně</v>
      </c>
      <c r="M779" s="35" t="str">
        <f>VLOOKUP(Zdroj!$I779,Střediska!$A$1:$B$41,2,FALSE)</f>
        <v>Starší žákyně</v>
      </c>
    </row>
    <row r="780" spans="1:13" hidden="1" x14ac:dyDescent="0.2">
      <c r="A780" s="36" t="s">
        <v>25</v>
      </c>
      <c r="B780" s="31" t="s">
        <v>1599</v>
      </c>
      <c r="C780" s="31" t="s">
        <v>64</v>
      </c>
      <c r="D780" s="31"/>
      <c r="E780" s="31" t="s">
        <v>95</v>
      </c>
      <c r="F780" s="31">
        <v>0</v>
      </c>
      <c r="G780" s="31">
        <v>4600</v>
      </c>
      <c r="H780" s="31">
        <f t="shared" si="24"/>
        <v>4600</v>
      </c>
      <c r="I780" s="31">
        <v>2041</v>
      </c>
      <c r="J780" s="31">
        <f t="shared" si="25"/>
        <v>2</v>
      </c>
      <c r="K780" s="31" t="s">
        <v>90</v>
      </c>
      <c r="L780" s="31" t="str">
        <f>I780 &amp; "-" &amp;VLOOKUP(I780,Střediska!$A$1:$B$40,2,FALSE)</f>
        <v>2041-Starší žákyně</v>
      </c>
      <c r="M780" s="32" t="str">
        <f>VLOOKUP(Zdroj!$I780,Střediska!$A$1:$B$41,2,FALSE)</f>
        <v>Starší žákyně</v>
      </c>
    </row>
    <row r="781" spans="1:13" hidden="1" x14ac:dyDescent="0.2">
      <c r="A781" s="33" t="s">
        <v>25</v>
      </c>
      <c r="B781" s="34" t="s">
        <v>1600</v>
      </c>
      <c r="C781" s="34" t="s">
        <v>64</v>
      </c>
      <c r="D781" s="34"/>
      <c r="E781" s="34" t="s">
        <v>95</v>
      </c>
      <c r="F781" s="34">
        <v>0</v>
      </c>
      <c r="G781" s="34">
        <v>4600</v>
      </c>
      <c r="H781" s="34">
        <f t="shared" si="24"/>
        <v>4600</v>
      </c>
      <c r="I781" s="34">
        <v>2041</v>
      </c>
      <c r="J781" s="34">
        <f t="shared" si="25"/>
        <v>2</v>
      </c>
      <c r="K781" s="34" t="s">
        <v>90</v>
      </c>
      <c r="L781" s="34" t="str">
        <f>I781 &amp; "-" &amp;VLOOKUP(I781,Střediska!$A$1:$B$40,2,FALSE)</f>
        <v>2041-Starší žákyně</v>
      </c>
      <c r="M781" s="35" t="str">
        <f>VLOOKUP(Zdroj!$I781,Střediska!$A$1:$B$41,2,FALSE)</f>
        <v>Starší žákyně</v>
      </c>
    </row>
    <row r="782" spans="1:13" hidden="1" x14ac:dyDescent="0.2">
      <c r="A782" s="36" t="s">
        <v>410</v>
      </c>
      <c r="B782" s="31" t="s">
        <v>1601</v>
      </c>
      <c r="C782" s="31" t="s">
        <v>64</v>
      </c>
      <c r="D782" s="31"/>
      <c r="E782" s="31" t="s">
        <v>1602</v>
      </c>
      <c r="F782" s="31">
        <v>0</v>
      </c>
      <c r="G782" s="31">
        <v>4600</v>
      </c>
      <c r="H782" s="31">
        <f t="shared" si="24"/>
        <v>4600</v>
      </c>
      <c r="I782" s="31">
        <v>2041</v>
      </c>
      <c r="J782" s="31">
        <f t="shared" si="25"/>
        <v>2</v>
      </c>
      <c r="K782" s="31" t="s">
        <v>90</v>
      </c>
      <c r="L782" s="31" t="str">
        <f>I782 &amp; "-" &amp;VLOOKUP(I782,Střediska!$A$1:$B$40,2,FALSE)</f>
        <v>2041-Starší žákyně</v>
      </c>
      <c r="M782" s="32" t="str">
        <f>VLOOKUP(Zdroj!$I782,Střediska!$A$1:$B$41,2,FALSE)</f>
        <v>Starší žákyně</v>
      </c>
    </row>
    <row r="783" spans="1:13" hidden="1" x14ac:dyDescent="0.2">
      <c r="A783" s="33" t="s">
        <v>410</v>
      </c>
      <c r="B783" s="34" t="s">
        <v>1603</v>
      </c>
      <c r="C783" s="34" t="s">
        <v>64</v>
      </c>
      <c r="D783" s="34"/>
      <c r="E783" s="34" t="s">
        <v>1550</v>
      </c>
      <c r="F783" s="34">
        <v>0</v>
      </c>
      <c r="G783" s="34">
        <v>4600</v>
      </c>
      <c r="H783" s="34">
        <f t="shared" si="24"/>
        <v>4600</v>
      </c>
      <c r="I783" s="34">
        <v>2041</v>
      </c>
      <c r="J783" s="34">
        <f t="shared" si="25"/>
        <v>2</v>
      </c>
      <c r="K783" s="34" t="s">
        <v>90</v>
      </c>
      <c r="L783" s="34" t="str">
        <f>I783 &amp; "-" &amp;VLOOKUP(I783,Střediska!$A$1:$B$40,2,FALSE)</f>
        <v>2041-Starší žákyně</v>
      </c>
      <c r="M783" s="35" t="str">
        <f>VLOOKUP(Zdroj!$I783,Střediska!$A$1:$B$41,2,FALSE)</f>
        <v>Starší žákyně</v>
      </c>
    </row>
    <row r="784" spans="1:13" hidden="1" x14ac:dyDescent="0.2">
      <c r="A784" s="36" t="s">
        <v>256</v>
      </c>
      <c r="B784" s="31" t="s">
        <v>1604</v>
      </c>
      <c r="C784" s="31" t="s">
        <v>64</v>
      </c>
      <c r="D784" s="31"/>
      <c r="E784" s="31" t="s">
        <v>95</v>
      </c>
      <c r="F784" s="31">
        <v>0</v>
      </c>
      <c r="G784" s="31">
        <v>5300</v>
      </c>
      <c r="H784" s="31">
        <f t="shared" si="24"/>
        <v>5300</v>
      </c>
      <c r="I784" s="31">
        <v>2041</v>
      </c>
      <c r="J784" s="31">
        <f t="shared" si="25"/>
        <v>2</v>
      </c>
      <c r="K784" s="31" t="s">
        <v>90</v>
      </c>
      <c r="L784" s="31" t="str">
        <f>I784 &amp; "-" &amp;VLOOKUP(I784,Střediska!$A$1:$B$40,2,FALSE)</f>
        <v>2041-Starší žákyně</v>
      </c>
      <c r="M784" s="32" t="str">
        <f>VLOOKUP(Zdroj!$I784,Střediska!$A$1:$B$41,2,FALSE)</f>
        <v>Starší žákyně</v>
      </c>
    </row>
    <row r="785" spans="1:13" hidden="1" x14ac:dyDescent="0.2">
      <c r="A785" s="33" t="s">
        <v>531</v>
      </c>
      <c r="B785" s="34" t="s">
        <v>1605</v>
      </c>
      <c r="C785" s="34" t="s">
        <v>64</v>
      </c>
      <c r="D785" s="34"/>
      <c r="E785" s="34" t="s">
        <v>1606</v>
      </c>
      <c r="F785" s="34">
        <v>0</v>
      </c>
      <c r="G785" s="34">
        <v>5300</v>
      </c>
      <c r="H785" s="34">
        <f t="shared" si="24"/>
        <v>5300</v>
      </c>
      <c r="I785" s="34">
        <v>2041</v>
      </c>
      <c r="J785" s="34">
        <f t="shared" si="25"/>
        <v>2</v>
      </c>
      <c r="K785" s="34" t="s">
        <v>90</v>
      </c>
      <c r="L785" s="34" t="str">
        <f>I785 &amp; "-" &amp;VLOOKUP(I785,Střediska!$A$1:$B$40,2,FALSE)</f>
        <v>2041-Starší žákyně</v>
      </c>
      <c r="M785" s="35" t="str">
        <f>VLOOKUP(Zdroj!$I785,Střediska!$A$1:$B$41,2,FALSE)</f>
        <v>Starší žákyně</v>
      </c>
    </row>
    <row r="786" spans="1:13" hidden="1" x14ac:dyDescent="0.2">
      <c r="A786" s="36" t="s">
        <v>531</v>
      </c>
      <c r="B786" s="31" t="s">
        <v>1607</v>
      </c>
      <c r="C786" s="31" t="s">
        <v>64</v>
      </c>
      <c r="D786" s="31"/>
      <c r="E786" s="31" t="s">
        <v>1608</v>
      </c>
      <c r="F786" s="31">
        <v>0</v>
      </c>
      <c r="G786" s="31">
        <v>5300</v>
      </c>
      <c r="H786" s="31">
        <f t="shared" si="24"/>
        <v>5300</v>
      </c>
      <c r="I786" s="31">
        <v>2041</v>
      </c>
      <c r="J786" s="31">
        <f t="shared" si="25"/>
        <v>2</v>
      </c>
      <c r="K786" s="31" t="s">
        <v>90</v>
      </c>
      <c r="L786" s="31" t="str">
        <f>I786 &amp; "-" &amp;VLOOKUP(I786,Střediska!$A$1:$B$40,2,FALSE)</f>
        <v>2041-Starší žákyně</v>
      </c>
      <c r="M786" s="32" t="str">
        <f>VLOOKUP(Zdroj!$I786,Střediska!$A$1:$B$41,2,FALSE)</f>
        <v>Starší žákyně</v>
      </c>
    </row>
    <row r="787" spans="1:13" hidden="1" x14ac:dyDescent="0.2">
      <c r="A787" s="33" t="s">
        <v>531</v>
      </c>
      <c r="B787" s="34" t="s">
        <v>1609</v>
      </c>
      <c r="C787" s="34" t="s">
        <v>64</v>
      </c>
      <c r="D787" s="34"/>
      <c r="E787" s="34" t="s">
        <v>1610</v>
      </c>
      <c r="F787" s="34">
        <v>0</v>
      </c>
      <c r="G787" s="34">
        <v>5300</v>
      </c>
      <c r="H787" s="34">
        <f t="shared" si="24"/>
        <v>5300</v>
      </c>
      <c r="I787" s="34">
        <v>2041</v>
      </c>
      <c r="J787" s="34">
        <f t="shared" si="25"/>
        <v>2</v>
      </c>
      <c r="K787" s="34" t="s">
        <v>90</v>
      </c>
      <c r="L787" s="34" t="str">
        <f>I787 &amp; "-" &amp;VLOOKUP(I787,Střediska!$A$1:$B$40,2,FALSE)</f>
        <v>2041-Starší žákyně</v>
      </c>
      <c r="M787" s="35" t="str">
        <f>VLOOKUP(Zdroj!$I787,Střediska!$A$1:$B$41,2,FALSE)</f>
        <v>Starší žákyně</v>
      </c>
    </row>
    <row r="788" spans="1:13" hidden="1" x14ac:dyDescent="0.2">
      <c r="A788" s="36" t="s">
        <v>544</v>
      </c>
      <c r="B788" s="31" t="s">
        <v>1611</v>
      </c>
      <c r="C788" s="31" t="s">
        <v>64</v>
      </c>
      <c r="D788" s="31"/>
      <c r="E788" s="31" t="s">
        <v>1586</v>
      </c>
      <c r="F788" s="31">
        <v>0</v>
      </c>
      <c r="G788" s="31">
        <v>5300</v>
      </c>
      <c r="H788" s="31">
        <f t="shared" si="24"/>
        <v>5300</v>
      </c>
      <c r="I788" s="31">
        <v>2041</v>
      </c>
      <c r="J788" s="31">
        <f t="shared" si="25"/>
        <v>2</v>
      </c>
      <c r="K788" s="31" t="s">
        <v>90</v>
      </c>
      <c r="L788" s="31" t="str">
        <f>I788 &amp; "-" &amp;VLOOKUP(I788,Střediska!$A$1:$B$40,2,FALSE)</f>
        <v>2041-Starší žákyně</v>
      </c>
      <c r="M788" s="32" t="str">
        <f>VLOOKUP(Zdroj!$I788,Střediska!$A$1:$B$41,2,FALSE)</f>
        <v>Starší žákyně</v>
      </c>
    </row>
    <row r="789" spans="1:13" hidden="1" x14ac:dyDescent="0.2">
      <c r="A789" s="33" t="s">
        <v>196</v>
      </c>
      <c r="B789" s="34" t="s">
        <v>1612</v>
      </c>
      <c r="C789" s="34" t="s">
        <v>64</v>
      </c>
      <c r="D789" s="34"/>
      <c r="E789" s="34" t="s">
        <v>1613</v>
      </c>
      <c r="F789" s="34">
        <v>0</v>
      </c>
      <c r="G789" s="34">
        <v>5300</v>
      </c>
      <c r="H789" s="34">
        <f t="shared" si="24"/>
        <v>5300</v>
      </c>
      <c r="I789" s="34">
        <v>2041</v>
      </c>
      <c r="J789" s="34">
        <f t="shared" si="25"/>
        <v>2</v>
      </c>
      <c r="K789" s="34" t="s">
        <v>90</v>
      </c>
      <c r="L789" s="34" t="str">
        <f>I789 &amp; "-" &amp;VLOOKUP(I789,Střediska!$A$1:$B$40,2,FALSE)</f>
        <v>2041-Starší žákyně</v>
      </c>
      <c r="M789" s="35" t="str">
        <f>VLOOKUP(Zdroj!$I789,Střediska!$A$1:$B$41,2,FALSE)</f>
        <v>Starší žákyně</v>
      </c>
    </row>
    <row r="790" spans="1:13" hidden="1" x14ac:dyDescent="0.2">
      <c r="A790" s="36" t="s">
        <v>196</v>
      </c>
      <c r="B790" s="31" t="s">
        <v>1614</v>
      </c>
      <c r="C790" s="31" t="s">
        <v>64</v>
      </c>
      <c r="D790" s="31"/>
      <c r="E790" s="31" t="s">
        <v>1615</v>
      </c>
      <c r="F790" s="31">
        <v>0</v>
      </c>
      <c r="G790" s="31">
        <v>5300</v>
      </c>
      <c r="H790" s="31">
        <f t="shared" si="24"/>
        <v>5300</v>
      </c>
      <c r="I790" s="31">
        <v>2041</v>
      </c>
      <c r="J790" s="31">
        <f t="shared" si="25"/>
        <v>2</v>
      </c>
      <c r="K790" s="31" t="s">
        <v>90</v>
      </c>
      <c r="L790" s="31" t="str">
        <f>I790 &amp; "-" &amp;VLOOKUP(I790,Střediska!$A$1:$B$40,2,FALSE)</f>
        <v>2041-Starší žákyně</v>
      </c>
      <c r="M790" s="32" t="str">
        <f>VLOOKUP(Zdroj!$I790,Střediska!$A$1:$B$41,2,FALSE)</f>
        <v>Starší žákyně</v>
      </c>
    </row>
    <row r="791" spans="1:13" hidden="1" x14ac:dyDescent="0.2">
      <c r="A791" s="33" t="s">
        <v>709</v>
      </c>
      <c r="B791" s="34" t="s">
        <v>1616</v>
      </c>
      <c r="C791" s="34" t="s">
        <v>64</v>
      </c>
      <c r="D791" s="34"/>
      <c r="E791" s="34" t="s">
        <v>1617</v>
      </c>
      <c r="F791" s="34">
        <v>0</v>
      </c>
      <c r="G791" s="34">
        <v>5300</v>
      </c>
      <c r="H791" s="34">
        <f t="shared" si="24"/>
        <v>5300</v>
      </c>
      <c r="I791" s="34">
        <v>2041</v>
      </c>
      <c r="J791" s="34">
        <f t="shared" si="25"/>
        <v>2</v>
      </c>
      <c r="K791" s="34" t="s">
        <v>90</v>
      </c>
      <c r="L791" s="34" t="str">
        <f>I791 &amp; "-" &amp;VLOOKUP(I791,Střediska!$A$1:$B$40,2,FALSE)</f>
        <v>2041-Starší žákyně</v>
      </c>
      <c r="M791" s="35" t="str">
        <f>VLOOKUP(Zdroj!$I791,Střediska!$A$1:$B$41,2,FALSE)</f>
        <v>Starší žákyně</v>
      </c>
    </row>
    <row r="792" spans="1:13" hidden="1" x14ac:dyDescent="0.2">
      <c r="A792" s="36" t="s">
        <v>481</v>
      </c>
      <c r="B792" s="31" t="s">
        <v>1618</v>
      </c>
      <c r="C792" s="31" t="s">
        <v>64</v>
      </c>
      <c r="D792" s="31"/>
      <c r="E792" s="31" t="s">
        <v>1619</v>
      </c>
      <c r="F792" s="31">
        <v>0</v>
      </c>
      <c r="G792" s="31">
        <v>5300</v>
      </c>
      <c r="H792" s="31">
        <f t="shared" si="24"/>
        <v>5300</v>
      </c>
      <c r="I792" s="31">
        <v>2041</v>
      </c>
      <c r="J792" s="31">
        <f t="shared" si="25"/>
        <v>2</v>
      </c>
      <c r="K792" s="31" t="s">
        <v>90</v>
      </c>
      <c r="L792" s="31" t="str">
        <f>I792 &amp; "-" &amp;VLOOKUP(I792,Střediska!$A$1:$B$40,2,FALSE)</f>
        <v>2041-Starší žákyně</v>
      </c>
      <c r="M792" s="32" t="str">
        <f>VLOOKUP(Zdroj!$I792,Střediska!$A$1:$B$41,2,FALSE)</f>
        <v>Starší žákyně</v>
      </c>
    </row>
    <row r="793" spans="1:13" hidden="1" x14ac:dyDescent="0.2">
      <c r="A793" s="33" t="s">
        <v>481</v>
      </c>
      <c r="B793" s="34" t="s">
        <v>1620</v>
      </c>
      <c r="C793" s="34" t="s">
        <v>64</v>
      </c>
      <c r="D793" s="34"/>
      <c r="E793" s="34" t="s">
        <v>95</v>
      </c>
      <c r="F793" s="34">
        <v>0</v>
      </c>
      <c r="G793" s="34">
        <v>5300</v>
      </c>
      <c r="H793" s="34">
        <f t="shared" si="24"/>
        <v>5300</v>
      </c>
      <c r="I793" s="34">
        <v>2041</v>
      </c>
      <c r="J793" s="34">
        <f t="shared" si="25"/>
        <v>2</v>
      </c>
      <c r="K793" s="34" t="s">
        <v>90</v>
      </c>
      <c r="L793" s="34" t="str">
        <f>I793 &amp; "-" &amp;VLOOKUP(I793,Střediska!$A$1:$B$40,2,FALSE)</f>
        <v>2041-Starší žákyně</v>
      </c>
      <c r="M793" s="35" t="str">
        <f>VLOOKUP(Zdroj!$I793,Střediska!$A$1:$B$41,2,FALSE)</f>
        <v>Starší žákyně</v>
      </c>
    </row>
    <row r="794" spans="1:13" hidden="1" x14ac:dyDescent="0.2">
      <c r="A794" s="36" t="s">
        <v>49</v>
      </c>
      <c r="B794" s="31" t="s">
        <v>91</v>
      </c>
      <c r="C794" s="31" t="s">
        <v>19</v>
      </c>
      <c r="D794" s="31"/>
      <c r="E794" s="31" t="s">
        <v>93</v>
      </c>
      <c r="F794" s="31">
        <v>0</v>
      </c>
      <c r="G794" s="31">
        <v>17603.14</v>
      </c>
      <c r="H794" s="31">
        <f t="shared" si="24"/>
        <v>17603.14</v>
      </c>
      <c r="I794" s="31">
        <v>2041</v>
      </c>
      <c r="J794" s="31">
        <f t="shared" si="25"/>
        <v>2</v>
      </c>
      <c r="K794" s="31" t="s">
        <v>90</v>
      </c>
      <c r="L794" s="31" t="str">
        <f>I794 &amp; "-" &amp;VLOOKUP(I794,Střediska!$A$1:$B$40,2,FALSE)</f>
        <v>2041-Starší žákyně</v>
      </c>
      <c r="M794" s="32" t="str">
        <f>VLOOKUP(Zdroj!$I794,Střediska!$A$1:$B$41,2,FALSE)</f>
        <v>Starší žákyně</v>
      </c>
    </row>
    <row r="795" spans="1:13" hidden="1" x14ac:dyDescent="0.2">
      <c r="A795" s="33" t="s">
        <v>49</v>
      </c>
      <c r="B795" s="34" t="s">
        <v>1621</v>
      </c>
      <c r="C795" s="34" t="s">
        <v>64</v>
      </c>
      <c r="D795" s="34"/>
      <c r="E795" s="34" t="s">
        <v>1622</v>
      </c>
      <c r="F795" s="34">
        <v>0</v>
      </c>
      <c r="G795" s="34">
        <v>5300</v>
      </c>
      <c r="H795" s="34">
        <f t="shared" si="24"/>
        <v>5300</v>
      </c>
      <c r="I795" s="34">
        <v>2041</v>
      </c>
      <c r="J795" s="34">
        <f t="shared" si="25"/>
        <v>2</v>
      </c>
      <c r="K795" s="34" t="s">
        <v>90</v>
      </c>
      <c r="L795" s="34" t="str">
        <f>I795 &amp; "-" &amp;VLOOKUP(I795,Střediska!$A$1:$B$40,2,FALSE)</f>
        <v>2041-Starší žákyně</v>
      </c>
      <c r="M795" s="35" t="str">
        <f>VLOOKUP(Zdroj!$I795,Střediska!$A$1:$B$41,2,FALSE)</f>
        <v>Starší žákyně</v>
      </c>
    </row>
    <row r="796" spans="1:13" hidden="1" x14ac:dyDescent="0.2">
      <c r="A796" s="36" t="s">
        <v>49</v>
      </c>
      <c r="B796" s="31" t="s">
        <v>1623</v>
      </c>
      <c r="C796" s="31" t="s">
        <v>64</v>
      </c>
      <c r="D796" s="31"/>
      <c r="E796" s="31" t="s">
        <v>95</v>
      </c>
      <c r="F796" s="31">
        <v>0</v>
      </c>
      <c r="G796" s="31">
        <v>5300</v>
      </c>
      <c r="H796" s="31">
        <f t="shared" si="24"/>
        <v>5300</v>
      </c>
      <c r="I796" s="31">
        <v>2041</v>
      </c>
      <c r="J796" s="31">
        <f t="shared" si="25"/>
        <v>2</v>
      </c>
      <c r="K796" s="31" t="s">
        <v>90</v>
      </c>
      <c r="L796" s="31" t="str">
        <f>I796 &amp; "-" &amp;VLOOKUP(I796,Střediska!$A$1:$B$40,2,FALSE)</f>
        <v>2041-Starší žákyně</v>
      </c>
      <c r="M796" s="32" t="str">
        <f>VLOOKUP(Zdroj!$I796,Střediska!$A$1:$B$41,2,FALSE)</f>
        <v>Starší žákyně</v>
      </c>
    </row>
    <row r="797" spans="1:13" hidden="1" x14ac:dyDescent="0.2">
      <c r="A797" s="33" t="s">
        <v>733</v>
      </c>
      <c r="B797" s="34" t="s">
        <v>1624</v>
      </c>
      <c r="C797" s="34" t="s">
        <v>64</v>
      </c>
      <c r="D797" s="34"/>
      <c r="E797" s="34" t="s">
        <v>1625</v>
      </c>
      <c r="F797" s="34">
        <v>0</v>
      </c>
      <c r="G797" s="34">
        <v>5300</v>
      </c>
      <c r="H797" s="34">
        <f t="shared" si="24"/>
        <v>5300</v>
      </c>
      <c r="I797" s="34">
        <v>2041</v>
      </c>
      <c r="J797" s="34">
        <f t="shared" si="25"/>
        <v>2</v>
      </c>
      <c r="K797" s="34" t="s">
        <v>90</v>
      </c>
      <c r="L797" s="34" t="str">
        <f>I797 &amp; "-" &amp;VLOOKUP(I797,Střediska!$A$1:$B$40,2,FALSE)</f>
        <v>2041-Starší žákyně</v>
      </c>
      <c r="M797" s="35" t="str">
        <f>VLOOKUP(Zdroj!$I797,Střediska!$A$1:$B$41,2,FALSE)</f>
        <v>Starší žákyně</v>
      </c>
    </row>
    <row r="798" spans="1:13" hidden="1" x14ac:dyDescent="0.2">
      <c r="A798" s="36" t="s">
        <v>176</v>
      </c>
      <c r="B798" s="31" t="s">
        <v>1626</v>
      </c>
      <c r="C798" s="31" t="s">
        <v>64</v>
      </c>
      <c r="D798" s="31"/>
      <c r="E798" s="31" t="s">
        <v>1627</v>
      </c>
      <c r="F798" s="31">
        <v>0</v>
      </c>
      <c r="G798" s="31">
        <v>2650</v>
      </c>
      <c r="H798" s="31">
        <f t="shared" si="24"/>
        <v>2650</v>
      </c>
      <c r="I798" s="31">
        <v>2041</v>
      </c>
      <c r="J798" s="31">
        <f t="shared" si="25"/>
        <v>2</v>
      </c>
      <c r="K798" s="31" t="s">
        <v>90</v>
      </c>
      <c r="L798" s="31" t="str">
        <f>I798 &amp; "-" &amp;VLOOKUP(I798,Střediska!$A$1:$B$40,2,FALSE)</f>
        <v>2041-Starší žákyně</v>
      </c>
      <c r="M798" s="32" t="str">
        <f>VLOOKUP(Zdroj!$I798,Střediska!$A$1:$B$41,2,FALSE)</f>
        <v>Starší žákyně</v>
      </c>
    </row>
    <row r="799" spans="1:13" hidden="1" x14ac:dyDescent="0.2">
      <c r="A799" s="33" t="s">
        <v>176</v>
      </c>
      <c r="B799" s="34" t="s">
        <v>1628</v>
      </c>
      <c r="C799" s="34" t="s">
        <v>64</v>
      </c>
      <c r="D799" s="34"/>
      <c r="E799" s="34" t="s">
        <v>1629</v>
      </c>
      <c r="F799" s="34">
        <v>0</v>
      </c>
      <c r="G799" s="34">
        <v>5300</v>
      </c>
      <c r="H799" s="34">
        <f t="shared" si="24"/>
        <v>5300</v>
      </c>
      <c r="I799" s="34">
        <v>2041</v>
      </c>
      <c r="J799" s="34">
        <f t="shared" si="25"/>
        <v>2</v>
      </c>
      <c r="K799" s="34" t="s">
        <v>90</v>
      </c>
      <c r="L799" s="34" t="str">
        <f>I799 &amp; "-" &amp;VLOOKUP(I799,Střediska!$A$1:$B$40,2,FALSE)</f>
        <v>2041-Starší žákyně</v>
      </c>
      <c r="M799" s="35" t="str">
        <f>VLOOKUP(Zdroj!$I799,Střediska!$A$1:$B$41,2,FALSE)</f>
        <v>Starší žákyně</v>
      </c>
    </row>
    <row r="800" spans="1:13" hidden="1" x14ac:dyDescent="0.2">
      <c r="A800" s="36" t="s">
        <v>20</v>
      </c>
      <c r="B800" s="31" t="s">
        <v>338</v>
      </c>
      <c r="C800" s="31" t="s">
        <v>19</v>
      </c>
      <c r="D800" s="31"/>
      <c r="E800" s="31" t="s">
        <v>339</v>
      </c>
      <c r="F800" s="31">
        <v>0</v>
      </c>
      <c r="G800" s="31">
        <v>-15570.92</v>
      </c>
      <c r="H800" s="31">
        <f t="shared" si="24"/>
        <v>-15570.92</v>
      </c>
      <c r="I800" s="31">
        <v>2041</v>
      </c>
      <c r="J800" s="31">
        <f t="shared" si="25"/>
        <v>2</v>
      </c>
      <c r="K800" s="31" t="s">
        <v>90</v>
      </c>
      <c r="L800" s="31" t="str">
        <f>I800 &amp; "-" &amp;VLOOKUP(I800,Střediska!$A$1:$B$40,2,FALSE)</f>
        <v>2041-Starší žákyně</v>
      </c>
      <c r="M800" s="32" t="str">
        <f>VLOOKUP(Zdroj!$I800,Střediska!$A$1:$B$41,2,FALSE)</f>
        <v>Starší žákyně</v>
      </c>
    </row>
    <row r="801" spans="1:13" hidden="1" x14ac:dyDescent="0.2">
      <c r="A801" s="33" t="s">
        <v>20</v>
      </c>
      <c r="B801" s="34" t="s">
        <v>18</v>
      </c>
      <c r="C801" s="34" t="s">
        <v>19</v>
      </c>
      <c r="D801" s="34"/>
      <c r="E801" s="34" t="s">
        <v>21</v>
      </c>
      <c r="F801" s="34">
        <v>82023.100000000006</v>
      </c>
      <c r="G801" s="34">
        <v>0</v>
      </c>
      <c r="H801" s="34">
        <f t="shared" si="24"/>
        <v>-82023.100000000006</v>
      </c>
      <c r="I801" s="34">
        <v>2051</v>
      </c>
      <c r="J801" s="34">
        <f t="shared" si="25"/>
        <v>2</v>
      </c>
      <c r="K801" s="34" t="s">
        <v>17</v>
      </c>
      <c r="L801" s="34" t="str">
        <f>I801 &amp; "-" &amp;VLOOKUP(I801,Střediska!$A$1:$B$40,2,FALSE)</f>
        <v>2051-Mladší žákyně</v>
      </c>
      <c r="M801" s="35" t="str">
        <f>VLOOKUP(Zdroj!$I801,Střediska!$A$1:$B$41,2,FALSE)</f>
        <v>Mladší žákyně</v>
      </c>
    </row>
    <row r="802" spans="1:13" hidden="1" x14ac:dyDescent="0.2">
      <c r="A802" s="36" t="s">
        <v>1634</v>
      </c>
      <c r="B802" s="31" t="s">
        <v>1633</v>
      </c>
      <c r="C802" s="31" t="s">
        <v>19</v>
      </c>
      <c r="D802" s="31"/>
      <c r="E802" s="31" t="s">
        <v>1635</v>
      </c>
      <c r="F802" s="31">
        <v>1707</v>
      </c>
      <c r="G802" s="31">
        <v>0</v>
      </c>
      <c r="H802" s="31">
        <f t="shared" si="24"/>
        <v>-1707</v>
      </c>
      <c r="I802" s="31">
        <v>2051</v>
      </c>
      <c r="J802" s="31">
        <f t="shared" si="25"/>
        <v>2</v>
      </c>
      <c r="K802" s="31" t="s">
        <v>179</v>
      </c>
      <c r="L802" s="31" t="str">
        <f>I802 &amp; "-" &amp;VLOOKUP(I802,Střediska!$A$1:$B$40,2,FALSE)</f>
        <v>2051-Mladší žákyně</v>
      </c>
      <c r="M802" s="32" t="str">
        <f>VLOOKUP(Zdroj!$I802,Střediska!$A$1:$B$41,2,FALSE)</f>
        <v>Mladší žákyně</v>
      </c>
    </row>
    <row r="803" spans="1:13" hidden="1" x14ac:dyDescent="0.2">
      <c r="A803" s="33" t="s">
        <v>733</v>
      </c>
      <c r="B803" s="34" t="s">
        <v>1636</v>
      </c>
      <c r="C803" s="34" t="s">
        <v>19</v>
      </c>
      <c r="D803" s="34"/>
      <c r="E803" s="34" t="s">
        <v>1637</v>
      </c>
      <c r="F803" s="34">
        <v>1485</v>
      </c>
      <c r="G803" s="34">
        <v>0</v>
      </c>
      <c r="H803" s="34">
        <f t="shared" si="24"/>
        <v>-1485</v>
      </c>
      <c r="I803" s="34">
        <v>2051</v>
      </c>
      <c r="J803" s="34">
        <f t="shared" si="25"/>
        <v>2</v>
      </c>
      <c r="K803" s="34" t="s">
        <v>179</v>
      </c>
      <c r="L803" s="34" t="str">
        <f>I803 &amp; "-" &amp;VLOOKUP(I803,Střediska!$A$1:$B$40,2,FALSE)</f>
        <v>2051-Mladší žákyně</v>
      </c>
      <c r="M803" s="35" t="str">
        <f>VLOOKUP(Zdroj!$I803,Střediska!$A$1:$B$41,2,FALSE)</f>
        <v>Mladší žákyně</v>
      </c>
    </row>
    <row r="804" spans="1:13" hidden="1" x14ac:dyDescent="0.2">
      <c r="A804" s="36" t="s">
        <v>1339</v>
      </c>
      <c r="B804" s="31" t="s">
        <v>1638</v>
      </c>
      <c r="C804" s="31" t="s">
        <v>19</v>
      </c>
      <c r="D804" s="31"/>
      <c r="E804" s="31" t="s">
        <v>1637</v>
      </c>
      <c r="F804" s="31">
        <v>1788</v>
      </c>
      <c r="G804" s="31">
        <v>0</v>
      </c>
      <c r="H804" s="31">
        <f t="shared" si="24"/>
        <v>-1788</v>
      </c>
      <c r="I804" s="31">
        <v>2051</v>
      </c>
      <c r="J804" s="31">
        <f t="shared" si="25"/>
        <v>2</v>
      </c>
      <c r="K804" s="31" t="s">
        <v>179</v>
      </c>
      <c r="L804" s="31" t="str">
        <f>I804 &amp; "-" &amp;VLOOKUP(I804,Střediska!$A$1:$B$40,2,FALSE)</f>
        <v>2051-Mladší žákyně</v>
      </c>
      <c r="M804" s="32" t="str">
        <f>VLOOKUP(Zdroj!$I804,Střediska!$A$1:$B$41,2,FALSE)</f>
        <v>Mladší žákyně</v>
      </c>
    </row>
    <row r="805" spans="1:13" hidden="1" x14ac:dyDescent="0.2">
      <c r="A805" s="33" t="s">
        <v>20</v>
      </c>
      <c r="B805" s="34" t="s">
        <v>59</v>
      </c>
      <c r="C805" s="34" t="s">
        <v>19</v>
      </c>
      <c r="D805" s="34"/>
      <c r="E805" s="34" t="s">
        <v>60</v>
      </c>
      <c r="F805" s="34">
        <v>37740</v>
      </c>
      <c r="G805" s="34">
        <v>0</v>
      </c>
      <c r="H805" s="34">
        <f t="shared" si="24"/>
        <v>-37740</v>
      </c>
      <c r="I805" s="34">
        <v>2051</v>
      </c>
      <c r="J805" s="34">
        <f t="shared" si="25"/>
        <v>2</v>
      </c>
      <c r="K805" s="34" t="s">
        <v>23</v>
      </c>
      <c r="L805" s="34" t="str">
        <f>I805 &amp; "-" &amp;VLOOKUP(I805,Střediska!$A$1:$B$40,2,FALSE)</f>
        <v>2051-Mladší žákyně</v>
      </c>
      <c r="M805" s="35" t="str">
        <f>VLOOKUP(Zdroj!$I805,Střediska!$A$1:$B$41,2,FALSE)</f>
        <v>Mladší žákyně</v>
      </c>
    </row>
    <row r="806" spans="1:13" hidden="1" x14ac:dyDescent="0.2">
      <c r="A806" s="36" t="s">
        <v>256</v>
      </c>
      <c r="B806" s="31" t="s">
        <v>1639</v>
      </c>
      <c r="C806" s="31" t="s">
        <v>64</v>
      </c>
      <c r="D806" s="31"/>
      <c r="E806" s="31" t="s">
        <v>1640</v>
      </c>
      <c r="F806" s="31">
        <v>0</v>
      </c>
      <c r="G806" s="31">
        <v>5300</v>
      </c>
      <c r="H806" s="31">
        <f t="shared" si="24"/>
        <v>5300</v>
      </c>
      <c r="I806" s="31">
        <v>2051</v>
      </c>
      <c r="J806" s="31">
        <f t="shared" si="25"/>
        <v>2</v>
      </c>
      <c r="K806" s="31" t="s">
        <v>90</v>
      </c>
      <c r="L806" s="31" t="str">
        <f>I806 &amp; "-" &amp;VLOOKUP(I806,Střediska!$A$1:$B$40,2,FALSE)</f>
        <v>2051-Mladší žákyně</v>
      </c>
      <c r="M806" s="32" t="str">
        <f>VLOOKUP(Zdroj!$I806,Střediska!$A$1:$B$41,2,FALSE)</f>
        <v>Mladší žákyně</v>
      </c>
    </row>
    <row r="807" spans="1:13" hidden="1" x14ac:dyDescent="0.2">
      <c r="A807" s="33" t="s">
        <v>256</v>
      </c>
      <c r="B807" s="34" t="s">
        <v>1641</v>
      </c>
      <c r="C807" s="34" t="s">
        <v>64</v>
      </c>
      <c r="D807" s="34"/>
      <c r="E807" s="34" t="s">
        <v>1642</v>
      </c>
      <c r="F807" s="34">
        <v>0</v>
      </c>
      <c r="G807" s="34">
        <v>5300</v>
      </c>
      <c r="H807" s="34">
        <f t="shared" si="24"/>
        <v>5300</v>
      </c>
      <c r="I807" s="34">
        <v>2051</v>
      </c>
      <c r="J807" s="34">
        <f t="shared" si="25"/>
        <v>2</v>
      </c>
      <c r="K807" s="34" t="s">
        <v>90</v>
      </c>
      <c r="L807" s="34" t="str">
        <f>I807 &amp; "-" &amp;VLOOKUP(I807,Střediska!$A$1:$B$40,2,FALSE)</f>
        <v>2051-Mladší žákyně</v>
      </c>
      <c r="M807" s="35" t="str">
        <f>VLOOKUP(Zdroj!$I807,Střediska!$A$1:$B$41,2,FALSE)</f>
        <v>Mladší žákyně</v>
      </c>
    </row>
    <row r="808" spans="1:13" hidden="1" x14ac:dyDescent="0.2">
      <c r="A808" s="36" t="s">
        <v>256</v>
      </c>
      <c r="B808" s="31" t="s">
        <v>1643</v>
      </c>
      <c r="C808" s="31" t="s">
        <v>64</v>
      </c>
      <c r="D808" s="31"/>
      <c r="E808" s="31" t="s">
        <v>1644</v>
      </c>
      <c r="F808" s="31">
        <v>0</v>
      </c>
      <c r="G808" s="31">
        <v>5300</v>
      </c>
      <c r="H808" s="31">
        <f t="shared" si="24"/>
        <v>5300</v>
      </c>
      <c r="I808" s="31">
        <v>2051</v>
      </c>
      <c r="J808" s="31">
        <f t="shared" si="25"/>
        <v>2</v>
      </c>
      <c r="K808" s="31" t="s">
        <v>90</v>
      </c>
      <c r="L808" s="31" t="str">
        <f>I808 &amp; "-" &amp;VLOOKUP(I808,Střediska!$A$1:$B$40,2,FALSE)</f>
        <v>2051-Mladší žákyně</v>
      </c>
      <c r="M808" s="32" t="str">
        <f>VLOOKUP(Zdroj!$I808,Střediska!$A$1:$B$41,2,FALSE)</f>
        <v>Mladší žákyně</v>
      </c>
    </row>
    <row r="809" spans="1:13" hidden="1" x14ac:dyDescent="0.2">
      <c r="A809" s="33" t="s">
        <v>531</v>
      </c>
      <c r="B809" s="34" t="s">
        <v>1645</v>
      </c>
      <c r="C809" s="34" t="s">
        <v>64</v>
      </c>
      <c r="D809" s="34"/>
      <c r="E809" s="34" t="s">
        <v>1646</v>
      </c>
      <c r="F809" s="34">
        <v>0</v>
      </c>
      <c r="G809" s="34">
        <v>5300</v>
      </c>
      <c r="H809" s="34">
        <f t="shared" si="24"/>
        <v>5300</v>
      </c>
      <c r="I809" s="34">
        <v>2051</v>
      </c>
      <c r="J809" s="34">
        <f t="shared" si="25"/>
        <v>2</v>
      </c>
      <c r="K809" s="34" t="s">
        <v>90</v>
      </c>
      <c r="L809" s="34" t="str">
        <f>I809 &amp; "-" &amp;VLOOKUP(I809,Střediska!$A$1:$B$40,2,FALSE)</f>
        <v>2051-Mladší žákyně</v>
      </c>
      <c r="M809" s="35" t="str">
        <f>VLOOKUP(Zdroj!$I809,Střediska!$A$1:$B$41,2,FALSE)</f>
        <v>Mladší žákyně</v>
      </c>
    </row>
    <row r="810" spans="1:13" hidden="1" x14ac:dyDescent="0.2">
      <c r="A810" s="36" t="s">
        <v>536</v>
      </c>
      <c r="B810" s="31" t="s">
        <v>1647</v>
      </c>
      <c r="C810" s="31" t="s">
        <v>64</v>
      </c>
      <c r="D810" s="31"/>
      <c r="E810" s="31" t="s">
        <v>1648</v>
      </c>
      <c r="F810" s="31">
        <v>0</v>
      </c>
      <c r="G810" s="31">
        <v>5300</v>
      </c>
      <c r="H810" s="31">
        <f t="shared" si="24"/>
        <v>5300</v>
      </c>
      <c r="I810" s="31">
        <v>2051</v>
      </c>
      <c r="J810" s="31">
        <f t="shared" si="25"/>
        <v>2</v>
      </c>
      <c r="K810" s="31" t="s">
        <v>90</v>
      </c>
      <c r="L810" s="31" t="str">
        <f>I810 &amp; "-" &amp;VLOOKUP(I810,Střediska!$A$1:$B$40,2,FALSE)</f>
        <v>2051-Mladší žákyně</v>
      </c>
      <c r="M810" s="32" t="str">
        <f>VLOOKUP(Zdroj!$I810,Střediska!$A$1:$B$41,2,FALSE)</f>
        <v>Mladší žákyně</v>
      </c>
    </row>
    <row r="811" spans="1:13" hidden="1" x14ac:dyDescent="0.2">
      <c r="A811" s="33" t="s">
        <v>220</v>
      </c>
      <c r="B811" s="34" t="s">
        <v>1649</v>
      </c>
      <c r="C811" s="34" t="s">
        <v>64</v>
      </c>
      <c r="D811" s="34"/>
      <c r="E811" s="34" t="s">
        <v>1650</v>
      </c>
      <c r="F811" s="34">
        <v>0</v>
      </c>
      <c r="G811" s="34">
        <v>2650</v>
      </c>
      <c r="H811" s="34">
        <f t="shared" si="24"/>
        <v>2650</v>
      </c>
      <c r="I811" s="34">
        <v>2051</v>
      </c>
      <c r="J811" s="34">
        <f t="shared" si="25"/>
        <v>2</v>
      </c>
      <c r="K811" s="34" t="s">
        <v>90</v>
      </c>
      <c r="L811" s="34" t="str">
        <f>I811 &amp; "-" &amp;VLOOKUP(I811,Střediska!$A$1:$B$40,2,FALSE)</f>
        <v>2051-Mladší žákyně</v>
      </c>
      <c r="M811" s="35" t="str">
        <f>VLOOKUP(Zdroj!$I811,Střediska!$A$1:$B$41,2,FALSE)</f>
        <v>Mladší žákyně</v>
      </c>
    </row>
    <row r="812" spans="1:13" hidden="1" x14ac:dyDescent="0.2">
      <c r="A812" s="36" t="s">
        <v>544</v>
      </c>
      <c r="B812" s="31" t="s">
        <v>1651</v>
      </c>
      <c r="C812" s="31" t="s">
        <v>64</v>
      </c>
      <c r="D812" s="31"/>
      <c r="E812" s="31" t="s">
        <v>1652</v>
      </c>
      <c r="F812" s="31">
        <v>0</v>
      </c>
      <c r="G812" s="31">
        <v>5300</v>
      </c>
      <c r="H812" s="31">
        <f t="shared" si="24"/>
        <v>5300</v>
      </c>
      <c r="I812" s="31">
        <v>2051</v>
      </c>
      <c r="J812" s="31">
        <f t="shared" si="25"/>
        <v>2</v>
      </c>
      <c r="K812" s="31" t="s">
        <v>90</v>
      </c>
      <c r="L812" s="31" t="str">
        <f>I812 &amp; "-" &amp;VLOOKUP(I812,Střediska!$A$1:$B$40,2,FALSE)</f>
        <v>2051-Mladší žákyně</v>
      </c>
      <c r="M812" s="32" t="str">
        <f>VLOOKUP(Zdroj!$I812,Střediska!$A$1:$B$41,2,FALSE)</f>
        <v>Mladší žákyně</v>
      </c>
    </row>
    <row r="813" spans="1:13" hidden="1" x14ac:dyDescent="0.2">
      <c r="A813" s="33" t="s">
        <v>544</v>
      </c>
      <c r="B813" s="34" t="s">
        <v>1653</v>
      </c>
      <c r="C813" s="34" t="s">
        <v>64</v>
      </c>
      <c r="D813" s="34"/>
      <c r="E813" s="34" t="s">
        <v>95</v>
      </c>
      <c r="F813" s="34">
        <v>0</v>
      </c>
      <c r="G813" s="34">
        <v>2650</v>
      </c>
      <c r="H813" s="34">
        <f t="shared" si="24"/>
        <v>2650</v>
      </c>
      <c r="I813" s="34">
        <v>2051</v>
      </c>
      <c r="J813" s="34">
        <f t="shared" si="25"/>
        <v>2</v>
      </c>
      <c r="K813" s="34" t="s">
        <v>90</v>
      </c>
      <c r="L813" s="34" t="str">
        <f>I813 &amp; "-" &amp;VLOOKUP(I813,Střediska!$A$1:$B$40,2,FALSE)</f>
        <v>2051-Mladší žákyně</v>
      </c>
      <c r="M813" s="35" t="str">
        <f>VLOOKUP(Zdroj!$I813,Střediska!$A$1:$B$41,2,FALSE)</f>
        <v>Mladší žákyně</v>
      </c>
    </row>
    <row r="814" spans="1:13" hidden="1" x14ac:dyDescent="0.2">
      <c r="A814" s="36" t="s">
        <v>544</v>
      </c>
      <c r="B814" s="31" t="s">
        <v>1654</v>
      </c>
      <c r="C814" s="31" t="s">
        <v>64</v>
      </c>
      <c r="D814" s="31"/>
      <c r="E814" s="31" t="s">
        <v>1655</v>
      </c>
      <c r="F814" s="31">
        <v>0</v>
      </c>
      <c r="G814" s="31">
        <v>5300</v>
      </c>
      <c r="H814" s="31">
        <f t="shared" si="24"/>
        <v>5300</v>
      </c>
      <c r="I814" s="31">
        <v>2051</v>
      </c>
      <c r="J814" s="31">
        <f t="shared" si="25"/>
        <v>2</v>
      </c>
      <c r="K814" s="31" t="s">
        <v>90</v>
      </c>
      <c r="L814" s="31" t="str">
        <f>I814 &amp; "-" &amp;VLOOKUP(I814,Střediska!$A$1:$B$40,2,FALSE)</f>
        <v>2051-Mladší žákyně</v>
      </c>
      <c r="M814" s="32" t="str">
        <f>VLOOKUP(Zdroj!$I814,Střediska!$A$1:$B$41,2,FALSE)</f>
        <v>Mladší žákyně</v>
      </c>
    </row>
    <row r="815" spans="1:13" hidden="1" x14ac:dyDescent="0.2">
      <c r="A815" s="33" t="s">
        <v>709</v>
      </c>
      <c r="B815" s="34" t="s">
        <v>1656</v>
      </c>
      <c r="C815" s="34" t="s">
        <v>64</v>
      </c>
      <c r="D815" s="34"/>
      <c r="E815" s="34" t="s">
        <v>1657</v>
      </c>
      <c r="F815" s="34">
        <v>0</v>
      </c>
      <c r="G815" s="34">
        <v>5300</v>
      </c>
      <c r="H815" s="34">
        <f t="shared" si="24"/>
        <v>5300</v>
      </c>
      <c r="I815" s="34">
        <v>2051</v>
      </c>
      <c r="J815" s="34">
        <f t="shared" si="25"/>
        <v>2</v>
      </c>
      <c r="K815" s="34" t="s">
        <v>90</v>
      </c>
      <c r="L815" s="34" t="str">
        <f>I815 &amp; "-" &amp;VLOOKUP(I815,Střediska!$A$1:$B$40,2,FALSE)</f>
        <v>2051-Mladší žákyně</v>
      </c>
      <c r="M815" s="35" t="str">
        <f>VLOOKUP(Zdroj!$I815,Střediska!$A$1:$B$41,2,FALSE)</f>
        <v>Mladší žákyně</v>
      </c>
    </row>
    <row r="816" spans="1:13" hidden="1" x14ac:dyDescent="0.2">
      <c r="A816" s="36" t="s">
        <v>481</v>
      </c>
      <c r="B816" s="31" t="s">
        <v>1658</v>
      </c>
      <c r="C816" s="31" t="s">
        <v>64</v>
      </c>
      <c r="D816" s="31"/>
      <c r="E816" s="31" t="s">
        <v>1659</v>
      </c>
      <c r="F816" s="31">
        <v>0</v>
      </c>
      <c r="G816" s="31">
        <v>5300</v>
      </c>
      <c r="H816" s="31">
        <f t="shared" si="24"/>
        <v>5300</v>
      </c>
      <c r="I816" s="31">
        <v>2051</v>
      </c>
      <c r="J816" s="31">
        <f t="shared" si="25"/>
        <v>2</v>
      </c>
      <c r="K816" s="31" t="s">
        <v>90</v>
      </c>
      <c r="L816" s="31" t="str">
        <f>I816 &amp; "-" &amp;VLOOKUP(I816,Střediska!$A$1:$B$40,2,FALSE)</f>
        <v>2051-Mladší žákyně</v>
      </c>
      <c r="M816" s="32" t="str">
        <f>VLOOKUP(Zdroj!$I816,Střediska!$A$1:$B$41,2,FALSE)</f>
        <v>Mladší žákyně</v>
      </c>
    </row>
    <row r="817" spans="1:13" hidden="1" x14ac:dyDescent="0.2">
      <c r="A817" s="33" t="s">
        <v>481</v>
      </c>
      <c r="B817" s="34" t="s">
        <v>1660</v>
      </c>
      <c r="C817" s="34" t="s">
        <v>64</v>
      </c>
      <c r="D817" s="34"/>
      <c r="E817" s="34" t="s">
        <v>1661</v>
      </c>
      <c r="F817" s="34">
        <v>0</v>
      </c>
      <c r="G817" s="34">
        <v>5300</v>
      </c>
      <c r="H817" s="34">
        <f t="shared" si="24"/>
        <v>5300</v>
      </c>
      <c r="I817" s="34">
        <v>2051</v>
      </c>
      <c r="J817" s="34">
        <f t="shared" si="25"/>
        <v>2</v>
      </c>
      <c r="K817" s="34" t="s">
        <v>90</v>
      </c>
      <c r="L817" s="34" t="str">
        <f>I817 &amp; "-" &amp;VLOOKUP(I817,Střediska!$A$1:$B$40,2,FALSE)</f>
        <v>2051-Mladší žákyně</v>
      </c>
      <c r="M817" s="35" t="str">
        <f>VLOOKUP(Zdroj!$I817,Střediska!$A$1:$B$41,2,FALSE)</f>
        <v>Mladší žákyně</v>
      </c>
    </row>
    <row r="818" spans="1:13" hidden="1" x14ac:dyDescent="0.2">
      <c r="A818" s="36" t="s">
        <v>481</v>
      </c>
      <c r="B818" s="31" t="s">
        <v>1662</v>
      </c>
      <c r="C818" s="31" t="s">
        <v>64</v>
      </c>
      <c r="D818" s="31"/>
      <c r="E818" s="31" t="s">
        <v>1663</v>
      </c>
      <c r="F818" s="31">
        <v>0</v>
      </c>
      <c r="G818" s="31">
        <v>5300</v>
      </c>
      <c r="H818" s="31">
        <f t="shared" si="24"/>
        <v>5300</v>
      </c>
      <c r="I818" s="31">
        <v>2051</v>
      </c>
      <c r="J818" s="31">
        <f t="shared" si="25"/>
        <v>2</v>
      </c>
      <c r="K818" s="31" t="s">
        <v>90</v>
      </c>
      <c r="L818" s="31" t="str">
        <f>I818 &amp; "-" &amp;VLOOKUP(I818,Střediska!$A$1:$B$40,2,FALSE)</f>
        <v>2051-Mladší žákyně</v>
      </c>
      <c r="M818" s="32" t="str">
        <f>VLOOKUP(Zdroj!$I818,Střediska!$A$1:$B$41,2,FALSE)</f>
        <v>Mladší žákyně</v>
      </c>
    </row>
    <row r="819" spans="1:13" hidden="1" x14ac:dyDescent="0.2">
      <c r="A819" s="33" t="s">
        <v>49</v>
      </c>
      <c r="B819" s="34" t="s">
        <v>91</v>
      </c>
      <c r="C819" s="34" t="s">
        <v>19</v>
      </c>
      <c r="D819" s="34"/>
      <c r="E819" s="34" t="s">
        <v>93</v>
      </c>
      <c r="F819" s="34">
        <v>0</v>
      </c>
      <c r="G819" s="34">
        <v>9354.7000000000007</v>
      </c>
      <c r="H819" s="34">
        <f t="shared" si="24"/>
        <v>9354.7000000000007</v>
      </c>
      <c r="I819" s="34">
        <v>2051</v>
      </c>
      <c r="J819" s="34">
        <f t="shared" si="25"/>
        <v>2</v>
      </c>
      <c r="K819" s="34" t="s">
        <v>90</v>
      </c>
      <c r="L819" s="34" t="str">
        <f>I819 &amp; "-" &amp;VLOOKUP(I819,Střediska!$A$1:$B$40,2,FALSE)</f>
        <v>2051-Mladší žákyně</v>
      </c>
      <c r="M819" s="35" t="str">
        <f>VLOOKUP(Zdroj!$I819,Střediska!$A$1:$B$41,2,FALSE)</f>
        <v>Mladší žákyně</v>
      </c>
    </row>
    <row r="820" spans="1:13" hidden="1" x14ac:dyDescent="0.2">
      <c r="A820" s="36" t="s">
        <v>20</v>
      </c>
      <c r="B820" s="31" t="s">
        <v>338</v>
      </c>
      <c r="C820" s="31" t="s">
        <v>19</v>
      </c>
      <c r="D820" s="31"/>
      <c r="E820" s="31" t="s">
        <v>339</v>
      </c>
      <c r="F820" s="31">
        <v>0</v>
      </c>
      <c r="G820" s="31">
        <v>-12886.27</v>
      </c>
      <c r="H820" s="31">
        <f t="shared" si="24"/>
        <v>-12886.27</v>
      </c>
      <c r="I820" s="31">
        <v>2051</v>
      </c>
      <c r="J820" s="31">
        <f t="shared" si="25"/>
        <v>2</v>
      </c>
      <c r="K820" s="31" t="s">
        <v>90</v>
      </c>
      <c r="L820" s="31" t="str">
        <f>I820 &amp; "-" &amp;VLOOKUP(I820,Střediska!$A$1:$B$40,2,FALSE)</f>
        <v>2051-Mladší žákyně</v>
      </c>
      <c r="M820" s="32" t="str">
        <f>VLOOKUP(Zdroj!$I820,Střediska!$A$1:$B$41,2,FALSE)</f>
        <v>Mladší žákyně</v>
      </c>
    </row>
    <row r="821" spans="1:13" hidden="1" x14ac:dyDescent="0.2">
      <c r="A821" s="33" t="s">
        <v>601</v>
      </c>
      <c r="B821" s="34" t="s">
        <v>599</v>
      </c>
      <c r="C821" s="34" t="s">
        <v>106</v>
      </c>
      <c r="D821" s="34" t="s">
        <v>600</v>
      </c>
      <c r="E821" s="34" t="s">
        <v>602</v>
      </c>
      <c r="F821" s="34">
        <v>2300</v>
      </c>
      <c r="G821" s="34">
        <v>0</v>
      </c>
      <c r="H821" s="34">
        <f t="shared" si="24"/>
        <v>-2300</v>
      </c>
      <c r="I821" s="34">
        <v>2061</v>
      </c>
      <c r="J821" s="34">
        <f t="shared" si="25"/>
        <v>2</v>
      </c>
      <c r="K821" s="34" t="s">
        <v>148</v>
      </c>
      <c r="L821" s="34" t="str">
        <f>I821 &amp; "-" &amp;VLOOKUP(I821,Střediska!$A$1:$B$40,2,FALSE)</f>
        <v>2061-Elévky</v>
      </c>
      <c r="M821" s="35" t="str">
        <f>VLOOKUP(Zdroj!$I821,Střediska!$A$1:$B$41,2,FALSE)</f>
        <v>Elévky</v>
      </c>
    </row>
    <row r="822" spans="1:13" hidden="1" x14ac:dyDescent="0.2">
      <c r="A822" s="36" t="s">
        <v>20</v>
      </c>
      <c r="B822" s="31" t="s">
        <v>18</v>
      </c>
      <c r="C822" s="31" t="s">
        <v>19</v>
      </c>
      <c r="D822" s="31"/>
      <c r="E822" s="31" t="s">
        <v>21</v>
      </c>
      <c r="F822" s="31">
        <v>22826.67</v>
      </c>
      <c r="G822" s="31">
        <v>0</v>
      </c>
      <c r="H822" s="31">
        <f t="shared" si="24"/>
        <v>-22826.67</v>
      </c>
      <c r="I822" s="31">
        <v>2061</v>
      </c>
      <c r="J822" s="31">
        <f t="shared" si="25"/>
        <v>2</v>
      </c>
      <c r="K822" s="31" t="s">
        <v>17</v>
      </c>
      <c r="L822" s="31" t="str">
        <f>I822 &amp; "-" &amp;VLOOKUP(I822,Střediska!$A$1:$B$40,2,FALSE)</f>
        <v>2061-Elévky</v>
      </c>
      <c r="M822" s="32" t="str">
        <f>VLOOKUP(Zdroj!$I822,Střediska!$A$1:$B$41,2,FALSE)</f>
        <v>Elévky</v>
      </c>
    </row>
    <row r="823" spans="1:13" hidden="1" x14ac:dyDescent="0.2">
      <c r="A823" s="33" t="s">
        <v>1667</v>
      </c>
      <c r="B823" s="34" t="s">
        <v>1666</v>
      </c>
      <c r="C823" s="34" t="s">
        <v>19</v>
      </c>
      <c r="D823" s="34"/>
      <c r="E823" s="34" t="s">
        <v>1668</v>
      </c>
      <c r="F823" s="34">
        <v>1646</v>
      </c>
      <c r="G823" s="34">
        <v>0</v>
      </c>
      <c r="H823" s="34">
        <f t="shared" si="24"/>
        <v>-1646</v>
      </c>
      <c r="I823" s="34">
        <v>2061</v>
      </c>
      <c r="J823" s="34">
        <f t="shared" si="25"/>
        <v>2</v>
      </c>
      <c r="K823" s="34" t="s">
        <v>179</v>
      </c>
      <c r="L823" s="34" t="str">
        <f>I823 &amp; "-" &amp;VLOOKUP(I823,Střediska!$A$1:$B$40,2,FALSE)</f>
        <v>2061-Elévky</v>
      </c>
      <c r="M823" s="35" t="str">
        <f>VLOOKUP(Zdroj!$I823,Střediska!$A$1:$B$41,2,FALSE)</f>
        <v>Elévky</v>
      </c>
    </row>
    <row r="824" spans="1:13" hidden="1" x14ac:dyDescent="0.2">
      <c r="A824" s="36" t="s">
        <v>399</v>
      </c>
      <c r="B824" s="31" t="s">
        <v>1669</v>
      </c>
      <c r="C824" s="31" t="s">
        <v>64</v>
      </c>
      <c r="D824" s="31"/>
      <c r="E824" s="31" t="s">
        <v>95</v>
      </c>
      <c r="F824" s="31">
        <v>0</v>
      </c>
      <c r="G824" s="31">
        <v>4000</v>
      </c>
      <c r="H824" s="31">
        <f t="shared" si="24"/>
        <v>4000</v>
      </c>
      <c r="I824" s="31">
        <v>2061</v>
      </c>
      <c r="J824" s="31">
        <f t="shared" si="25"/>
        <v>2</v>
      </c>
      <c r="K824" s="31" t="s">
        <v>90</v>
      </c>
      <c r="L824" s="31" t="str">
        <f>I824 &amp; "-" &amp;VLOOKUP(I824,Střediska!$A$1:$B$40,2,FALSE)</f>
        <v>2061-Elévky</v>
      </c>
      <c r="M824" s="32" t="str">
        <f>VLOOKUP(Zdroj!$I824,Střediska!$A$1:$B$41,2,FALSE)</f>
        <v>Elévky</v>
      </c>
    </row>
    <row r="825" spans="1:13" hidden="1" x14ac:dyDescent="0.2">
      <c r="A825" s="33" t="s">
        <v>630</v>
      </c>
      <c r="B825" s="34" t="s">
        <v>1670</v>
      </c>
      <c r="C825" s="34" t="s">
        <v>64</v>
      </c>
      <c r="D825" s="34"/>
      <c r="E825" s="34" t="s">
        <v>1671</v>
      </c>
      <c r="F825" s="34">
        <v>0</v>
      </c>
      <c r="G825" s="34">
        <v>2000</v>
      </c>
      <c r="H825" s="34">
        <f t="shared" si="24"/>
        <v>2000</v>
      </c>
      <c r="I825" s="34">
        <v>2061</v>
      </c>
      <c r="J825" s="34">
        <f t="shared" si="25"/>
        <v>2</v>
      </c>
      <c r="K825" s="34" t="s">
        <v>90</v>
      </c>
      <c r="L825" s="34" t="str">
        <f>I825 &amp; "-" &amp;VLOOKUP(I825,Střediska!$A$1:$B$40,2,FALSE)</f>
        <v>2061-Elévky</v>
      </c>
      <c r="M825" s="35" t="str">
        <f>VLOOKUP(Zdroj!$I825,Střediska!$A$1:$B$41,2,FALSE)</f>
        <v>Elévky</v>
      </c>
    </row>
    <row r="826" spans="1:13" hidden="1" x14ac:dyDescent="0.2">
      <c r="A826" s="36" t="s">
        <v>630</v>
      </c>
      <c r="B826" s="31" t="s">
        <v>1672</v>
      </c>
      <c r="C826" s="31" t="s">
        <v>64</v>
      </c>
      <c r="D826" s="31"/>
      <c r="E826" s="31" t="s">
        <v>1673</v>
      </c>
      <c r="F826" s="31">
        <v>0</v>
      </c>
      <c r="G826" s="31">
        <v>4000</v>
      </c>
      <c r="H826" s="31">
        <f t="shared" si="24"/>
        <v>4000</v>
      </c>
      <c r="I826" s="31">
        <v>2061</v>
      </c>
      <c r="J826" s="31">
        <f t="shared" si="25"/>
        <v>2</v>
      </c>
      <c r="K826" s="31" t="s">
        <v>90</v>
      </c>
      <c r="L826" s="31" t="str">
        <f>I826 &amp; "-" &amp;VLOOKUP(I826,Střediska!$A$1:$B$40,2,FALSE)</f>
        <v>2061-Elévky</v>
      </c>
      <c r="M826" s="32" t="str">
        <f>VLOOKUP(Zdroj!$I826,Střediska!$A$1:$B$41,2,FALSE)</f>
        <v>Elévky</v>
      </c>
    </row>
    <row r="827" spans="1:13" hidden="1" x14ac:dyDescent="0.2">
      <c r="A827" s="33" t="s">
        <v>640</v>
      </c>
      <c r="B827" s="34" t="s">
        <v>1674</v>
      </c>
      <c r="C827" s="34" t="s">
        <v>64</v>
      </c>
      <c r="D827" s="34"/>
      <c r="E827" s="34" t="s">
        <v>1675</v>
      </c>
      <c r="F827" s="34">
        <v>0</v>
      </c>
      <c r="G827" s="34">
        <v>4000</v>
      </c>
      <c r="H827" s="34">
        <f t="shared" si="24"/>
        <v>4000</v>
      </c>
      <c r="I827" s="34">
        <v>2061</v>
      </c>
      <c r="J827" s="34">
        <f t="shared" si="25"/>
        <v>2</v>
      </c>
      <c r="K827" s="34" t="s">
        <v>90</v>
      </c>
      <c r="L827" s="34" t="str">
        <f>I827 &amp; "-" &amp;VLOOKUP(I827,Střediska!$A$1:$B$40,2,FALSE)</f>
        <v>2061-Elévky</v>
      </c>
      <c r="M827" s="35" t="str">
        <f>VLOOKUP(Zdroj!$I827,Střediska!$A$1:$B$41,2,FALSE)</f>
        <v>Elévky</v>
      </c>
    </row>
    <row r="828" spans="1:13" hidden="1" x14ac:dyDescent="0.2">
      <c r="A828" s="36" t="s">
        <v>817</v>
      </c>
      <c r="B828" s="31" t="s">
        <v>1676</v>
      </c>
      <c r="C828" s="31" t="s">
        <v>64</v>
      </c>
      <c r="D828" s="31"/>
      <c r="E828" s="31" t="s">
        <v>1677</v>
      </c>
      <c r="F828" s="31">
        <v>0</v>
      </c>
      <c r="G828" s="31">
        <v>100</v>
      </c>
      <c r="H828" s="31">
        <f t="shared" si="24"/>
        <v>100</v>
      </c>
      <c r="I828" s="31">
        <v>2061</v>
      </c>
      <c r="J828" s="31">
        <f t="shared" si="25"/>
        <v>2</v>
      </c>
      <c r="K828" s="31" t="s">
        <v>90</v>
      </c>
      <c r="L828" s="31" t="str">
        <f>I828 &amp; "-" &amp;VLOOKUP(I828,Střediska!$A$1:$B$40,2,FALSE)</f>
        <v>2061-Elévky</v>
      </c>
      <c r="M828" s="32" t="str">
        <f>VLOOKUP(Zdroj!$I828,Střediska!$A$1:$B$41,2,FALSE)</f>
        <v>Elévky</v>
      </c>
    </row>
    <row r="829" spans="1:13" hidden="1" x14ac:dyDescent="0.2">
      <c r="A829" s="33" t="s">
        <v>817</v>
      </c>
      <c r="B829" s="34" t="s">
        <v>1678</v>
      </c>
      <c r="C829" s="34" t="s">
        <v>64</v>
      </c>
      <c r="D829" s="34"/>
      <c r="E829" s="34" t="s">
        <v>1679</v>
      </c>
      <c r="F829" s="34">
        <v>0</v>
      </c>
      <c r="G829" s="34">
        <v>4000</v>
      </c>
      <c r="H829" s="34">
        <f t="shared" si="24"/>
        <v>4000</v>
      </c>
      <c r="I829" s="34">
        <v>2061</v>
      </c>
      <c r="J829" s="34">
        <f t="shared" si="25"/>
        <v>2</v>
      </c>
      <c r="K829" s="34" t="s">
        <v>90</v>
      </c>
      <c r="L829" s="34" t="str">
        <f>I829 &amp; "-" &amp;VLOOKUP(I829,Střediska!$A$1:$B$40,2,FALSE)</f>
        <v>2061-Elévky</v>
      </c>
      <c r="M829" s="35" t="str">
        <f>VLOOKUP(Zdroj!$I829,Střediska!$A$1:$B$41,2,FALSE)</f>
        <v>Elévky</v>
      </c>
    </row>
    <row r="830" spans="1:13" hidden="1" x14ac:dyDescent="0.2">
      <c r="A830" s="36" t="s">
        <v>817</v>
      </c>
      <c r="B830" s="31" t="s">
        <v>1680</v>
      </c>
      <c r="C830" s="31" t="s">
        <v>64</v>
      </c>
      <c r="D830" s="31"/>
      <c r="E830" s="31" t="s">
        <v>1681</v>
      </c>
      <c r="F830" s="31">
        <v>0</v>
      </c>
      <c r="G830" s="31">
        <v>2000</v>
      </c>
      <c r="H830" s="31">
        <f t="shared" si="24"/>
        <v>2000</v>
      </c>
      <c r="I830" s="31">
        <v>2061</v>
      </c>
      <c r="J830" s="31">
        <f t="shared" si="25"/>
        <v>2</v>
      </c>
      <c r="K830" s="31" t="s">
        <v>90</v>
      </c>
      <c r="L830" s="31" t="str">
        <f>I830 &amp; "-" &amp;VLOOKUP(I830,Střediska!$A$1:$B$40,2,FALSE)</f>
        <v>2061-Elévky</v>
      </c>
      <c r="M830" s="32" t="str">
        <f>VLOOKUP(Zdroj!$I830,Střediska!$A$1:$B$41,2,FALSE)</f>
        <v>Elévky</v>
      </c>
    </row>
    <row r="831" spans="1:13" hidden="1" x14ac:dyDescent="0.2">
      <c r="A831" s="33" t="s">
        <v>817</v>
      </c>
      <c r="B831" s="34" t="s">
        <v>1682</v>
      </c>
      <c r="C831" s="34" t="s">
        <v>64</v>
      </c>
      <c r="D831" s="34"/>
      <c r="E831" s="34" t="s">
        <v>95</v>
      </c>
      <c r="F831" s="34">
        <v>0</v>
      </c>
      <c r="G831" s="34">
        <v>4000</v>
      </c>
      <c r="H831" s="34">
        <f t="shared" si="24"/>
        <v>4000</v>
      </c>
      <c r="I831" s="34">
        <v>2061</v>
      </c>
      <c r="J831" s="34">
        <f t="shared" si="25"/>
        <v>2</v>
      </c>
      <c r="K831" s="34" t="s">
        <v>90</v>
      </c>
      <c r="L831" s="34" t="str">
        <f>I831 &amp; "-" &amp;VLOOKUP(I831,Střediska!$A$1:$B$40,2,FALSE)</f>
        <v>2061-Elévky</v>
      </c>
      <c r="M831" s="35" t="str">
        <f>VLOOKUP(Zdroj!$I831,Střediska!$A$1:$B$41,2,FALSE)</f>
        <v>Elévky</v>
      </c>
    </row>
    <row r="832" spans="1:13" hidden="1" x14ac:dyDescent="0.2">
      <c r="A832" s="36" t="s">
        <v>646</v>
      </c>
      <c r="B832" s="31" t="s">
        <v>1683</v>
      </c>
      <c r="C832" s="31" t="s">
        <v>64</v>
      </c>
      <c r="D832" s="31"/>
      <c r="E832" s="31" t="s">
        <v>1684</v>
      </c>
      <c r="F832" s="31">
        <v>0</v>
      </c>
      <c r="G832" s="31">
        <v>4000</v>
      </c>
      <c r="H832" s="31">
        <f t="shared" si="24"/>
        <v>4000</v>
      </c>
      <c r="I832" s="31">
        <v>2061</v>
      </c>
      <c r="J832" s="31">
        <f t="shared" si="25"/>
        <v>2</v>
      </c>
      <c r="K832" s="31" t="s">
        <v>90</v>
      </c>
      <c r="L832" s="31" t="str">
        <f>I832 &amp; "-" &amp;VLOOKUP(I832,Střediska!$A$1:$B$40,2,FALSE)</f>
        <v>2061-Elévky</v>
      </c>
      <c r="M832" s="32" t="str">
        <f>VLOOKUP(Zdroj!$I832,Střediska!$A$1:$B$41,2,FALSE)</f>
        <v>Elévky</v>
      </c>
    </row>
    <row r="833" spans="1:13" hidden="1" x14ac:dyDescent="0.2">
      <c r="A833" s="33" t="s">
        <v>646</v>
      </c>
      <c r="B833" s="34" t="s">
        <v>1685</v>
      </c>
      <c r="C833" s="34" t="s">
        <v>64</v>
      </c>
      <c r="D833" s="34"/>
      <c r="E833" s="34" t="s">
        <v>1686</v>
      </c>
      <c r="F833" s="34">
        <v>0</v>
      </c>
      <c r="G833" s="34">
        <v>4000</v>
      </c>
      <c r="H833" s="34">
        <f t="shared" si="24"/>
        <v>4000</v>
      </c>
      <c r="I833" s="34">
        <v>2061</v>
      </c>
      <c r="J833" s="34">
        <f t="shared" si="25"/>
        <v>2</v>
      </c>
      <c r="K833" s="34" t="s">
        <v>90</v>
      </c>
      <c r="L833" s="34" t="str">
        <f>I833 &amp; "-" &amp;VLOOKUP(I833,Střediska!$A$1:$B$40,2,FALSE)</f>
        <v>2061-Elévky</v>
      </c>
      <c r="M833" s="35" t="str">
        <f>VLOOKUP(Zdroj!$I833,Střediska!$A$1:$B$41,2,FALSE)</f>
        <v>Elévky</v>
      </c>
    </row>
    <row r="834" spans="1:13" hidden="1" x14ac:dyDescent="0.2">
      <c r="A834" s="36" t="s">
        <v>502</v>
      </c>
      <c r="B834" s="31" t="s">
        <v>1687</v>
      </c>
      <c r="C834" s="31" t="s">
        <v>64</v>
      </c>
      <c r="D834" s="31"/>
      <c r="E834" s="31" t="s">
        <v>1688</v>
      </c>
      <c r="F834" s="31">
        <v>0</v>
      </c>
      <c r="G834" s="31">
        <v>4000</v>
      </c>
      <c r="H834" s="31">
        <f t="shared" ref="H834:H897" si="26">-F834+G834</f>
        <v>4000</v>
      </c>
      <c r="I834" s="31">
        <v>2061</v>
      </c>
      <c r="J834" s="31">
        <f t="shared" ref="J834:J897" si="27">VALUE(LEFT(I834,1))</f>
        <v>2</v>
      </c>
      <c r="K834" s="31" t="s">
        <v>90</v>
      </c>
      <c r="L834" s="31" t="str">
        <f>I834 &amp; "-" &amp;VLOOKUP(I834,Střediska!$A$1:$B$40,2,FALSE)</f>
        <v>2061-Elévky</v>
      </c>
      <c r="M834" s="32" t="str">
        <f>VLOOKUP(Zdroj!$I834,Střediska!$A$1:$B$41,2,FALSE)</f>
        <v>Elévky</v>
      </c>
    </row>
    <row r="835" spans="1:13" hidden="1" x14ac:dyDescent="0.2">
      <c r="A835" s="33" t="s">
        <v>651</v>
      </c>
      <c r="B835" s="34" t="s">
        <v>1689</v>
      </c>
      <c r="C835" s="34" t="s">
        <v>64</v>
      </c>
      <c r="D835" s="34"/>
      <c r="E835" s="34" t="s">
        <v>1690</v>
      </c>
      <c r="F835" s="34">
        <v>0</v>
      </c>
      <c r="G835" s="34">
        <v>2000</v>
      </c>
      <c r="H835" s="34">
        <f t="shared" si="26"/>
        <v>2000</v>
      </c>
      <c r="I835" s="34">
        <v>2061</v>
      </c>
      <c r="J835" s="34">
        <f t="shared" si="27"/>
        <v>2</v>
      </c>
      <c r="K835" s="34" t="s">
        <v>90</v>
      </c>
      <c r="L835" s="34" t="str">
        <f>I835 &amp; "-" &amp;VLOOKUP(I835,Střediska!$A$1:$B$40,2,FALSE)</f>
        <v>2061-Elévky</v>
      </c>
      <c r="M835" s="35" t="str">
        <f>VLOOKUP(Zdroj!$I835,Střediska!$A$1:$B$41,2,FALSE)</f>
        <v>Elévky</v>
      </c>
    </row>
    <row r="836" spans="1:13" hidden="1" x14ac:dyDescent="0.2">
      <c r="A836" s="36" t="s">
        <v>404</v>
      </c>
      <c r="B836" s="31" t="s">
        <v>1691</v>
      </c>
      <c r="C836" s="31" t="s">
        <v>64</v>
      </c>
      <c r="D836" s="31"/>
      <c r="E836" s="31" t="s">
        <v>1692</v>
      </c>
      <c r="F836" s="31">
        <v>0</v>
      </c>
      <c r="G836" s="31">
        <v>4000</v>
      </c>
      <c r="H836" s="31">
        <f t="shared" si="26"/>
        <v>4000</v>
      </c>
      <c r="I836" s="31">
        <v>2061</v>
      </c>
      <c r="J836" s="31">
        <f t="shared" si="27"/>
        <v>2</v>
      </c>
      <c r="K836" s="31" t="s">
        <v>90</v>
      </c>
      <c r="L836" s="31" t="str">
        <f>I836 &amp; "-" &amp;VLOOKUP(I836,Střediska!$A$1:$B$40,2,FALSE)</f>
        <v>2061-Elévky</v>
      </c>
      <c r="M836" s="32" t="str">
        <f>VLOOKUP(Zdroj!$I836,Střediska!$A$1:$B$41,2,FALSE)</f>
        <v>Elévky</v>
      </c>
    </row>
    <row r="837" spans="1:13" hidden="1" x14ac:dyDescent="0.2">
      <c r="A837" s="33" t="s">
        <v>510</v>
      </c>
      <c r="B837" s="34" t="s">
        <v>1693</v>
      </c>
      <c r="C837" s="34" t="s">
        <v>64</v>
      </c>
      <c r="D837" s="34"/>
      <c r="E837" s="34" t="s">
        <v>1694</v>
      </c>
      <c r="F837" s="34">
        <v>0</v>
      </c>
      <c r="G837" s="34">
        <v>4000</v>
      </c>
      <c r="H837" s="34">
        <f t="shared" si="26"/>
        <v>4000</v>
      </c>
      <c r="I837" s="34">
        <v>2061</v>
      </c>
      <c r="J837" s="34">
        <f t="shared" si="27"/>
        <v>2</v>
      </c>
      <c r="K837" s="34" t="s">
        <v>90</v>
      </c>
      <c r="L837" s="34" t="str">
        <f>I837 &amp; "-" &amp;VLOOKUP(I837,Střediska!$A$1:$B$40,2,FALSE)</f>
        <v>2061-Elévky</v>
      </c>
      <c r="M837" s="35" t="str">
        <f>VLOOKUP(Zdroj!$I837,Střediska!$A$1:$B$41,2,FALSE)</f>
        <v>Elévky</v>
      </c>
    </row>
    <row r="838" spans="1:13" hidden="1" x14ac:dyDescent="0.2">
      <c r="A838" s="36" t="s">
        <v>513</v>
      </c>
      <c r="B838" s="31" t="s">
        <v>1695</v>
      </c>
      <c r="C838" s="31" t="s">
        <v>64</v>
      </c>
      <c r="D838" s="31"/>
      <c r="E838" s="31" t="s">
        <v>1696</v>
      </c>
      <c r="F838" s="31">
        <v>0</v>
      </c>
      <c r="G838" s="31">
        <v>4000</v>
      </c>
      <c r="H838" s="31">
        <f t="shared" si="26"/>
        <v>4000</v>
      </c>
      <c r="I838" s="31">
        <v>2061</v>
      </c>
      <c r="J838" s="31">
        <f t="shared" si="27"/>
        <v>2</v>
      </c>
      <c r="K838" s="31" t="s">
        <v>90</v>
      </c>
      <c r="L838" s="31" t="str">
        <f>I838 &amp; "-" &amp;VLOOKUP(I838,Střediska!$A$1:$B$40,2,FALSE)</f>
        <v>2061-Elévky</v>
      </c>
      <c r="M838" s="32" t="str">
        <f>VLOOKUP(Zdroj!$I838,Střediska!$A$1:$B$41,2,FALSE)</f>
        <v>Elévky</v>
      </c>
    </row>
    <row r="839" spans="1:13" hidden="1" x14ac:dyDescent="0.2">
      <c r="A839" s="33" t="s">
        <v>847</v>
      </c>
      <c r="B839" s="34" t="s">
        <v>1697</v>
      </c>
      <c r="C839" s="34" t="s">
        <v>64</v>
      </c>
      <c r="D839" s="34"/>
      <c r="E839" s="34" t="s">
        <v>95</v>
      </c>
      <c r="F839" s="34">
        <v>0</v>
      </c>
      <c r="G839" s="34">
        <v>4000</v>
      </c>
      <c r="H839" s="34">
        <f t="shared" si="26"/>
        <v>4000</v>
      </c>
      <c r="I839" s="34">
        <v>2061</v>
      </c>
      <c r="J839" s="34">
        <f t="shared" si="27"/>
        <v>2</v>
      </c>
      <c r="K839" s="34" t="s">
        <v>90</v>
      </c>
      <c r="L839" s="34" t="str">
        <f>I839 &amp; "-" &amp;VLOOKUP(I839,Střediska!$A$1:$B$40,2,FALSE)</f>
        <v>2061-Elévky</v>
      </c>
      <c r="M839" s="35" t="str">
        <f>VLOOKUP(Zdroj!$I839,Střediska!$A$1:$B$41,2,FALSE)</f>
        <v>Elévky</v>
      </c>
    </row>
    <row r="840" spans="1:13" hidden="1" x14ac:dyDescent="0.2">
      <c r="A840" s="36" t="s">
        <v>1513</v>
      </c>
      <c r="B840" s="31" t="s">
        <v>1698</v>
      </c>
      <c r="C840" s="31" t="s">
        <v>64</v>
      </c>
      <c r="D840" s="31"/>
      <c r="E840" s="31" t="s">
        <v>1699</v>
      </c>
      <c r="F840" s="31">
        <v>0</v>
      </c>
      <c r="G840" s="31">
        <v>4000</v>
      </c>
      <c r="H840" s="31">
        <f t="shared" si="26"/>
        <v>4000</v>
      </c>
      <c r="I840" s="31">
        <v>2061</v>
      </c>
      <c r="J840" s="31">
        <f t="shared" si="27"/>
        <v>2</v>
      </c>
      <c r="K840" s="31" t="s">
        <v>90</v>
      </c>
      <c r="L840" s="31" t="str">
        <f>I840 &amp; "-" &amp;VLOOKUP(I840,Střediska!$A$1:$B$40,2,FALSE)</f>
        <v>2061-Elévky</v>
      </c>
      <c r="M840" s="32" t="str">
        <f>VLOOKUP(Zdroj!$I840,Střediska!$A$1:$B$41,2,FALSE)</f>
        <v>Elévky</v>
      </c>
    </row>
    <row r="841" spans="1:13" hidden="1" x14ac:dyDescent="0.2">
      <c r="A841" s="33" t="s">
        <v>407</v>
      </c>
      <c r="B841" s="34" t="s">
        <v>1700</v>
      </c>
      <c r="C841" s="34" t="s">
        <v>64</v>
      </c>
      <c r="D841" s="34"/>
      <c r="E841" s="34" t="s">
        <v>1701</v>
      </c>
      <c r="F841" s="34">
        <v>0</v>
      </c>
      <c r="G841" s="34">
        <v>2000</v>
      </c>
      <c r="H841" s="34">
        <f t="shared" si="26"/>
        <v>2000</v>
      </c>
      <c r="I841" s="34">
        <v>2061</v>
      </c>
      <c r="J841" s="34">
        <f t="shared" si="27"/>
        <v>2</v>
      </c>
      <c r="K841" s="34" t="s">
        <v>90</v>
      </c>
      <c r="L841" s="34" t="str">
        <f>I841 &amp; "-" &amp;VLOOKUP(I841,Střediska!$A$1:$B$40,2,FALSE)</f>
        <v>2061-Elévky</v>
      </c>
      <c r="M841" s="35" t="str">
        <f>VLOOKUP(Zdroj!$I841,Střediska!$A$1:$B$41,2,FALSE)</f>
        <v>Elévky</v>
      </c>
    </row>
    <row r="842" spans="1:13" hidden="1" x14ac:dyDescent="0.2">
      <c r="A842" s="36" t="s">
        <v>25</v>
      </c>
      <c r="B842" s="31" t="s">
        <v>1702</v>
      </c>
      <c r="C842" s="31" t="s">
        <v>64</v>
      </c>
      <c r="D842" s="31"/>
      <c r="E842" s="31" t="s">
        <v>1703</v>
      </c>
      <c r="F842" s="31">
        <v>0</v>
      </c>
      <c r="G842" s="31">
        <v>4000</v>
      </c>
      <c r="H842" s="31">
        <f t="shared" si="26"/>
        <v>4000</v>
      </c>
      <c r="I842" s="31">
        <v>2061</v>
      </c>
      <c r="J842" s="31">
        <f t="shared" si="27"/>
        <v>2</v>
      </c>
      <c r="K842" s="31" t="s">
        <v>90</v>
      </c>
      <c r="L842" s="31" t="str">
        <f>I842 &amp; "-" &amp;VLOOKUP(I842,Střediska!$A$1:$B$40,2,FALSE)</f>
        <v>2061-Elévky</v>
      </c>
      <c r="M842" s="32" t="str">
        <f>VLOOKUP(Zdroj!$I842,Střediska!$A$1:$B$41,2,FALSE)</f>
        <v>Elévky</v>
      </c>
    </row>
    <row r="843" spans="1:13" hidden="1" x14ac:dyDescent="0.2">
      <c r="A843" s="33" t="s">
        <v>25</v>
      </c>
      <c r="B843" s="34" t="s">
        <v>1704</v>
      </c>
      <c r="C843" s="34" t="s">
        <v>64</v>
      </c>
      <c r="D843" s="34"/>
      <c r="E843" s="34" t="s">
        <v>1705</v>
      </c>
      <c r="F843" s="34">
        <v>0</v>
      </c>
      <c r="G843" s="34">
        <v>100</v>
      </c>
      <c r="H843" s="34">
        <f t="shared" si="26"/>
        <v>100</v>
      </c>
      <c r="I843" s="34">
        <v>2061</v>
      </c>
      <c r="J843" s="34">
        <f t="shared" si="27"/>
        <v>2</v>
      </c>
      <c r="K843" s="34" t="s">
        <v>90</v>
      </c>
      <c r="L843" s="34" t="str">
        <f>I843 &amp; "-" &amp;VLOOKUP(I843,Střediska!$A$1:$B$40,2,FALSE)</f>
        <v>2061-Elévky</v>
      </c>
      <c r="M843" s="35" t="str">
        <f>VLOOKUP(Zdroj!$I843,Střediska!$A$1:$B$41,2,FALSE)</f>
        <v>Elévky</v>
      </c>
    </row>
    <row r="844" spans="1:13" hidden="1" x14ac:dyDescent="0.2">
      <c r="A844" s="36" t="s">
        <v>25</v>
      </c>
      <c r="B844" s="31" t="s">
        <v>1706</v>
      </c>
      <c r="C844" s="31" t="s">
        <v>64</v>
      </c>
      <c r="D844" s="31"/>
      <c r="E844" s="31" t="s">
        <v>1707</v>
      </c>
      <c r="F844" s="31">
        <v>0</v>
      </c>
      <c r="G844" s="31">
        <v>4000</v>
      </c>
      <c r="H844" s="31">
        <f t="shared" si="26"/>
        <v>4000</v>
      </c>
      <c r="I844" s="31">
        <v>2061</v>
      </c>
      <c r="J844" s="31">
        <f t="shared" si="27"/>
        <v>2</v>
      </c>
      <c r="K844" s="31" t="s">
        <v>90</v>
      </c>
      <c r="L844" s="31" t="str">
        <f>I844 &amp; "-" &amp;VLOOKUP(I844,Střediska!$A$1:$B$40,2,FALSE)</f>
        <v>2061-Elévky</v>
      </c>
      <c r="M844" s="32" t="str">
        <f>VLOOKUP(Zdroj!$I844,Střediska!$A$1:$B$41,2,FALSE)</f>
        <v>Elévky</v>
      </c>
    </row>
    <row r="845" spans="1:13" hidden="1" x14ac:dyDescent="0.2">
      <c r="A845" s="33" t="s">
        <v>410</v>
      </c>
      <c r="B845" s="34" t="s">
        <v>1708</v>
      </c>
      <c r="C845" s="34" t="s">
        <v>64</v>
      </c>
      <c r="D845" s="34"/>
      <c r="E845" s="34" t="s">
        <v>1709</v>
      </c>
      <c r="F845" s="34">
        <v>0</v>
      </c>
      <c r="G845" s="34">
        <v>2000</v>
      </c>
      <c r="H845" s="34">
        <f t="shared" si="26"/>
        <v>2000</v>
      </c>
      <c r="I845" s="34">
        <v>2061</v>
      </c>
      <c r="J845" s="34">
        <f t="shared" si="27"/>
        <v>2</v>
      </c>
      <c r="K845" s="34" t="s">
        <v>90</v>
      </c>
      <c r="L845" s="34" t="str">
        <f>I845 &amp; "-" &amp;VLOOKUP(I845,Střediska!$A$1:$B$40,2,FALSE)</f>
        <v>2061-Elévky</v>
      </c>
      <c r="M845" s="35" t="str">
        <f>VLOOKUP(Zdroj!$I845,Střediska!$A$1:$B$41,2,FALSE)</f>
        <v>Elévky</v>
      </c>
    </row>
    <row r="846" spans="1:13" hidden="1" x14ac:dyDescent="0.2">
      <c r="A846" s="36" t="s">
        <v>410</v>
      </c>
      <c r="B846" s="31" t="s">
        <v>1710</v>
      </c>
      <c r="C846" s="31" t="s">
        <v>64</v>
      </c>
      <c r="D846" s="31"/>
      <c r="E846" s="31" t="s">
        <v>1711</v>
      </c>
      <c r="F846" s="31">
        <v>0</v>
      </c>
      <c r="G846" s="31">
        <v>4000</v>
      </c>
      <c r="H846" s="31">
        <f t="shared" si="26"/>
        <v>4000</v>
      </c>
      <c r="I846" s="31">
        <v>2061</v>
      </c>
      <c r="J846" s="31">
        <f t="shared" si="27"/>
        <v>2</v>
      </c>
      <c r="K846" s="31" t="s">
        <v>90</v>
      </c>
      <c r="L846" s="31" t="str">
        <f>I846 &amp; "-" &amp;VLOOKUP(I846,Střediska!$A$1:$B$40,2,FALSE)</f>
        <v>2061-Elévky</v>
      </c>
      <c r="M846" s="32" t="str">
        <f>VLOOKUP(Zdroj!$I846,Střediska!$A$1:$B$41,2,FALSE)</f>
        <v>Elévky</v>
      </c>
    </row>
    <row r="847" spans="1:13" hidden="1" x14ac:dyDescent="0.2">
      <c r="A847" s="33" t="s">
        <v>381</v>
      </c>
      <c r="B847" s="34" t="s">
        <v>1712</v>
      </c>
      <c r="C847" s="34" t="s">
        <v>64</v>
      </c>
      <c r="D847" s="34"/>
      <c r="E847" s="34" t="s">
        <v>1713</v>
      </c>
      <c r="F847" s="34">
        <v>0</v>
      </c>
      <c r="G847" s="34">
        <v>4000</v>
      </c>
      <c r="H847" s="34">
        <f t="shared" si="26"/>
        <v>4000</v>
      </c>
      <c r="I847" s="34">
        <v>2061</v>
      </c>
      <c r="J847" s="34">
        <f t="shared" si="27"/>
        <v>2</v>
      </c>
      <c r="K847" s="34" t="s">
        <v>90</v>
      </c>
      <c r="L847" s="34" t="str">
        <f>I847 &amp; "-" &amp;VLOOKUP(I847,Střediska!$A$1:$B$40,2,FALSE)</f>
        <v>2061-Elévky</v>
      </c>
      <c r="M847" s="35" t="str">
        <f>VLOOKUP(Zdroj!$I847,Střediska!$A$1:$B$41,2,FALSE)</f>
        <v>Elévky</v>
      </c>
    </row>
    <row r="848" spans="1:13" hidden="1" x14ac:dyDescent="0.2">
      <c r="A848" s="36" t="s">
        <v>413</v>
      </c>
      <c r="B848" s="31" t="s">
        <v>1714</v>
      </c>
      <c r="C848" s="31" t="s">
        <v>64</v>
      </c>
      <c r="D848" s="31"/>
      <c r="E848" s="31" t="s">
        <v>1715</v>
      </c>
      <c r="F848" s="31">
        <v>0</v>
      </c>
      <c r="G848" s="31">
        <v>4000</v>
      </c>
      <c r="H848" s="31">
        <f t="shared" si="26"/>
        <v>4000</v>
      </c>
      <c r="I848" s="31">
        <v>2061</v>
      </c>
      <c r="J848" s="31">
        <f t="shared" si="27"/>
        <v>2</v>
      </c>
      <c r="K848" s="31" t="s">
        <v>90</v>
      </c>
      <c r="L848" s="31" t="str">
        <f>I848 &amp; "-" &amp;VLOOKUP(I848,Střediska!$A$1:$B$40,2,FALSE)</f>
        <v>2061-Elévky</v>
      </c>
      <c r="M848" s="32" t="str">
        <f>VLOOKUP(Zdroj!$I848,Střediska!$A$1:$B$41,2,FALSE)</f>
        <v>Elévky</v>
      </c>
    </row>
    <row r="849" spans="1:13" hidden="1" x14ac:dyDescent="0.2">
      <c r="A849" s="33" t="s">
        <v>775</v>
      </c>
      <c r="B849" s="34" t="s">
        <v>1716</v>
      </c>
      <c r="C849" s="34" t="s">
        <v>64</v>
      </c>
      <c r="D849" s="34"/>
      <c r="E849" s="34" t="s">
        <v>1717</v>
      </c>
      <c r="F849" s="34">
        <v>0</v>
      </c>
      <c r="G849" s="34">
        <v>3200</v>
      </c>
      <c r="H849" s="34">
        <f t="shared" si="26"/>
        <v>3200</v>
      </c>
      <c r="I849" s="34">
        <v>2061</v>
      </c>
      <c r="J849" s="34">
        <f t="shared" si="27"/>
        <v>2</v>
      </c>
      <c r="K849" s="34" t="s">
        <v>90</v>
      </c>
      <c r="L849" s="34" t="str">
        <f>I849 &amp; "-" &amp;VLOOKUP(I849,Střediska!$A$1:$B$40,2,FALSE)</f>
        <v>2061-Elévky</v>
      </c>
      <c r="M849" s="35" t="str">
        <f>VLOOKUP(Zdroj!$I849,Střediska!$A$1:$B$41,2,FALSE)</f>
        <v>Elévky</v>
      </c>
    </row>
    <row r="850" spans="1:13" hidden="1" x14ac:dyDescent="0.2">
      <c r="A850" s="36" t="s">
        <v>1719</v>
      </c>
      <c r="B850" s="31" t="s">
        <v>1718</v>
      </c>
      <c r="C850" s="31" t="s">
        <v>64</v>
      </c>
      <c r="D850" s="31"/>
      <c r="E850" s="31" t="s">
        <v>95</v>
      </c>
      <c r="F850" s="31">
        <v>0</v>
      </c>
      <c r="G850" s="31">
        <v>2000</v>
      </c>
      <c r="H850" s="31">
        <f t="shared" si="26"/>
        <v>2000</v>
      </c>
      <c r="I850" s="31">
        <v>2061</v>
      </c>
      <c r="J850" s="31">
        <f t="shared" si="27"/>
        <v>2</v>
      </c>
      <c r="K850" s="31" t="s">
        <v>90</v>
      </c>
      <c r="L850" s="31" t="str">
        <f>I850 &amp; "-" &amp;VLOOKUP(I850,Střediska!$A$1:$B$40,2,FALSE)</f>
        <v>2061-Elévky</v>
      </c>
      <c r="M850" s="32" t="str">
        <f>VLOOKUP(Zdroj!$I850,Střediska!$A$1:$B$41,2,FALSE)</f>
        <v>Elévky</v>
      </c>
    </row>
    <row r="851" spans="1:13" hidden="1" x14ac:dyDescent="0.2">
      <c r="A851" s="33" t="s">
        <v>256</v>
      </c>
      <c r="B851" s="34" t="s">
        <v>1720</v>
      </c>
      <c r="C851" s="34" t="s">
        <v>64</v>
      </c>
      <c r="D851" s="34"/>
      <c r="E851" s="34" t="s">
        <v>1721</v>
      </c>
      <c r="F851" s="34">
        <v>0</v>
      </c>
      <c r="G851" s="34">
        <v>4100</v>
      </c>
      <c r="H851" s="34">
        <f t="shared" si="26"/>
        <v>4100</v>
      </c>
      <c r="I851" s="34">
        <v>2061</v>
      </c>
      <c r="J851" s="34">
        <f t="shared" si="27"/>
        <v>2</v>
      </c>
      <c r="K851" s="34" t="s">
        <v>90</v>
      </c>
      <c r="L851" s="34" t="str">
        <f>I851 &amp; "-" &amp;VLOOKUP(I851,Střediska!$A$1:$B$40,2,FALSE)</f>
        <v>2061-Elévky</v>
      </c>
      <c r="M851" s="35" t="str">
        <f>VLOOKUP(Zdroj!$I851,Střediska!$A$1:$B$41,2,FALSE)</f>
        <v>Elévky</v>
      </c>
    </row>
    <row r="852" spans="1:13" hidden="1" x14ac:dyDescent="0.2">
      <c r="A852" s="36" t="s">
        <v>541</v>
      </c>
      <c r="B852" s="31" t="s">
        <v>1722</v>
      </c>
      <c r="C852" s="31" t="s">
        <v>64</v>
      </c>
      <c r="D852" s="31"/>
      <c r="E852" s="31" t="s">
        <v>95</v>
      </c>
      <c r="F852" s="31">
        <v>0</v>
      </c>
      <c r="G852" s="31">
        <v>4100</v>
      </c>
      <c r="H852" s="31">
        <f t="shared" si="26"/>
        <v>4100</v>
      </c>
      <c r="I852" s="31">
        <v>2061</v>
      </c>
      <c r="J852" s="31">
        <f t="shared" si="27"/>
        <v>2</v>
      </c>
      <c r="K852" s="31" t="s">
        <v>90</v>
      </c>
      <c r="L852" s="31" t="str">
        <f>I852 &amp; "-" &amp;VLOOKUP(I852,Střediska!$A$1:$B$40,2,FALSE)</f>
        <v>2061-Elévky</v>
      </c>
      <c r="M852" s="32" t="str">
        <f>VLOOKUP(Zdroj!$I852,Střediska!$A$1:$B$41,2,FALSE)</f>
        <v>Elévky</v>
      </c>
    </row>
    <row r="853" spans="1:13" hidden="1" x14ac:dyDescent="0.2">
      <c r="A853" s="33" t="s">
        <v>544</v>
      </c>
      <c r="B853" s="34" t="s">
        <v>1723</v>
      </c>
      <c r="C853" s="34" t="s">
        <v>64</v>
      </c>
      <c r="D853" s="34"/>
      <c r="E853" s="34" t="s">
        <v>1724</v>
      </c>
      <c r="F853" s="34">
        <v>0</v>
      </c>
      <c r="G853" s="34">
        <v>2050</v>
      </c>
      <c r="H853" s="34">
        <f t="shared" si="26"/>
        <v>2050</v>
      </c>
      <c r="I853" s="34">
        <v>2061</v>
      </c>
      <c r="J853" s="34">
        <f t="shared" si="27"/>
        <v>2</v>
      </c>
      <c r="K853" s="34" t="s">
        <v>90</v>
      </c>
      <c r="L853" s="34" t="str">
        <f>I853 &amp; "-" &amp;VLOOKUP(I853,Střediska!$A$1:$B$40,2,FALSE)</f>
        <v>2061-Elévky</v>
      </c>
      <c r="M853" s="35" t="str">
        <f>VLOOKUP(Zdroj!$I853,Střediska!$A$1:$B$41,2,FALSE)</f>
        <v>Elévky</v>
      </c>
    </row>
    <row r="854" spans="1:13" hidden="1" x14ac:dyDescent="0.2">
      <c r="A854" s="36" t="s">
        <v>433</v>
      </c>
      <c r="B854" s="31" t="s">
        <v>1725</v>
      </c>
      <c r="C854" s="31" t="s">
        <v>64</v>
      </c>
      <c r="D854" s="31"/>
      <c r="E854" s="31" t="s">
        <v>1726</v>
      </c>
      <c r="F854" s="31">
        <v>0</v>
      </c>
      <c r="G854" s="31">
        <v>4100</v>
      </c>
      <c r="H854" s="31">
        <f t="shared" si="26"/>
        <v>4100</v>
      </c>
      <c r="I854" s="31">
        <v>2061</v>
      </c>
      <c r="J854" s="31">
        <f t="shared" si="27"/>
        <v>2</v>
      </c>
      <c r="K854" s="31" t="s">
        <v>90</v>
      </c>
      <c r="L854" s="31" t="str">
        <f>I854 &amp; "-" &amp;VLOOKUP(I854,Střediska!$A$1:$B$40,2,FALSE)</f>
        <v>2061-Elévky</v>
      </c>
      <c r="M854" s="32" t="str">
        <f>VLOOKUP(Zdroj!$I854,Střediska!$A$1:$B$41,2,FALSE)</f>
        <v>Elévky</v>
      </c>
    </row>
    <row r="855" spans="1:13" hidden="1" x14ac:dyDescent="0.2">
      <c r="A855" s="33" t="s">
        <v>261</v>
      </c>
      <c r="B855" s="34" t="s">
        <v>1727</v>
      </c>
      <c r="C855" s="34" t="s">
        <v>64</v>
      </c>
      <c r="D855" s="34"/>
      <c r="E855" s="34" t="s">
        <v>1728</v>
      </c>
      <c r="F855" s="34">
        <v>0</v>
      </c>
      <c r="G855" s="34">
        <v>4100</v>
      </c>
      <c r="H855" s="34">
        <f t="shared" si="26"/>
        <v>4100</v>
      </c>
      <c r="I855" s="34">
        <v>2061</v>
      </c>
      <c r="J855" s="34">
        <f t="shared" si="27"/>
        <v>2</v>
      </c>
      <c r="K855" s="34" t="s">
        <v>90</v>
      </c>
      <c r="L855" s="34" t="str">
        <f>I855 &amp; "-" &amp;VLOOKUP(I855,Střediska!$A$1:$B$40,2,FALSE)</f>
        <v>2061-Elévky</v>
      </c>
      <c r="M855" s="35" t="str">
        <f>VLOOKUP(Zdroj!$I855,Střediska!$A$1:$B$41,2,FALSE)</f>
        <v>Elévky</v>
      </c>
    </row>
    <row r="856" spans="1:13" hidden="1" x14ac:dyDescent="0.2">
      <c r="A856" s="36" t="s">
        <v>705</v>
      </c>
      <c r="B856" s="31" t="s">
        <v>1729</v>
      </c>
      <c r="C856" s="31" t="s">
        <v>64</v>
      </c>
      <c r="D856" s="31"/>
      <c r="E856" s="31" t="s">
        <v>1730</v>
      </c>
      <c r="F856" s="31">
        <v>0</v>
      </c>
      <c r="G856" s="31">
        <v>2050</v>
      </c>
      <c r="H856" s="31">
        <f t="shared" si="26"/>
        <v>2050</v>
      </c>
      <c r="I856" s="31">
        <v>2061</v>
      </c>
      <c r="J856" s="31">
        <f t="shared" si="27"/>
        <v>2</v>
      </c>
      <c r="K856" s="31" t="s">
        <v>90</v>
      </c>
      <c r="L856" s="31" t="str">
        <f>I856 &amp; "-" &amp;VLOOKUP(I856,Střediska!$A$1:$B$40,2,FALSE)</f>
        <v>2061-Elévky</v>
      </c>
      <c r="M856" s="32" t="str">
        <f>VLOOKUP(Zdroj!$I856,Střediska!$A$1:$B$41,2,FALSE)</f>
        <v>Elévky</v>
      </c>
    </row>
    <row r="857" spans="1:13" hidden="1" x14ac:dyDescent="0.2">
      <c r="A857" s="33" t="s">
        <v>709</v>
      </c>
      <c r="B857" s="34" t="s">
        <v>1731</v>
      </c>
      <c r="C857" s="34" t="s">
        <v>64</v>
      </c>
      <c r="D857" s="34"/>
      <c r="E857" s="34" t="s">
        <v>95</v>
      </c>
      <c r="F857" s="34">
        <v>0</v>
      </c>
      <c r="G857" s="34">
        <v>4100</v>
      </c>
      <c r="H857" s="34">
        <f t="shared" si="26"/>
        <v>4100</v>
      </c>
      <c r="I857" s="34">
        <v>2061</v>
      </c>
      <c r="J857" s="34">
        <f t="shared" si="27"/>
        <v>2</v>
      </c>
      <c r="K857" s="34" t="s">
        <v>90</v>
      </c>
      <c r="L857" s="34" t="str">
        <f>I857 &amp; "-" &amp;VLOOKUP(I857,Střediska!$A$1:$B$40,2,FALSE)</f>
        <v>2061-Elévky</v>
      </c>
      <c r="M857" s="35" t="str">
        <f>VLOOKUP(Zdroj!$I857,Střediska!$A$1:$B$41,2,FALSE)</f>
        <v>Elévky</v>
      </c>
    </row>
    <row r="858" spans="1:13" hidden="1" x14ac:dyDescent="0.2">
      <c r="A858" s="36" t="s">
        <v>264</v>
      </c>
      <c r="B858" s="31" t="s">
        <v>1732</v>
      </c>
      <c r="C858" s="31" t="s">
        <v>64</v>
      </c>
      <c r="D858" s="31"/>
      <c r="E858" s="31" t="s">
        <v>1733</v>
      </c>
      <c r="F858" s="31">
        <v>0</v>
      </c>
      <c r="G858" s="31">
        <v>4100</v>
      </c>
      <c r="H858" s="31">
        <f t="shared" si="26"/>
        <v>4100</v>
      </c>
      <c r="I858" s="31">
        <v>2061</v>
      </c>
      <c r="J858" s="31">
        <f t="shared" si="27"/>
        <v>2</v>
      </c>
      <c r="K858" s="31" t="s">
        <v>90</v>
      </c>
      <c r="L858" s="31" t="str">
        <f>I858 &amp; "-" &amp;VLOOKUP(I858,Střediska!$A$1:$B$40,2,FALSE)</f>
        <v>2061-Elévky</v>
      </c>
      <c r="M858" s="32" t="str">
        <f>VLOOKUP(Zdroj!$I858,Střediska!$A$1:$B$41,2,FALSE)</f>
        <v>Elévky</v>
      </c>
    </row>
    <row r="859" spans="1:13" hidden="1" x14ac:dyDescent="0.2">
      <c r="A859" s="33" t="s">
        <v>264</v>
      </c>
      <c r="B859" s="34" t="s">
        <v>1734</v>
      </c>
      <c r="C859" s="34" t="s">
        <v>64</v>
      </c>
      <c r="D859" s="34"/>
      <c r="E859" s="34" t="s">
        <v>1735</v>
      </c>
      <c r="F859" s="34">
        <v>0</v>
      </c>
      <c r="G859" s="34">
        <v>2050</v>
      </c>
      <c r="H859" s="34">
        <f t="shared" si="26"/>
        <v>2050</v>
      </c>
      <c r="I859" s="34">
        <v>2061</v>
      </c>
      <c r="J859" s="34">
        <f t="shared" si="27"/>
        <v>2</v>
      </c>
      <c r="K859" s="34" t="s">
        <v>90</v>
      </c>
      <c r="L859" s="34" t="str">
        <f>I859 &amp; "-" &amp;VLOOKUP(I859,Střediska!$A$1:$B$40,2,FALSE)</f>
        <v>2061-Elévky</v>
      </c>
      <c r="M859" s="35" t="str">
        <f>VLOOKUP(Zdroj!$I859,Střediska!$A$1:$B$41,2,FALSE)</f>
        <v>Elévky</v>
      </c>
    </row>
    <row r="860" spans="1:13" hidden="1" x14ac:dyDescent="0.2">
      <c r="A860" s="36" t="s">
        <v>267</v>
      </c>
      <c r="B860" s="31" t="s">
        <v>1736</v>
      </c>
      <c r="C860" s="31" t="s">
        <v>64</v>
      </c>
      <c r="D860" s="31"/>
      <c r="E860" s="31" t="s">
        <v>1737</v>
      </c>
      <c r="F860" s="31">
        <v>0</v>
      </c>
      <c r="G860" s="31">
        <v>4100</v>
      </c>
      <c r="H860" s="31">
        <f t="shared" si="26"/>
        <v>4100</v>
      </c>
      <c r="I860" s="31">
        <v>2061</v>
      </c>
      <c r="J860" s="31">
        <f t="shared" si="27"/>
        <v>2</v>
      </c>
      <c r="K860" s="31" t="s">
        <v>90</v>
      </c>
      <c r="L860" s="31" t="str">
        <f>I860 &amp; "-" &amp;VLOOKUP(I860,Střediska!$A$1:$B$40,2,FALSE)</f>
        <v>2061-Elévky</v>
      </c>
      <c r="M860" s="32" t="str">
        <f>VLOOKUP(Zdroj!$I860,Střediska!$A$1:$B$41,2,FALSE)</f>
        <v>Elévky</v>
      </c>
    </row>
    <row r="861" spans="1:13" hidden="1" x14ac:dyDescent="0.2">
      <c r="A861" s="33" t="s">
        <v>49</v>
      </c>
      <c r="B861" s="34" t="s">
        <v>91</v>
      </c>
      <c r="C861" s="34" t="s">
        <v>19</v>
      </c>
      <c r="D861" s="34"/>
      <c r="E861" s="34" t="s">
        <v>93</v>
      </c>
      <c r="F861" s="34">
        <v>0</v>
      </c>
      <c r="G861" s="34">
        <v>9354.7000000000007</v>
      </c>
      <c r="H861" s="34">
        <f t="shared" si="26"/>
        <v>9354.7000000000007</v>
      </c>
      <c r="I861" s="34">
        <v>2061</v>
      </c>
      <c r="J861" s="34">
        <f t="shared" si="27"/>
        <v>2</v>
      </c>
      <c r="K861" s="34" t="s">
        <v>90</v>
      </c>
      <c r="L861" s="34" t="str">
        <f>I861 &amp; "-" &amp;VLOOKUP(I861,Střediska!$A$1:$B$40,2,FALSE)</f>
        <v>2061-Elévky</v>
      </c>
      <c r="M861" s="35" t="str">
        <f>VLOOKUP(Zdroj!$I861,Střediska!$A$1:$B$41,2,FALSE)</f>
        <v>Elévky</v>
      </c>
    </row>
    <row r="862" spans="1:13" hidden="1" x14ac:dyDescent="0.2">
      <c r="A862" s="36" t="s">
        <v>349</v>
      </c>
      <c r="B862" s="31" t="s">
        <v>1738</v>
      </c>
      <c r="C862" s="31" t="s">
        <v>64</v>
      </c>
      <c r="D862" s="31"/>
      <c r="E862" s="31" t="s">
        <v>1739</v>
      </c>
      <c r="F862" s="31">
        <v>0</v>
      </c>
      <c r="G862" s="31">
        <v>4100</v>
      </c>
      <c r="H862" s="31">
        <f t="shared" si="26"/>
        <v>4100</v>
      </c>
      <c r="I862" s="31">
        <v>2061</v>
      </c>
      <c r="J862" s="31">
        <f t="shared" si="27"/>
        <v>2</v>
      </c>
      <c r="K862" s="31" t="s">
        <v>90</v>
      </c>
      <c r="L862" s="31" t="str">
        <f>I862 &amp; "-" &amp;VLOOKUP(I862,Střediska!$A$1:$B$40,2,FALSE)</f>
        <v>2061-Elévky</v>
      </c>
      <c r="M862" s="32" t="str">
        <f>VLOOKUP(Zdroj!$I862,Střediska!$A$1:$B$41,2,FALSE)</f>
        <v>Elévky</v>
      </c>
    </row>
    <row r="863" spans="1:13" hidden="1" x14ac:dyDescent="0.2">
      <c r="A863" s="33" t="s">
        <v>349</v>
      </c>
      <c r="B863" s="34" t="s">
        <v>1740</v>
      </c>
      <c r="C863" s="34" t="s">
        <v>64</v>
      </c>
      <c r="D863" s="34"/>
      <c r="E863" s="34" t="s">
        <v>1741</v>
      </c>
      <c r="F863" s="34">
        <v>0</v>
      </c>
      <c r="G863" s="34">
        <v>4100</v>
      </c>
      <c r="H863" s="34">
        <f t="shared" si="26"/>
        <v>4100</v>
      </c>
      <c r="I863" s="34">
        <v>2061</v>
      </c>
      <c r="J863" s="34">
        <f t="shared" si="27"/>
        <v>2</v>
      </c>
      <c r="K863" s="34" t="s">
        <v>90</v>
      </c>
      <c r="L863" s="34" t="str">
        <f>I863 &amp; "-" &amp;VLOOKUP(I863,Střediska!$A$1:$B$40,2,FALSE)</f>
        <v>2061-Elévky</v>
      </c>
      <c r="M863" s="35" t="str">
        <f>VLOOKUP(Zdroj!$I863,Střediska!$A$1:$B$41,2,FALSE)</f>
        <v>Elévky</v>
      </c>
    </row>
    <row r="864" spans="1:13" hidden="1" x14ac:dyDescent="0.2">
      <c r="A864" s="36" t="s">
        <v>349</v>
      </c>
      <c r="B864" s="31" t="s">
        <v>1742</v>
      </c>
      <c r="C864" s="31" t="s">
        <v>64</v>
      </c>
      <c r="D864" s="31"/>
      <c r="E864" s="31" t="s">
        <v>1743</v>
      </c>
      <c r="F864" s="31">
        <v>0</v>
      </c>
      <c r="G864" s="31">
        <v>4100</v>
      </c>
      <c r="H864" s="31">
        <f t="shared" si="26"/>
        <v>4100</v>
      </c>
      <c r="I864" s="31">
        <v>2061</v>
      </c>
      <c r="J864" s="31">
        <f t="shared" si="27"/>
        <v>2</v>
      </c>
      <c r="K864" s="31" t="s">
        <v>90</v>
      </c>
      <c r="L864" s="31" t="str">
        <f>I864 &amp; "-" &amp;VLOOKUP(I864,Střediska!$A$1:$B$40,2,FALSE)</f>
        <v>2061-Elévky</v>
      </c>
      <c r="M864" s="32" t="str">
        <f>VLOOKUP(Zdroj!$I864,Střediska!$A$1:$B$41,2,FALSE)</f>
        <v>Elévky</v>
      </c>
    </row>
    <row r="865" spans="1:17" hidden="1" x14ac:dyDescent="0.2">
      <c r="A865" s="33" t="s">
        <v>199</v>
      </c>
      <c r="B865" s="34" t="s">
        <v>1744</v>
      </c>
      <c r="C865" s="34" t="s">
        <v>64</v>
      </c>
      <c r="D865" s="34"/>
      <c r="E865" s="34" t="s">
        <v>1745</v>
      </c>
      <c r="F865" s="34">
        <v>0</v>
      </c>
      <c r="G865" s="34">
        <v>4100</v>
      </c>
      <c r="H865" s="34">
        <f t="shared" si="26"/>
        <v>4100</v>
      </c>
      <c r="I865" s="34">
        <v>2061</v>
      </c>
      <c r="J865" s="34">
        <f t="shared" si="27"/>
        <v>2</v>
      </c>
      <c r="K865" s="34" t="s">
        <v>90</v>
      </c>
      <c r="L865" s="34" t="str">
        <f>I865 &amp; "-" &amp;VLOOKUP(I865,Střediska!$A$1:$B$40,2,FALSE)</f>
        <v>2061-Elévky</v>
      </c>
      <c r="M865" s="35" t="str">
        <f>VLOOKUP(Zdroj!$I865,Střediska!$A$1:$B$41,2,FALSE)</f>
        <v>Elévky</v>
      </c>
    </row>
    <row r="866" spans="1:17" hidden="1" x14ac:dyDescent="0.2">
      <c r="A866" s="36" t="s">
        <v>451</v>
      </c>
      <c r="B866" s="31" t="s">
        <v>1746</v>
      </c>
      <c r="C866" s="31" t="s">
        <v>64</v>
      </c>
      <c r="D866" s="31"/>
      <c r="E866" s="31" t="s">
        <v>1747</v>
      </c>
      <c r="F866" s="31">
        <v>0</v>
      </c>
      <c r="G866" s="31">
        <v>4100</v>
      </c>
      <c r="H866" s="31">
        <f t="shared" si="26"/>
        <v>4100</v>
      </c>
      <c r="I866" s="31">
        <v>2061</v>
      </c>
      <c r="J866" s="31">
        <f t="shared" si="27"/>
        <v>2</v>
      </c>
      <c r="K866" s="31" t="s">
        <v>90</v>
      </c>
      <c r="L866" s="31" t="str">
        <f>I866 &amp; "-" &amp;VLOOKUP(I866,Střediska!$A$1:$B$40,2,FALSE)</f>
        <v>2061-Elévky</v>
      </c>
      <c r="M866" s="32" t="str">
        <f>VLOOKUP(Zdroj!$I866,Střediska!$A$1:$B$41,2,FALSE)</f>
        <v>Elévky</v>
      </c>
    </row>
    <row r="867" spans="1:17" hidden="1" x14ac:dyDescent="0.2">
      <c r="A867" s="33" t="s">
        <v>948</v>
      </c>
      <c r="B867" s="34" t="s">
        <v>1748</v>
      </c>
      <c r="C867" s="34" t="s">
        <v>64</v>
      </c>
      <c r="D867" s="34"/>
      <c r="E867" s="34" t="s">
        <v>1749</v>
      </c>
      <c r="F867" s="34">
        <v>0</v>
      </c>
      <c r="G867" s="34">
        <v>4100</v>
      </c>
      <c r="H867" s="34">
        <f t="shared" si="26"/>
        <v>4100</v>
      </c>
      <c r="I867" s="34">
        <v>2061</v>
      </c>
      <c r="J867" s="34">
        <f t="shared" si="27"/>
        <v>2</v>
      </c>
      <c r="K867" s="34" t="s">
        <v>90</v>
      </c>
      <c r="L867" s="34" t="str">
        <f>I867 &amp; "-" &amp;VLOOKUP(I867,Střediska!$A$1:$B$40,2,FALSE)</f>
        <v>2061-Elévky</v>
      </c>
      <c r="M867" s="35" t="str">
        <f>VLOOKUP(Zdroj!$I867,Střediska!$A$1:$B$41,2,FALSE)</f>
        <v>Elévky</v>
      </c>
    </row>
    <row r="868" spans="1:17" hidden="1" x14ac:dyDescent="0.2">
      <c r="A868" s="36" t="s">
        <v>1752</v>
      </c>
      <c r="B868" s="31" t="s">
        <v>1751</v>
      </c>
      <c r="C868" s="31" t="s">
        <v>64</v>
      </c>
      <c r="D868" s="31"/>
      <c r="E868" s="31" t="s">
        <v>1753</v>
      </c>
      <c r="F868" s="31">
        <v>0</v>
      </c>
      <c r="G868" s="31">
        <v>-1230</v>
      </c>
      <c r="H868" s="31">
        <f t="shared" si="26"/>
        <v>-1230</v>
      </c>
      <c r="I868" s="31">
        <v>2061</v>
      </c>
      <c r="J868" s="31">
        <f t="shared" si="27"/>
        <v>2</v>
      </c>
      <c r="K868" s="31" t="s">
        <v>90</v>
      </c>
      <c r="L868" s="31" t="str">
        <f>I868 &amp; "-" &amp;VLOOKUP(I868,Střediska!$A$1:$B$40,2,FALSE)</f>
        <v>2061-Elévky</v>
      </c>
      <c r="M868" s="32" t="str">
        <f>VLOOKUP(Zdroj!$I868,Střediska!$A$1:$B$41,2,FALSE)</f>
        <v>Elévky</v>
      </c>
    </row>
    <row r="869" spans="1:17" hidden="1" x14ac:dyDescent="0.2">
      <c r="A869" s="33" t="s">
        <v>282</v>
      </c>
      <c r="B869" s="34" t="s">
        <v>1754</v>
      </c>
      <c r="C869" s="34" t="s">
        <v>64</v>
      </c>
      <c r="D869" s="34"/>
      <c r="E869" s="34" t="s">
        <v>1755</v>
      </c>
      <c r="F869" s="34">
        <v>0</v>
      </c>
      <c r="G869" s="34">
        <v>4100</v>
      </c>
      <c r="H869" s="34">
        <f t="shared" si="26"/>
        <v>4100</v>
      </c>
      <c r="I869" s="34">
        <v>2061</v>
      </c>
      <c r="J869" s="34">
        <f t="shared" si="27"/>
        <v>2</v>
      </c>
      <c r="K869" s="34" t="s">
        <v>90</v>
      </c>
      <c r="L869" s="34" t="str">
        <f>I869 &amp; "-" &amp;VLOOKUP(I869,Střediska!$A$1:$B$40,2,FALSE)</f>
        <v>2061-Elévky</v>
      </c>
      <c r="M869" s="35" t="str">
        <f>VLOOKUP(Zdroj!$I869,Střediska!$A$1:$B$41,2,FALSE)</f>
        <v>Elévky</v>
      </c>
    </row>
    <row r="870" spans="1:17" hidden="1" x14ac:dyDescent="0.2">
      <c r="A870" s="36" t="s">
        <v>20</v>
      </c>
      <c r="B870" s="31" t="s">
        <v>338</v>
      </c>
      <c r="C870" s="31" t="s">
        <v>19</v>
      </c>
      <c r="D870" s="31"/>
      <c r="E870" s="31" t="s">
        <v>339</v>
      </c>
      <c r="F870" s="31">
        <v>0</v>
      </c>
      <c r="G870" s="31">
        <v>-12626.93</v>
      </c>
      <c r="H870" s="31">
        <f t="shared" si="26"/>
        <v>-12626.93</v>
      </c>
      <c r="I870" s="31">
        <v>2061</v>
      </c>
      <c r="J870" s="31">
        <f t="shared" si="27"/>
        <v>2</v>
      </c>
      <c r="K870" s="31" t="s">
        <v>90</v>
      </c>
      <c r="L870" s="31" t="str">
        <f>I870 &amp; "-" &amp;VLOOKUP(I870,Střediska!$A$1:$B$40,2,FALSE)</f>
        <v>2061-Elévky</v>
      </c>
      <c r="M870" s="32" t="str">
        <f>VLOOKUP(Zdroj!$I870,Střediska!$A$1:$B$41,2,FALSE)</f>
        <v>Elévky</v>
      </c>
    </row>
    <row r="871" spans="1:17" hidden="1" x14ac:dyDescent="0.2">
      <c r="A871" s="33" t="s">
        <v>46</v>
      </c>
      <c r="B871" s="34" t="s">
        <v>1760</v>
      </c>
      <c r="C871" s="34" t="s">
        <v>19</v>
      </c>
      <c r="D871" s="34"/>
      <c r="E871" s="34" t="s">
        <v>2733</v>
      </c>
      <c r="F871" s="34">
        <v>640</v>
      </c>
      <c r="G871" s="34">
        <v>0</v>
      </c>
      <c r="H871" s="34">
        <f t="shared" si="26"/>
        <v>-640</v>
      </c>
      <c r="I871" s="34">
        <v>3011</v>
      </c>
      <c r="J871" s="34">
        <f t="shared" si="27"/>
        <v>3</v>
      </c>
      <c r="K871" s="34" t="s">
        <v>1759</v>
      </c>
      <c r="L871" s="34" t="str">
        <f>I871 &amp; "-" &amp;VLOOKUP(I871,Střediska!$A$1:$B$40,2,FALSE)</f>
        <v>3011-Soustředění Jeseník</v>
      </c>
      <c r="M871" s="35" t="str">
        <f>VLOOKUP(Zdroj!$I871,Střediska!$A$1:$B$41,2,FALSE)</f>
        <v>Soustředění Jeseník</v>
      </c>
    </row>
    <row r="872" spans="1:17" hidden="1" x14ac:dyDescent="0.2">
      <c r="A872" s="36" t="s">
        <v>46</v>
      </c>
      <c r="B872" s="31" t="s">
        <v>1760</v>
      </c>
      <c r="C872" s="31" t="s">
        <v>19</v>
      </c>
      <c r="D872" s="31"/>
      <c r="E872" s="31" t="s">
        <v>2733</v>
      </c>
      <c r="F872" s="31">
        <v>3514</v>
      </c>
      <c r="G872" s="31">
        <v>0</v>
      </c>
      <c r="H872" s="31">
        <f t="shared" si="26"/>
        <v>-3514</v>
      </c>
      <c r="I872" s="31">
        <v>3011</v>
      </c>
      <c r="J872" s="31">
        <f t="shared" si="27"/>
        <v>3</v>
      </c>
      <c r="K872" s="31" t="s">
        <v>956</v>
      </c>
      <c r="L872" s="31" t="str">
        <f>I872 &amp; "-" &amp;VLOOKUP(I872,Střediska!$A$1:$B$40,2,FALSE)</f>
        <v>3011-Soustředění Jeseník</v>
      </c>
      <c r="M872" s="32" t="str">
        <f>VLOOKUP(Zdroj!$I872,Střediska!$A$1:$B$41,2,FALSE)</f>
        <v>Soustředění Jeseník</v>
      </c>
    </row>
    <row r="873" spans="1:17" hidden="1" x14ac:dyDescent="0.2">
      <c r="A873" s="33" t="s">
        <v>46</v>
      </c>
      <c r="B873" s="34" t="s">
        <v>1761</v>
      </c>
      <c r="C873" s="34" t="s">
        <v>19</v>
      </c>
      <c r="D873" s="34"/>
      <c r="E873" s="34" t="s">
        <v>1762</v>
      </c>
      <c r="F873" s="34">
        <v>12554</v>
      </c>
      <c r="G873" s="34">
        <v>0</v>
      </c>
      <c r="H873" s="34">
        <f t="shared" si="26"/>
        <v>-12554</v>
      </c>
      <c r="I873" s="34">
        <v>3011</v>
      </c>
      <c r="J873" s="34">
        <f t="shared" si="27"/>
        <v>3</v>
      </c>
      <c r="K873" s="34" t="s">
        <v>103</v>
      </c>
      <c r="L873" s="34" t="str">
        <f>I873 &amp; "-" &amp;VLOOKUP(I873,Střediska!$A$1:$B$40,2,FALSE)</f>
        <v>3011-Soustředění Jeseník</v>
      </c>
      <c r="M873" s="35" t="str">
        <f>VLOOKUP(Zdroj!$I873,Střediska!$A$1:$B$41,2,FALSE)</f>
        <v>Soustředění Jeseník</v>
      </c>
    </row>
    <row r="874" spans="1:17" hidden="1" x14ac:dyDescent="0.2">
      <c r="A874" s="36" t="s">
        <v>46</v>
      </c>
      <c r="B874" s="31" t="s">
        <v>1763</v>
      </c>
      <c r="C874" s="31" t="s">
        <v>19</v>
      </c>
      <c r="D874" s="31"/>
      <c r="E874" s="31" t="s">
        <v>1764</v>
      </c>
      <c r="F874" s="31">
        <v>5220</v>
      </c>
      <c r="G874" s="31">
        <v>0</v>
      </c>
      <c r="H874" s="31">
        <f t="shared" si="26"/>
        <v>-5220</v>
      </c>
      <c r="I874" s="31">
        <v>3011</v>
      </c>
      <c r="J874" s="31">
        <f t="shared" si="27"/>
        <v>3</v>
      </c>
      <c r="K874" s="31" t="s">
        <v>748</v>
      </c>
      <c r="L874" s="31" t="str">
        <f>I874 &amp; "-" &amp;VLOOKUP(I874,Střediska!$A$1:$B$40,2,FALSE)</f>
        <v>3011-Soustředění Jeseník</v>
      </c>
      <c r="M874" s="32" t="str">
        <f>VLOOKUP(Zdroj!$I874,Střediska!$A$1:$B$41,2,FALSE)</f>
        <v>Soustředění Jeseník</v>
      </c>
    </row>
    <row r="875" spans="1:17" hidden="1" x14ac:dyDescent="0.2">
      <c r="A875" s="33" t="s">
        <v>1769</v>
      </c>
      <c r="B875" s="34" t="s">
        <v>1767</v>
      </c>
      <c r="C875" s="34" t="s">
        <v>106</v>
      </c>
      <c r="D875" s="34" t="s">
        <v>1768</v>
      </c>
      <c r="E875" s="34" t="s">
        <v>1770</v>
      </c>
      <c r="F875" s="34">
        <v>481761</v>
      </c>
      <c r="G875" s="34">
        <v>0</v>
      </c>
      <c r="H875" s="34">
        <f t="shared" si="26"/>
        <v>-481761</v>
      </c>
      <c r="I875" s="34">
        <v>3011</v>
      </c>
      <c r="J875" s="34">
        <f t="shared" si="27"/>
        <v>3</v>
      </c>
      <c r="K875" s="34" t="s">
        <v>1766</v>
      </c>
      <c r="L875" s="34" t="str">
        <f>I875 &amp; "-" &amp;VLOOKUP(I875,Střediska!$A$1:$B$40,2,FALSE)</f>
        <v>3011-Soustředění Jeseník</v>
      </c>
      <c r="M875" s="35" t="str">
        <f>VLOOKUP(Zdroj!$I875,Střediska!$A$1:$B$41,2,FALSE)</f>
        <v>Soustředění Jeseník</v>
      </c>
    </row>
    <row r="876" spans="1:17" hidden="1" x14ac:dyDescent="0.2">
      <c r="A876" s="36" t="s">
        <v>46</v>
      </c>
      <c r="B876" s="31" t="s">
        <v>1771</v>
      </c>
      <c r="C876" s="31" t="s">
        <v>106</v>
      </c>
      <c r="D876" s="31" t="s">
        <v>1772</v>
      </c>
      <c r="E876" s="31" t="s">
        <v>1770</v>
      </c>
      <c r="F876" s="31">
        <v>22000</v>
      </c>
      <c r="G876" s="31">
        <v>0</v>
      </c>
      <c r="H876" s="31">
        <f t="shared" si="26"/>
        <v>-22000</v>
      </c>
      <c r="I876" s="31">
        <v>3011</v>
      </c>
      <c r="J876" s="31">
        <f t="shared" si="27"/>
        <v>3</v>
      </c>
      <c r="K876" s="31" t="s">
        <v>1766</v>
      </c>
      <c r="L876" s="31" t="str">
        <f>I876 &amp; "-" &amp;VLOOKUP(I876,Střediska!$A$1:$B$40,2,FALSE)</f>
        <v>3011-Soustředění Jeseník</v>
      </c>
      <c r="M876" s="32" t="str">
        <f>VLOOKUP(Zdroj!$I876,Střediska!$A$1:$B$41,2,FALSE)</f>
        <v>Soustředění Jeseník</v>
      </c>
      <c r="Q876" t="b">
        <f>ISERR(VLOOKUP(I876,Střediska!$A$1:$B$22,2,FALSE))</f>
        <v>0</v>
      </c>
    </row>
    <row r="877" spans="1:17" hidden="1" x14ac:dyDescent="0.2">
      <c r="A877" s="33" t="s">
        <v>46</v>
      </c>
      <c r="B877" s="34" t="s">
        <v>1773</v>
      </c>
      <c r="C877" s="34" t="s">
        <v>19</v>
      </c>
      <c r="D877" s="34"/>
      <c r="E877" s="34" t="s">
        <v>1774</v>
      </c>
      <c r="F877" s="34">
        <v>56000</v>
      </c>
      <c r="G877" s="34">
        <v>0</v>
      </c>
      <c r="H877" s="34">
        <f t="shared" si="26"/>
        <v>-56000</v>
      </c>
      <c r="I877" s="34">
        <v>3011</v>
      </c>
      <c r="J877" s="34">
        <f t="shared" si="27"/>
        <v>3</v>
      </c>
      <c r="K877" s="34" t="s">
        <v>207</v>
      </c>
      <c r="L877" s="34" t="str">
        <f>I877 &amp; "-" &amp;VLOOKUP(I877,Střediska!$A$1:$B$40,2,FALSE)</f>
        <v>3011-Soustředění Jeseník</v>
      </c>
      <c r="M877" s="35" t="str">
        <f>VLOOKUP(Zdroj!$I877,Střediska!$A$1:$B$41,2,FALSE)</f>
        <v>Soustředění Jeseník</v>
      </c>
    </row>
    <row r="878" spans="1:17" hidden="1" x14ac:dyDescent="0.2">
      <c r="A878" s="36" t="s">
        <v>46</v>
      </c>
      <c r="B878" s="31" t="s">
        <v>1777</v>
      </c>
      <c r="C878" s="31" t="s">
        <v>19</v>
      </c>
      <c r="D878" s="31"/>
      <c r="E878" s="31" t="s">
        <v>1778</v>
      </c>
      <c r="F878" s="31">
        <v>0</v>
      </c>
      <c r="G878" s="31">
        <v>467120</v>
      </c>
      <c r="H878" s="31">
        <f t="shared" si="26"/>
        <v>467120</v>
      </c>
      <c r="I878" s="31">
        <v>3011</v>
      </c>
      <c r="J878" s="31">
        <f t="shared" si="27"/>
        <v>3</v>
      </c>
      <c r="K878" s="31" t="s">
        <v>1776</v>
      </c>
      <c r="L878" s="31" t="str">
        <f>I878 &amp; "-" &amp;VLOOKUP(I878,Střediska!$A$1:$B$40,2,FALSE)</f>
        <v>3011-Soustředění Jeseník</v>
      </c>
      <c r="M878" s="32" t="str">
        <f>VLOOKUP(Zdroj!$I878,Střediska!$A$1:$B$41,2,FALSE)</f>
        <v>Soustředění Jeseník</v>
      </c>
    </row>
    <row r="879" spans="1:17" hidden="1" x14ac:dyDescent="0.2">
      <c r="A879" s="33" t="s">
        <v>218</v>
      </c>
      <c r="B879" s="34" t="s">
        <v>1781</v>
      </c>
      <c r="C879" s="34" t="s">
        <v>209</v>
      </c>
      <c r="D879" s="34"/>
      <c r="E879" s="34" t="s">
        <v>1782</v>
      </c>
      <c r="F879" s="34">
        <v>72</v>
      </c>
      <c r="G879" s="34">
        <v>0</v>
      </c>
      <c r="H879" s="34">
        <f t="shared" si="26"/>
        <v>-72</v>
      </c>
      <c r="I879" s="34">
        <v>3012</v>
      </c>
      <c r="J879" s="34">
        <f t="shared" si="27"/>
        <v>3</v>
      </c>
      <c r="K879" s="34" t="s">
        <v>1759</v>
      </c>
      <c r="L879" s="34" t="str">
        <f>I879 &amp; "-" &amp;VLOOKUP(I879,Střediska!$A$1:$B$40,2,FALSE)</f>
        <v>3012-Soustředění Hluk</v>
      </c>
      <c r="M879" s="35" t="str">
        <f>VLOOKUP(Zdroj!$I879,Střediska!$A$1:$B$41,2,FALSE)</f>
        <v>Soustředění Hluk</v>
      </c>
    </row>
    <row r="880" spans="1:17" hidden="1" x14ac:dyDescent="0.2">
      <c r="A880" s="36" t="s">
        <v>218</v>
      </c>
      <c r="B880" s="31" t="s">
        <v>1783</v>
      </c>
      <c r="C880" s="31" t="s">
        <v>209</v>
      </c>
      <c r="D880" s="31"/>
      <c r="E880" s="31" t="s">
        <v>1784</v>
      </c>
      <c r="F880" s="31">
        <v>534</v>
      </c>
      <c r="G880" s="31">
        <v>0</v>
      </c>
      <c r="H880" s="31">
        <f t="shared" si="26"/>
        <v>-534</v>
      </c>
      <c r="I880" s="31">
        <v>3012</v>
      </c>
      <c r="J880" s="31">
        <f t="shared" si="27"/>
        <v>3</v>
      </c>
      <c r="K880" s="31" t="s">
        <v>1759</v>
      </c>
      <c r="L880" s="31" t="str">
        <f>I880 &amp; "-" &amp;VLOOKUP(I880,Střediska!$A$1:$B$40,2,FALSE)</f>
        <v>3012-Soustředění Hluk</v>
      </c>
      <c r="M880" s="32" t="str">
        <f>VLOOKUP(Zdroj!$I880,Střediska!$A$1:$B$41,2,FALSE)</f>
        <v>Soustředění Hluk</v>
      </c>
    </row>
    <row r="881" spans="1:13" hidden="1" x14ac:dyDescent="0.2">
      <c r="A881" s="33" t="s">
        <v>218</v>
      </c>
      <c r="B881" s="34" t="s">
        <v>1785</v>
      </c>
      <c r="C881" s="34" t="s">
        <v>209</v>
      </c>
      <c r="D881" s="34"/>
      <c r="E881" s="34" t="s">
        <v>1786</v>
      </c>
      <c r="F881" s="34">
        <v>8457</v>
      </c>
      <c r="G881" s="34">
        <v>0</v>
      </c>
      <c r="H881" s="34">
        <f t="shared" si="26"/>
        <v>-8457</v>
      </c>
      <c r="I881" s="34">
        <v>3012</v>
      </c>
      <c r="J881" s="34">
        <f t="shared" si="27"/>
        <v>3</v>
      </c>
      <c r="K881" s="34" t="s">
        <v>956</v>
      </c>
      <c r="L881" s="34" t="str">
        <f>I881 &amp; "-" &amp;VLOOKUP(I881,Střediska!$A$1:$B$40,2,FALSE)</f>
        <v>3012-Soustředění Hluk</v>
      </c>
      <c r="M881" s="35" t="str">
        <f>VLOOKUP(Zdroj!$I881,Střediska!$A$1:$B$41,2,FALSE)</f>
        <v>Soustředění Hluk</v>
      </c>
    </row>
    <row r="882" spans="1:13" hidden="1" x14ac:dyDescent="0.2">
      <c r="A882" s="36" t="s">
        <v>1789</v>
      </c>
      <c r="B882" s="31" t="s">
        <v>1787</v>
      </c>
      <c r="C882" s="31" t="s">
        <v>106</v>
      </c>
      <c r="D882" s="31" t="s">
        <v>1788</v>
      </c>
      <c r="E882" s="31" t="s">
        <v>1790</v>
      </c>
      <c r="F882" s="31">
        <v>34530</v>
      </c>
      <c r="G882" s="31">
        <v>0</v>
      </c>
      <c r="H882" s="31">
        <f t="shared" si="26"/>
        <v>-34530</v>
      </c>
      <c r="I882" s="31">
        <v>3012</v>
      </c>
      <c r="J882" s="31">
        <f t="shared" si="27"/>
        <v>3</v>
      </c>
      <c r="K882" s="31" t="s">
        <v>956</v>
      </c>
      <c r="L882" s="31" t="str">
        <f>I882 &amp; "-" &amp;VLOOKUP(I882,Střediska!$A$1:$B$40,2,FALSE)</f>
        <v>3012-Soustředění Hluk</v>
      </c>
      <c r="M882" s="32" t="str">
        <f>VLOOKUP(Zdroj!$I882,Střediska!$A$1:$B$41,2,FALSE)</f>
        <v>Soustředění Hluk</v>
      </c>
    </row>
    <row r="883" spans="1:13" hidden="1" x14ac:dyDescent="0.2">
      <c r="A883" s="33" t="s">
        <v>264</v>
      </c>
      <c r="B883" s="34" t="s">
        <v>1791</v>
      </c>
      <c r="C883" s="34" t="s">
        <v>106</v>
      </c>
      <c r="D883" s="34" t="s">
        <v>1792</v>
      </c>
      <c r="E883" s="34" t="s">
        <v>1793</v>
      </c>
      <c r="F883" s="34">
        <v>2880</v>
      </c>
      <c r="G883" s="34">
        <v>0</v>
      </c>
      <c r="H883" s="34">
        <f t="shared" si="26"/>
        <v>-2880</v>
      </c>
      <c r="I883" s="34">
        <v>3012</v>
      </c>
      <c r="J883" s="34">
        <f t="shared" si="27"/>
        <v>3</v>
      </c>
      <c r="K883" s="34" t="s">
        <v>748</v>
      </c>
      <c r="L883" s="34" t="str">
        <f>I883 &amp; "-" &amp;VLOOKUP(I883,Střediska!$A$1:$B$40,2,FALSE)</f>
        <v>3012-Soustředění Hluk</v>
      </c>
      <c r="M883" s="35" t="str">
        <f>VLOOKUP(Zdroj!$I883,Střediska!$A$1:$B$41,2,FALSE)</f>
        <v>Soustředění Hluk</v>
      </c>
    </row>
    <row r="884" spans="1:13" hidden="1" x14ac:dyDescent="0.2">
      <c r="A884" s="36" t="s">
        <v>1795</v>
      </c>
      <c r="B884" s="31" t="s">
        <v>1794</v>
      </c>
      <c r="C884" s="31" t="s">
        <v>106</v>
      </c>
      <c r="D884" s="31" t="s">
        <v>1788</v>
      </c>
      <c r="E884" s="31" t="s">
        <v>1796</v>
      </c>
      <c r="F884" s="31">
        <v>13500</v>
      </c>
      <c r="G884" s="31">
        <v>0</v>
      </c>
      <c r="H884" s="31">
        <f t="shared" si="26"/>
        <v>-13500</v>
      </c>
      <c r="I884" s="31">
        <v>3012</v>
      </c>
      <c r="J884" s="31">
        <f t="shared" si="27"/>
        <v>3</v>
      </c>
      <c r="K884" s="31" t="s">
        <v>1766</v>
      </c>
      <c r="L884" s="31" t="str">
        <f>I884 &amp; "-" &amp;VLOOKUP(I884,Střediska!$A$1:$B$40,2,FALSE)</f>
        <v>3012-Soustředění Hluk</v>
      </c>
      <c r="M884" s="32" t="str">
        <f>VLOOKUP(Zdroj!$I884,Střediska!$A$1:$B$41,2,FALSE)</f>
        <v>Soustředění Hluk</v>
      </c>
    </row>
    <row r="885" spans="1:13" hidden="1" x14ac:dyDescent="0.2">
      <c r="A885" s="33" t="s">
        <v>46</v>
      </c>
      <c r="B885" s="34" t="s">
        <v>1797</v>
      </c>
      <c r="C885" s="34" t="s">
        <v>106</v>
      </c>
      <c r="D885" s="34" t="s">
        <v>1798</v>
      </c>
      <c r="E885" s="34" t="s">
        <v>1799</v>
      </c>
      <c r="F885" s="34">
        <v>151075</v>
      </c>
      <c r="G885" s="34">
        <v>0</v>
      </c>
      <c r="H885" s="34">
        <f t="shared" si="26"/>
        <v>-151075</v>
      </c>
      <c r="I885" s="34">
        <v>3012</v>
      </c>
      <c r="J885" s="34">
        <f t="shared" si="27"/>
        <v>3</v>
      </c>
      <c r="K885" s="34" t="s">
        <v>154</v>
      </c>
      <c r="L885" s="34" t="str">
        <f>I885 &amp; "-" &amp;VLOOKUP(I885,Střediska!$A$1:$B$40,2,FALSE)</f>
        <v>3012-Soustředění Hluk</v>
      </c>
      <c r="M885" s="35" t="str">
        <f>VLOOKUP(Zdroj!$I885,Střediska!$A$1:$B$41,2,FALSE)</f>
        <v>Soustředění Hluk</v>
      </c>
    </row>
    <row r="886" spans="1:13" hidden="1" x14ac:dyDescent="0.2">
      <c r="A886" s="36" t="s">
        <v>218</v>
      </c>
      <c r="B886" s="31" t="s">
        <v>1800</v>
      </c>
      <c r="C886" s="31" t="s">
        <v>209</v>
      </c>
      <c r="D886" s="31"/>
      <c r="E886" s="31" t="s">
        <v>210</v>
      </c>
      <c r="F886" s="31">
        <v>20000</v>
      </c>
      <c r="G886" s="31">
        <v>0</v>
      </c>
      <c r="H886" s="31">
        <f t="shared" si="26"/>
        <v>-20000</v>
      </c>
      <c r="I886" s="31">
        <v>3012</v>
      </c>
      <c r="J886" s="31">
        <f t="shared" si="27"/>
        <v>3</v>
      </c>
      <c r="K886" s="31" t="s">
        <v>207</v>
      </c>
      <c r="L886" s="31" t="str">
        <f>I886 &amp; "-" &amp;VLOOKUP(I886,Střediska!$A$1:$B$40,2,FALSE)</f>
        <v>3012-Soustředění Hluk</v>
      </c>
      <c r="M886" s="32" t="str">
        <f>VLOOKUP(Zdroj!$I886,Střediska!$A$1:$B$41,2,FALSE)</f>
        <v>Soustředění Hluk</v>
      </c>
    </row>
    <row r="887" spans="1:13" hidden="1" x14ac:dyDescent="0.2">
      <c r="A887" s="33" t="s">
        <v>49</v>
      </c>
      <c r="B887" s="34" t="s">
        <v>1801</v>
      </c>
      <c r="C887" s="34" t="s">
        <v>19</v>
      </c>
      <c r="D887" s="34"/>
      <c r="E887" s="34" t="s">
        <v>1802</v>
      </c>
      <c r="F887" s="34">
        <v>0</v>
      </c>
      <c r="G887" s="34">
        <v>271500</v>
      </c>
      <c r="H887" s="34">
        <f t="shared" si="26"/>
        <v>271500</v>
      </c>
      <c r="I887" s="34">
        <v>3012</v>
      </c>
      <c r="J887" s="34">
        <f t="shared" si="27"/>
        <v>3</v>
      </c>
      <c r="K887" s="34" t="s">
        <v>1776</v>
      </c>
      <c r="L887" s="34" t="str">
        <f>I887 &amp; "-" &amp;VLOOKUP(I887,Střediska!$A$1:$B$40,2,FALSE)</f>
        <v>3012-Soustředění Hluk</v>
      </c>
      <c r="M887" s="35" t="str">
        <f>VLOOKUP(Zdroj!$I887,Střediska!$A$1:$B$41,2,FALSE)</f>
        <v>Soustředění Hluk</v>
      </c>
    </row>
    <row r="888" spans="1:13" hidden="1" x14ac:dyDescent="0.2">
      <c r="A888" s="36" t="s">
        <v>218</v>
      </c>
      <c r="B888" s="31" t="s">
        <v>1805</v>
      </c>
      <c r="C888" s="31" t="s">
        <v>209</v>
      </c>
      <c r="D888" s="31"/>
      <c r="E888" s="31" t="s">
        <v>1806</v>
      </c>
      <c r="F888" s="31">
        <v>297</v>
      </c>
      <c r="G888" s="31">
        <v>0</v>
      </c>
      <c r="H888" s="31">
        <f t="shared" si="26"/>
        <v>-297</v>
      </c>
      <c r="I888" s="31">
        <v>3013</v>
      </c>
      <c r="J888" s="31">
        <f t="shared" si="27"/>
        <v>3</v>
      </c>
      <c r="K888" s="31" t="s">
        <v>1759</v>
      </c>
      <c r="L888" s="31" t="str">
        <f>I888 &amp; "-" &amp;VLOOKUP(I888,Střediska!$A$1:$B$40,2,FALSE)</f>
        <v>3013-Soustředění Prostějov</v>
      </c>
      <c r="M888" s="32" t="str">
        <f>VLOOKUP(Zdroj!$I888,Střediska!$A$1:$B$41,2,FALSE)</f>
        <v>Soustředění Prostějov</v>
      </c>
    </row>
    <row r="889" spans="1:13" hidden="1" x14ac:dyDescent="0.2">
      <c r="A889" s="33" t="s">
        <v>218</v>
      </c>
      <c r="B889" s="34" t="s">
        <v>1807</v>
      </c>
      <c r="C889" s="34" t="s">
        <v>209</v>
      </c>
      <c r="D889" s="34"/>
      <c r="E889" s="34" t="s">
        <v>1808</v>
      </c>
      <c r="F889" s="34">
        <v>1172</v>
      </c>
      <c r="G889" s="34">
        <v>0</v>
      </c>
      <c r="H889" s="34">
        <f t="shared" si="26"/>
        <v>-1172</v>
      </c>
      <c r="I889" s="34">
        <v>3013</v>
      </c>
      <c r="J889" s="34">
        <f t="shared" si="27"/>
        <v>3</v>
      </c>
      <c r="K889" s="34" t="s">
        <v>1759</v>
      </c>
      <c r="L889" s="34" t="str">
        <f>I889 &amp; "-" &amp;VLOOKUP(I889,Střediska!$A$1:$B$40,2,FALSE)</f>
        <v>3013-Soustředění Prostějov</v>
      </c>
      <c r="M889" s="35" t="str">
        <f>VLOOKUP(Zdroj!$I889,Střediska!$A$1:$B$41,2,FALSE)</f>
        <v>Soustředění Prostějov</v>
      </c>
    </row>
    <row r="890" spans="1:13" hidden="1" x14ac:dyDescent="0.2">
      <c r="A890" s="36" t="s">
        <v>1569</v>
      </c>
      <c r="B890" s="31" t="s">
        <v>1809</v>
      </c>
      <c r="C890" s="31" t="s">
        <v>106</v>
      </c>
      <c r="D890" s="31" t="s">
        <v>1810</v>
      </c>
      <c r="E890" s="31" t="s">
        <v>1811</v>
      </c>
      <c r="F890" s="31">
        <v>2375</v>
      </c>
      <c r="G890" s="31">
        <v>0</v>
      </c>
      <c r="H890" s="31">
        <f t="shared" si="26"/>
        <v>-2375</v>
      </c>
      <c r="I890" s="31">
        <v>3013</v>
      </c>
      <c r="J890" s="31">
        <f t="shared" si="27"/>
        <v>3</v>
      </c>
      <c r="K890" s="31" t="s">
        <v>956</v>
      </c>
      <c r="L890" s="31" t="str">
        <f>I890 &amp; "-" &amp;VLOOKUP(I890,Střediska!$A$1:$B$40,2,FALSE)</f>
        <v>3013-Soustředění Prostějov</v>
      </c>
      <c r="M890" s="32" t="str">
        <f>VLOOKUP(Zdroj!$I890,Střediska!$A$1:$B$41,2,FALSE)</f>
        <v>Soustředění Prostějov</v>
      </c>
    </row>
    <row r="891" spans="1:13" hidden="1" x14ac:dyDescent="0.2">
      <c r="A891" s="33" t="s">
        <v>1813</v>
      </c>
      <c r="B891" s="34" t="s">
        <v>1812</v>
      </c>
      <c r="C891" s="34" t="s">
        <v>106</v>
      </c>
      <c r="D891" s="34" t="s">
        <v>1810</v>
      </c>
      <c r="E891" s="34" t="s">
        <v>1811</v>
      </c>
      <c r="F891" s="34">
        <v>57930</v>
      </c>
      <c r="G891" s="34">
        <v>0</v>
      </c>
      <c r="H891" s="34">
        <f t="shared" si="26"/>
        <v>-57930</v>
      </c>
      <c r="I891" s="34">
        <v>3013</v>
      </c>
      <c r="J891" s="34">
        <f t="shared" si="27"/>
        <v>3</v>
      </c>
      <c r="K891" s="34" t="s">
        <v>956</v>
      </c>
      <c r="L891" s="34" t="str">
        <f>I891 &amp; "-" &amp;VLOOKUP(I891,Střediska!$A$1:$B$40,2,FALSE)</f>
        <v>3013-Soustředění Prostějov</v>
      </c>
      <c r="M891" s="35" t="str">
        <f>VLOOKUP(Zdroj!$I891,Střediska!$A$1:$B$41,2,FALSE)</f>
        <v>Soustředění Prostějov</v>
      </c>
    </row>
    <row r="892" spans="1:13" hidden="1" x14ac:dyDescent="0.2">
      <c r="A892" s="36" t="s">
        <v>218</v>
      </c>
      <c r="B892" s="31" t="s">
        <v>1814</v>
      </c>
      <c r="C892" s="31" t="s">
        <v>209</v>
      </c>
      <c r="D892" s="31"/>
      <c r="E892" s="31" t="s">
        <v>1815</v>
      </c>
      <c r="F892" s="31">
        <v>10260</v>
      </c>
      <c r="G892" s="31">
        <v>0</v>
      </c>
      <c r="H892" s="31">
        <f t="shared" si="26"/>
        <v>-10260</v>
      </c>
      <c r="I892" s="31">
        <v>3013</v>
      </c>
      <c r="J892" s="31">
        <f t="shared" si="27"/>
        <v>3</v>
      </c>
      <c r="K892" s="31" t="s">
        <v>956</v>
      </c>
      <c r="L892" s="31" t="str">
        <f>I892 &amp; "-" &amp;VLOOKUP(I892,Střediska!$A$1:$B$40,2,FALSE)</f>
        <v>3013-Soustředění Prostějov</v>
      </c>
      <c r="M892" s="32" t="str">
        <f>VLOOKUP(Zdroj!$I892,Střediska!$A$1:$B$41,2,FALSE)</f>
        <v>Soustředění Prostějov</v>
      </c>
    </row>
    <row r="893" spans="1:13" hidden="1" x14ac:dyDescent="0.2">
      <c r="A893" s="33" t="s">
        <v>218</v>
      </c>
      <c r="B893" s="34" t="s">
        <v>1816</v>
      </c>
      <c r="C893" s="34" t="s">
        <v>209</v>
      </c>
      <c r="D893" s="34"/>
      <c r="E893" s="34" t="s">
        <v>1817</v>
      </c>
      <c r="F893" s="34">
        <v>540</v>
      </c>
      <c r="G893" s="34">
        <v>0</v>
      </c>
      <c r="H893" s="34">
        <f t="shared" si="26"/>
        <v>-540</v>
      </c>
      <c r="I893" s="34">
        <v>3013</v>
      </c>
      <c r="J893" s="34">
        <f t="shared" si="27"/>
        <v>3</v>
      </c>
      <c r="K893" s="34" t="s">
        <v>103</v>
      </c>
      <c r="L893" s="34" t="str">
        <f>I893 &amp; "-" &amp;VLOOKUP(I893,Střediska!$A$1:$B$40,2,FALSE)</f>
        <v>3013-Soustředění Prostějov</v>
      </c>
      <c r="M893" s="35" t="str">
        <f>VLOOKUP(Zdroj!$I893,Střediska!$A$1:$B$41,2,FALSE)</f>
        <v>Soustředění Prostějov</v>
      </c>
    </row>
    <row r="894" spans="1:13" hidden="1" x14ac:dyDescent="0.2">
      <c r="A894" s="36" t="s">
        <v>218</v>
      </c>
      <c r="B894" s="31" t="s">
        <v>1818</v>
      </c>
      <c r="C894" s="31" t="s">
        <v>209</v>
      </c>
      <c r="D894" s="31"/>
      <c r="E894" s="31" t="s">
        <v>1819</v>
      </c>
      <c r="F894" s="31">
        <v>3670</v>
      </c>
      <c r="G894" s="31">
        <v>0</v>
      </c>
      <c r="H894" s="31">
        <f t="shared" si="26"/>
        <v>-3670</v>
      </c>
      <c r="I894" s="31">
        <v>3013</v>
      </c>
      <c r="J894" s="31">
        <f t="shared" si="27"/>
        <v>3</v>
      </c>
      <c r="K894" s="31" t="s">
        <v>748</v>
      </c>
      <c r="L894" s="31" t="str">
        <f>I894 &amp; "-" &amp;VLOOKUP(I894,Střediska!$A$1:$B$40,2,FALSE)</f>
        <v>3013-Soustředění Prostějov</v>
      </c>
      <c r="M894" s="32" t="str">
        <f>VLOOKUP(Zdroj!$I894,Střediska!$A$1:$B$41,2,FALSE)</f>
        <v>Soustředění Prostějov</v>
      </c>
    </row>
    <row r="895" spans="1:13" hidden="1" x14ac:dyDescent="0.2">
      <c r="A895" s="33" t="s">
        <v>46</v>
      </c>
      <c r="B895" s="34" t="s">
        <v>132</v>
      </c>
      <c r="C895" s="34" t="s">
        <v>106</v>
      </c>
      <c r="D895" s="34" t="s">
        <v>133</v>
      </c>
      <c r="E895" s="34" t="s">
        <v>134</v>
      </c>
      <c r="F895" s="34">
        <v>7250</v>
      </c>
      <c r="G895" s="34">
        <v>0</v>
      </c>
      <c r="H895" s="34">
        <f t="shared" si="26"/>
        <v>-7250</v>
      </c>
      <c r="I895" s="34">
        <v>3013</v>
      </c>
      <c r="J895" s="34">
        <f t="shared" si="27"/>
        <v>3</v>
      </c>
      <c r="K895" s="34" t="s">
        <v>110</v>
      </c>
      <c r="L895" s="34" t="str">
        <f>I895 &amp; "-" &amp;VLOOKUP(I895,Střediska!$A$1:$B$40,2,FALSE)</f>
        <v>3013-Soustředění Prostějov</v>
      </c>
      <c r="M895" s="35" t="str">
        <f>VLOOKUP(Zdroj!$I895,Střediska!$A$1:$B$41,2,FALSE)</f>
        <v>Soustředění Prostějov</v>
      </c>
    </row>
    <row r="896" spans="1:13" hidden="1" x14ac:dyDescent="0.2">
      <c r="A896" s="36" t="s">
        <v>1822</v>
      </c>
      <c r="B896" s="31" t="s">
        <v>1820</v>
      </c>
      <c r="C896" s="31" t="s">
        <v>106</v>
      </c>
      <c r="D896" s="31" t="s">
        <v>1821</v>
      </c>
      <c r="E896" s="31" t="s">
        <v>1823</v>
      </c>
      <c r="F896" s="31">
        <v>1750</v>
      </c>
      <c r="G896" s="31">
        <v>0</v>
      </c>
      <c r="H896" s="31">
        <f t="shared" si="26"/>
        <v>-1750</v>
      </c>
      <c r="I896" s="31">
        <v>3013</v>
      </c>
      <c r="J896" s="31">
        <f t="shared" si="27"/>
        <v>3</v>
      </c>
      <c r="K896" s="31" t="s">
        <v>1766</v>
      </c>
      <c r="L896" s="31" t="str">
        <f>I896 &amp; "-" &amp;VLOOKUP(I896,Střediska!$A$1:$B$40,2,FALSE)</f>
        <v>3013-Soustředění Prostějov</v>
      </c>
      <c r="M896" s="32" t="str">
        <f>VLOOKUP(Zdroj!$I896,Střediska!$A$1:$B$41,2,FALSE)</f>
        <v>Soustředění Prostějov</v>
      </c>
    </row>
    <row r="897" spans="1:13" hidden="1" x14ac:dyDescent="0.2">
      <c r="A897" s="33" t="s">
        <v>705</v>
      </c>
      <c r="B897" s="34" t="s">
        <v>1824</v>
      </c>
      <c r="C897" s="34" t="s">
        <v>106</v>
      </c>
      <c r="D897" s="34" t="s">
        <v>1821</v>
      </c>
      <c r="E897" s="34" t="s">
        <v>1825</v>
      </c>
      <c r="F897" s="34">
        <v>10400</v>
      </c>
      <c r="G897" s="34">
        <v>0</v>
      </c>
      <c r="H897" s="34">
        <f t="shared" si="26"/>
        <v>-10400</v>
      </c>
      <c r="I897" s="34">
        <v>3013</v>
      </c>
      <c r="J897" s="34">
        <f t="shared" si="27"/>
        <v>3</v>
      </c>
      <c r="K897" s="34" t="s">
        <v>1766</v>
      </c>
      <c r="L897" s="34" t="str">
        <f>I897 &amp; "-" &amp;VLOOKUP(I897,Střediska!$A$1:$B$40,2,FALSE)</f>
        <v>3013-Soustředění Prostějov</v>
      </c>
      <c r="M897" s="35" t="str">
        <f>VLOOKUP(Zdroj!$I897,Střediska!$A$1:$B$41,2,FALSE)</f>
        <v>Soustředění Prostějov</v>
      </c>
    </row>
    <row r="898" spans="1:13" hidden="1" x14ac:dyDescent="0.2">
      <c r="A898" s="36" t="s">
        <v>46</v>
      </c>
      <c r="B898" s="31" t="s">
        <v>1826</v>
      </c>
      <c r="C898" s="31" t="s">
        <v>106</v>
      </c>
      <c r="D898" s="31" t="s">
        <v>1810</v>
      </c>
      <c r="E898" s="31" t="s">
        <v>1827</v>
      </c>
      <c r="F898" s="31">
        <v>61875</v>
      </c>
      <c r="G898" s="31">
        <v>0</v>
      </c>
      <c r="H898" s="31">
        <f t="shared" ref="H898:H961" si="28">-F898+G898</f>
        <v>-61875</v>
      </c>
      <c r="I898" s="31">
        <v>3013</v>
      </c>
      <c r="J898" s="31">
        <f t="shared" ref="J898:J961" si="29">VALUE(LEFT(I898,1))</f>
        <v>3</v>
      </c>
      <c r="K898" s="31" t="s">
        <v>154</v>
      </c>
      <c r="L898" s="31" t="str">
        <f>I898 &amp; "-" &amp;VLOOKUP(I898,Střediska!$A$1:$B$40,2,FALSE)</f>
        <v>3013-Soustředění Prostějov</v>
      </c>
      <c r="M898" s="32" t="str">
        <f>VLOOKUP(Zdroj!$I898,Střediska!$A$1:$B$41,2,FALSE)</f>
        <v>Soustředění Prostějov</v>
      </c>
    </row>
    <row r="899" spans="1:13" hidden="1" x14ac:dyDescent="0.2">
      <c r="A899" s="33" t="s">
        <v>218</v>
      </c>
      <c r="B899" s="34" t="s">
        <v>1828</v>
      </c>
      <c r="C899" s="34" t="s">
        <v>209</v>
      </c>
      <c r="D899" s="34"/>
      <c r="E899" s="34" t="s">
        <v>210</v>
      </c>
      <c r="F899" s="34">
        <v>5500</v>
      </c>
      <c r="G899" s="34">
        <v>0</v>
      </c>
      <c r="H899" s="34">
        <f t="shared" si="28"/>
        <v>-5500</v>
      </c>
      <c r="I899" s="34">
        <v>3013</v>
      </c>
      <c r="J899" s="34">
        <f t="shared" si="29"/>
        <v>3</v>
      </c>
      <c r="K899" s="34" t="s">
        <v>207</v>
      </c>
      <c r="L899" s="34" t="str">
        <f>I899 &amp; "-" &amp;VLOOKUP(I899,Střediska!$A$1:$B$40,2,FALSE)</f>
        <v>3013-Soustředění Prostějov</v>
      </c>
      <c r="M899" s="35" t="str">
        <f>VLOOKUP(Zdroj!$I899,Střediska!$A$1:$B$41,2,FALSE)</f>
        <v>Soustředění Prostějov</v>
      </c>
    </row>
    <row r="900" spans="1:13" hidden="1" x14ac:dyDescent="0.2">
      <c r="A900" s="36" t="s">
        <v>46</v>
      </c>
      <c r="B900" s="31" t="s">
        <v>1829</v>
      </c>
      <c r="C900" s="31" t="s">
        <v>19</v>
      </c>
      <c r="D900" s="31"/>
      <c r="E900" s="31" t="s">
        <v>1830</v>
      </c>
      <c r="F900" s="31">
        <v>0</v>
      </c>
      <c r="G900" s="31">
        <v>220100</v>
      </c>
      <c r="H900" s="31">
        <f t="shared" si="28"/>
        <v>220100</v>
      </c>
      <c r="I900" s="31">
        <v>3013</v>
      </c>
      <c r="J900" s="31">
        <f t="shared" si="29"/>
        <v>3</v>
      </c>
      <c r="K900" s="31" t="s">
        <v>1776</v>
      </c>
      <c r="L900" s="31" t="str">
        <f>I900 &amp; "-" &amp;VLOOKUP(I900,Střediska!$A$1:$B$40,2,FALSE)</f>
        <v>3013-Soustředění Prostějov</v>
      </c>
      <c r="M900" s="32" t="str">
        <f>VLOOKUP(Zdroj!$I900,Střediska!$A$1:$B$41,2,FALSE)</f>
        <v>Soustředění Prostějov</v>
      </c>
    </row>
    <row r="901" spans="1:13" hidden="1" x14ac:dyDescent="0.2">
      <c r="A901" s="33" t="s">
        <v>1836</v>
      </c>
      <c r="B901" s="34" t="s">
        <v>1835</v>
      </c>
      <c r="C901" s="34" t="s">
        <v>209</v>
      </c>
      <c r="D901" s="34"/>
      <c r="E901" s="34" t="s">
        <v>1837</v>
      </c>
      <c r="F901" s="34">
        <v>1294</v>
      </c>
      <c r="G901" s="34">
        <v>0</v>
      </c>
      <c r="H901" s="34">
        <f t="shared" si="28"/>
        <v>-1294</v>
      </c>
      <c r="I901" s="34">
        <v>3014</v>
      </c>
      <c r="J901" s="34">
        <f t="shared" si="29"/>
        <v>3</v>
      </c>
      <c r="K901" s="34" t="s">
        <v>1759</v>
      </c>
      <c r="L901" s="34" t="str">
        <f>I901 &amp; "-" &amp;VLOOKUP(I901,Střediska!$A$1:$B$40,2,FALSE)</f>
        <v>3014-Příměstský tábor</v>
      </c>
      <c r="M901" s="35" t="str">
        <f>VLOOKUP(Zdroj!$I901,Střediska!$A$1:$B$41,2,FALSE)</f>
        <v>Příměstský tábor</v>
      </c>
    </row>
    <row r="902" spans="1:13" hidden="1" x14ac:dyDescent="0.2">
      <c r="A902" s="36" t="s">
        <v>218</v>
      </c>
      <c r="B902" s="31" t="s">
        <v>1833</v>
      </c>
      <c r="C902" s="31" t="s">
        <v>209</v>
      </c>
      <c r="D902" s="31"/>
      <c r="E902" s="31" t="s">
        <v>1834</v>
      </c>
      <c r="F902" s="31">
        <v>237</v>
      </c>
      <c r="G902" s="31">
        <v>0</v>
      </c>
      <c r="H902" s="31">
        <f t="shared" si="28"/>
        <v>-237</v>
      </c>
      <c r="I902" s="31">
        <v>3014</v>
      </c>
      <c r="J902" s="31">
        <f t="shared" si="29"/>
        <v>3</v>
      </c>
      <c r="K902" s="31" t="s">
        <v>1759</v>
      </c>
      <c r="L902" s="31" t="str">
        <f>I902 &amp; "-" &amp;VLOOKUP(I902,Střediska!$A$1:$B$40,2,FALSE)</f>
        <v>3014-Příměstský tábor</v>
      </c>
      <c r="M902" s="32" t="str">
        <f>VLOOKUP(Zdroj!$I902,Střediska!$A$1:$B$41,2,FALSE)</f>
        <v>Příměstský tábor</v>
      </c>
    </row>
    <row r="903" spans="1:13" hidden="1" x14ac:dyDescent="0.2">
      <c r="A903" s="33" t="s">
        <v>1840</v>
      </c>
      <c r="B903" s="34" t="s">
        <v>1838</v>
      </c>
      <c r="C903" s="34" t="s">
        <v>106</v>
      </c>
      <c r="D903" s="34" t="s">
        <v>1839</v>
      </c>
      <c r="E903" s="34" t="s">
        <v>1841</v>
      </c>
      <c r="F903" s="34">
        <v>12120</v>
      </c>
      <c r="G903" s="34">
        <v>0</v>
      </c>
      <c r="H903" s="34">
        <f t="shared" si="28"/>
        <v>-12120</v>
      </c>
      <c r="I903" s="34">
        <v>3014</v>
      </c>
      <c r="J903" s="34">
        <f t="shared" si="29"/>
        <v>3</v>
      </c>
      <c r="K903" s="34" t="s">
        <v>956</v>
      </c>
      <c r="L903" s="34" t="str">
        <f>I903 &amp; "-" &amp;VLOOKUP(I903,Střediska!$A$1:$B$40,2,FALSE)</f>
        <v>3014-Příměstský tábor</v>
      </c>
      <c r="M903" s="35" t="str">
        <f>VLOOKUP(Zdroj!$I903,Střediska!$A$1:$B$41,2,FALSE)</f>
        <v>Příměstský tábor</v>
      </c>
    </row>
    <row r="904" spans="1:13" hidden="1" x14ac:dyDescent="0.2">
      <c r="A904" s="36" t="s">
        <v>1294</v>
      </c>
      <c r="B904" s="31" t="s">
        <v>1842</v>
      </c>
      <c r="C904" s="31" t="s">
        <v>209</v>
      </c>
      <c r="D904" s="31"/>
      <c r="E904" s="31" t="s">
        <v>1843</v>
      </c>
      <c r="F904" s="31">
        <v>5782</v>
      </c>
      <c r="G904" s="31">
        <v>0</v>
      </c>
      <c r="H904" s="31">
        <f t="shared" si="28"/>
        <v>-5782</v>
      </c>
      <c r="I904" s="31">
        <v>3014</v>
      </c>
      <c r="J904" s="31">
        <f t="shared" si="29"/>
        <v>3</v>
      </c>
      <c r="K904" s="31" t="s">
        <v>956</v>
      </c>
      <c r="L904" s="31" t="str">
        <f>I904 &amp; "-" &amp;VLOOKUP(I904,Střediska!$A$1:$B$40,2,FALSE)</f>
        <v>3014-Příměstský tábor</v>
      </c>
      <c r="M904" s="32" t="str">
        <f>VLOOKUP(Zdroj!$I904,Střediska!$A$1:$B$41,2,FALSE)</f>
        <v>Příměstský tábor</v>
      </c>
    </row>
    <row r="905" spans="1:13" hidden="1" x14ac:dyDescent="0.2">
      <c r="A905" s="33" t="s">
        <v>1845</v>
      </c>
      <c r="B905" s="34" t="s">
        <v>1844</v>
      </c>
      <c r="C905" s="34" t="s">
        <v>106</v>
      </c>
      <c r="D905" s="34" t="s">
        <v>1839</v>
      </c>
      <c r="E905" s="34" t="s">
        <v>1846</v>
      </c>
      <c r="F905" s="34">
        <v>10200</v>
      </c>
      <c r="G905" s="34">
        <v>0</v>
      </c>
      <c r="H905" s="34">
        <f t="shared" si="28"/>
        <v>-10200</v>
      </c>
      <c r="I905" s="34">
        <v>3014</v>
      </c>
      <c r="J905" s="34">
        <f t="shared" si="29"/>
        <v>3</v>
      </c>
      <c r="K905" s="34" t="s">
        <v>956</v>
      </c>
      <c r="L905" s="34" t="str">
        <f>I905 &amp; "-" &amp;VLOOKUP(I905,Střediska!$A$1:$B$40,2,FALSE)</f>
        <v>3014-Příměstský tábor</v>
      </c>
      <c r="M905" s="35" t="str">
        <f>VLOOKUP(Zdroj!$I905,Střediska!$A$1:$B$41,2,FALSE)</f>
        <v>Příměstský tábor</v>
      </c>
    </row>
    <row r="906" spans="1:13" hidden="1" x14ac:dyDescent="0.2">
      <c r="A906" s="36" t="s">
        <v>1836</v>
      </c>
      <c r="B906" s="31" t="s">
        <v>1847</v>
      </c>
      <c r="C906" s="31" t="s">
        <v>209</v>
      </c>
      <c r="D906" s="31"/>
      <c r="E906" s="31" t="s">
        <v>1848</v>
      </c>
      <c r="F906" s="31">
        <v>8241</v>
      </c>
      <c r="G906" s="31">
        <v>0</v>
      </c>
      <c r="H906" s="31">
        <f t="shared" si="28"/>
        <v>-8241</v>
      </c>
      <c r="I906" s="31">
        <v>3014</v>
      </c>
      <c r="J906" s="31">
        <f t="shared" si="29"/>
        <v>3</v>
      </c>
      <c r="K906" s="31" t="s">
        <v>956</v>
      </c>
      <c r="L906" s="31" t="str">
        <f>I906 &amp; "-" &amp;VLOOKUP(I906,Střediska!$A$1:$B$40,2,FALSE)</f>
        <v>3014-Příměstský tábor</v>
      </c>
      <c r="M906" s="32" t="str">
        <f>VLOOKUP(Zdroj!$I906,Střediska!$A$1:$B$41,2,FALSE)</f>
        <v>Příměstský tábor</v>
      </c>
    </row>
    <row r="907" spans="1:13" hidden="1" x14ac:dyDescent="0.2">
      <c r="A907" s="33" t="s">
        <v>1850</v>
      </c>
      <c r="B907" s="34" t="s">
        <v>1849</v>
      </c>
      <c r="C907" s="34" t="s">
        <v>106</v>
      </c>
      <c r="D907" s="34" t="s">
        <v>1839</v>
      </c>
      <c r="E907" s="34" t="s">
        <v>1851</v>
      </c>
      <c r="F907" s="34">
        <v>26058</v>
      </c>
      <c r="G907" s="34">
        <v>0</v>
      </c>
      <c r="H907" s="34">
        <f t="shared" si="28"/>
        <v>-26058</v>
      </c>
      <c r="I907" s="34">
        <v>3014</v>
      </c>
      <c r="J907" s="34">
        <f t="shared" si="29"/>
        <v>3</v>
      </c>
      <c r="K907" s="34" t="s">
        <v>956</v>
      </c>
      <c r="L907" s="34" t="str">
        <f>I907 &amp; "-" &amp;VLOOKUP(I907,Střediska!$A$1:$B$40,2,FALSE)</f>
        <v>3014-Příměstský tábor</v>
      </c>
      <c r="M907" s="35" t="str">
        <f>VLOOKUP(Zdroj!$I907,Střediska!$A$1:$B$41,2,FALSE)</f>
        <v>Příměstský tábor</v>
      </c>
    </row>
    <row r="908" spans="1:13" hidden="1" x14ac:dyDescent="0.2">
      <c r="A908" s="36" t="s">
        <v>1291</v>
      </c>
      <c r="B908" s="31" t="s">
        <v>1852</v>
      </c>
      <c r="C908" s="31" t="s">
        <v>106</v>
      </c>
      <c r="D908" s="31" t="s">
        <v>1839</v>
      </c>
      <c r="E908" s="31" t="s">
        <v>1853</v>
      </c>
      <c r="F908" s="31">
        <v>13932</v>
      </c>
      <c r="G908" s="31">
        <v>0</v>
      </c>
      <c r="H908" s="31">
        <f t="shared" si="28"/>
        <v>-13932</v>
      </c>
      <c r="I908" s="31">
        <v>3014</v>
      </c>
      <c r="J908" s="31">
        <f t="shared" si="29"/>
        <v>3</v>
      </c>
      <c r="K908" s="31" t="s">
        <v>956</v>
      </c>
      <c r="L908" s="31" t="str">
        <f>I908 &amp; "-" &amp;VLOOKUP(I908,Střediska!$A$1:$B$40,2,FALSE)</f>
        <v>3014-Příměstský tábor</v>
      </c>
      <c r="M908" s="32" t="str">
        <f>VLOOKUP(Zdroj!$I908,Střediska!$A$1:$B$41,2,FALSE)</f>
        <v>Příměstský tábor</v>
      </c>
    </row>
    <row r="909" spans="1:13" hidden="1" x14ac:dyDescent="0.2">
      <c r="A909" s="33" t="s">
        <v>218</v>
      </c>
      <c r="B909" s="34" t="s">
        <v>1854</v>
      </c>
      <c r="C909" s="34" t="s">
        <v>209</v>
      </c>
      <c r="D909" s="34"/>
      <c r="E909" s="34" t="s">
        <v>1855</v>
      </c>
      <c r="F909" s="34">
        <v>4661</v>
      </c>
      <c r="G909" s="34">
        <v>0</v>
      </c>
      <c r="H909" s="34">
        <f t="shared" si="28"/>
        <v>-4661</v>
      </c>
      <c r="I909" s="34">
        <v>3014</v>
      </c>
      <c r="J909" s="34">
        <f t="shared" si="29"/>
        <v>3</v>
      </c>
      <c r="K909" s="34" t="s">
        <v>956</v>
      </c>
      <c r="L909" s="34" t="str">
        <f>I909 &amp; "-" &amp;VLOOKUP(I909,Střediska!$A$1:$B$40,2,FALSE)</f>
        <v>3014-Příměstský tábor</v>
      </c>
      <c r="M909" s="35" t="str">
        <f>VLOOKUP(Zdroj!$I909,Střediska!$A$1:$B$41,2,FALSE)</f>
        <v>Příměstský tábor</v>
      </c>
    </row>
    <row r="910" spans="1:13" hidden="1" x14ac:dyDescent="0.2">
      <c r="A910" s="36" t="s">
        <v>1845</v>
      </c>
      <c r="B910" s="31" t="s">
        <v>1856</v>
      </c>
      <c r="C910" s="31" t="s">
        <v>209</v>
      </c>
      <c r="D910" s="31"/>
      <c r="E910" s="31" t="s">
        <v>1857</v>
      </c>
      <c r="F910" s="31">
        <v>2400</v>
      </c>
      <c r="G910" s="31">
        <v>0</v>
      </c>
      <c r="H910" s="31">
        <f t="shared" si="28"/>
        <v>-2400</v>
      </c>
      <c r="I910" s="31">
        <v>3014</v>
      </c>
      <c r="J910" s="31">
        <f t="shared" si="29"/>
        <v>3</v>
      </c>
      <c r="K910" s="31" t="s">
        <v>1377</v>
      </c>
      <c r="L910" s="31" t="str">
        <f>I910 &amp; "-" &amp;VLOOKUP(I910,Střediska!$A$1:$B$40,2,FALSE)</f>
        <v>3014-Příměstský tábor</v>
      </c>
      <c r="M910" s="32" t="str">
        <f>VLOOKUP(Zdroj!$I910,Střediska!$A$1:$B$41,2,FALSE)</f>
        <v>Příměstský tábor</v>
      </c>
    </row>
    <row r="911" spans="1:13" hidden="1" x14ac:dyDescent="0.2">
      <c r="A911" s="33" t="s">
        <v>1860</v>
      </c>
      <c r="B911" s="34" t="s">
        <v>1858</v>
      </c>
      <c r="C911" s="34" t="s">
        <v>106</v>
      </c>
      <c r="D911" s="34" t="s">
        <v>1859</v>
      </c>
      <c r="E911" s="34" t="s">
        <v>1861</v>
      </c>
      <c r="F911" s="34">
        <v>5448</v>
      </c>
      <c r="G911" s="34">
        <v>0</v>
      </c>
      <c r="H911" s="34">
        <f t="shared" si="28"/>
        <v>-5448</v>
      </c>
      <c r="I911" s="34">
        <v>3014</v>
      </c>
      <c r="J911" s="34">
        <f t="shared" si="29"/>
        <v>3</v>
      </c>
      <c r="K911" s="34" t="s">
        <v>154</v>
      </c>
      <c r="L911" s="34" t="str">
        <f>I911 &amp; "-" &amp;VLOOKUP(I911,Střediska!$A$1:$B$40,2,FALSE)</f>
        <v>3014-Příměstský tábor</v>
      </c>
      <c r="M911" s="35" t="str">
        <f>VLOOKUP(Zdroj!$I911,Střediska!$A$1:$B$41,2,FALSE)</f>
        <v>Příměstský tábor</v>
      </c>
    </row>
    <row r="912" spans="1:13" hidden="1" x14ac:dyDescent="0.2">
      <c r="A912" s="36" t="s">
        <v>1367</v>
      </c>
      <c r="B912" s="31" t="s">
        <v>1862</v>
      </c>
      <c r="C912" s="31" t="s">
        <v>209</v>
      </c>
      <c r="D912" s="31"/>
      <c r="E912" s="31" t="s">
        <v>210</v>
      </c>
      <c r="F912" s="31">
        <v>6375</v>
      </c>
      <c r="G912" s="31">
        <v>0</v>
      </c>
      <c r="H912" s="31">
        <f t="shared" si="28"/>
        <v>-6375</v>
      </c>
      <c r="I912" s="31">
        <v>3014</v>
      </c>
      <c r="J912" s="31">
        <f t="shared" si="29"/>
        <v>3</v>
      </c>
      <c r="K912" s="31" t="s">
        <v>207</v>
      </c>
      <c r="L912" s="31" t="str">
        <f>I912 &amp; "-" &amp;VLOOKUP(I912,Střediska!$A$1:$B$40,2,FALSE)</f>
        <v>3014-Příměstský tábor</v>
      </c>
      <c r="M912" s="32" t="str">
        <f>VLOOKUP(Zdroj!$I912,Střediska!$A$1:$B$41,2,FALSE)</f>
        <v>Příměstský tábor</v>
      </c>
    </row>
    <row r="913" spans="1:13" hidden="1" x14ac:dyDescent="0.2">
      <c r="A913" s="33" t="s">
        <v>1845</v>
      </c>
      <c r="B913" s="34" t="s">
        <v>1863</v>
      </c>
      <c r="C913" s="34" t="s">
        <v>209</v>
      </c>
      <c r="D913" s="34"/>
      <c r="E913" s="34" t="s">
        <v>210</v>
      </c>
      <c r="F913" s="34">
        <v>14900</v>
      </c>
      <c r="G913" s="34">
        <v>0</v>
      </c>
      <c r="H913" s="34">
        <f t="shared" si="28"/>
        <v>-14900</v>
      </c>
      <c r="I913" s="34">
        <v>3014</v>
      </c>
      <c r="J913" s="34">
        <f t="shared" si="29"/>
        <v>3</v>
      </c>
      <c r="K913" s="34" t="s">
        <v>207</v>
      </c>
      <c r="L913" s="34" t="str">
        <f>I913 &amp; "-" &amp;VLOOKUP(I913,Střediska!$A$1:$B$40,2,FALSE)</f>
        <v>3014-Příměstský tábor</v>
      </c>
      <c r="M913" s="35" t="str">
        <f>VLOOKUP(Zdroj!$I913,Střediska!$A$1:$B$41,2,FALSE)</f>
        <v>Příměstský tábor</v>
      </c>
    </row>
    <row r="914" spans="1:13" hidden="1" x14ac:dyDescent="0.2">
      <c r="A914" s="36" t="s">
        <v>1836</v>
      </c>
      <c r="B914" s="31" t="s">
        <v>1864</v>
      </c>
      <c r="C914" s="31" t="s">
        <v>209</v>
      </c>
      <c r="D914" s="31"/>
      <c r="E914" s="31" t="s">
        <v>1865</v>
      </c>
      <c r="F914" s="31">
        <v>16000</v>
      </c>
      <c r="G914" s="31">
        <v>0</v>
      </c>
      <c r="H914" s="31">
        <f t="shared" si="28"/>
        <v>-16000</v>
      </c>
      <c r="I914" s="31">
        <v>3014</v>
      </c>
      <c r="J914" s="31">
        <f t="shared" si="29"/>
        <v>3</v>
      </c>
      <c r="K914" s="31" t="s">
        <v>207</v>
      </c>
      <c r="L914" s="31" t="str">
        <f>I914 &amp; "-" &amp;VLOOKUP(I914,Střediska!$A$1:$B$40,2,FALSE)</f>
        <v>3014-Příměstský tábor</v>
      </c>
      <c r="M914" s="32" t="str">
        <f>VLOOKUP(Zdroj!$I914,Střediska!$A$1:$B$41,2,FALSE)</f>
        <v>Příměstský tábor</v>
      </c>
    </row>
    <row r="915" spans="1:13" hidden="1" x14ac:dyDescent="0.2">
      <c r="A915" s="33" t="s">
        <v>218</v>
      </c>
      <c r="B915" s="34" t="s">
        <v>1866</v>
      </c>
      <c r="C915" s="34" t="s">
        <v>209</v>
      </c>
      <c r="D915" s="34"/>
      <c r="E915" s="34" t="s">
        <v>210</v>
      </c>
      <c r="F915" s="34">
        <v>10000</v>
      </c>
      <c r="G915" s="34">
        <v>0</v>
      </c>
      <c r="H915" s="34">
        <f t="shared" si="28"/>
        <v>-10000</v>
      </c>
      <c r="I915" s="34">
        <v>3014</v>
      </c>
      <c r="J915" s="34">
        <f t="shared" si="29"/>
        <v>3</v>
      </c>
      <c r="K915" s="34" t="s">
        <v>207</v>
      </c>
      <c r="L915" s="34" t="str">
        <f>I915 &amp; "-" &amp;VLOOKUP(I915,Střediska!$A$1:$B$40,2,FALSE)</f>
        <v>3014-Příměstský tábor</v>
      </c>
      <c r="M915" s="35" t="str">
        <f>VLOOKUP(Zdroj!$I915,Střediska!$A$1:$B$41,2,FALSE)</f>
        <v>Příměstský tábor</v>
      </c>
    </row>
    <row r="916" spans="1:13" hidden="1" x14ac:dyDescent="0.2">
      <c r="A916" s="36" t="s">
        <v>46</v>
      </c>
      <c r="B916" s="31" t="s">
        <v>1869</v>
      </c>
      <c r="C916" s="31" t="s">
        <v>19</v>
      </c>
      <c r="D916" s="31"/>
      <c r="E916" s="31" t="s">
        <v>1870</v>
      </c>
      <c r="F916" s="31">
        <v>0</v>
      </c>
      <c r="G916" s="31">
        <v>165000</v>
      </c>
      <c r="H916" s="31">
        <f t="shared" si="28"/>
        <v>165000</v>
      </c>
      <c r="I916" s="31">
        <v>3014</v>
      </c>
      <c r="J916" s="31">
        <f t="shared" si="29"/>
        <v>3</v>
      </c>
      <c r="K916" s="31" t="s">
        <v>1868</v>
      </c>
      <c r="L916" s="31" t="str">
        <f>I916 &amp; "-" &amp;VLOOKUP(I916,Střediska!$A$1:$B$40,2,FALSE)</f>
        <v>3014-Příměstský tábor</v>
      </c>
      <c r="M916" s="32" t="str">
        <f>VLOOKUP(Zdroj!$I916,Střediska!$A$1:$B$41,2,FALSE)</f>
        <v>Příměstský tábor</v>
      </c>
    </row>
    <row r="917" spans="1:13" hidden="1" x14ac:dyDescent="0.2">
      <c r="A917" s="33" t="s">
        <v>37</v>
      </c>
      <c r="B917" s="34" t="s">
        <v>1873</v>
      </c>
      <c r="C917" s="34" t="s">
        <v>19</v>
      </c>
      <c r="D917" s="34"/>
      <c r="E917" s="34" t="s">
        <v>1874</v>
      </c>
      <c r="F917" s="34">
        <v>7500</v>
      </c>
      <c r="G917" s="34">
        <v>0</v>
      </c>
      <c r="H917" s="34">
        <f t="shared" si="28"/>
        <v>-7500</v>
      </c>
      <c r="I917" s="34">
        <v>3020</v>
      </c>
      <c r="J917" s="34">
        <f t="shared" si="29"/>
        <v>3</v>
      </c>
      <c r="K917" s="34" t="s">
        <v>956</v>
      </c>
      <c r="L917" s="34" t="str">
        <f>I917 &amp; "-" &amp;VLOOKUP(I917,Střediska!$A$1:$B$40,2,FALSE)</f>
        <v>3020-Turnaj Švédsko ženy</v>
      </c>
      <c r="M917" s="35" t="str">
        <f>VLOOKUP(Zdroj!$I917,Střediska!$A$1:$B$41,2,FALSE)</f>
        <v>Turnaj Švédsko ženy</v>
      </c>
    </row>
    <row r="918" spans="1:13" hidden="1" x14ac:dyDescent="0.2">
      <c r="A918" s="36" t="s">
        <v>682</v>
      </c>
      <c r="B918" s="31" t="s">
        <v>1875</v>
      </c>
      <c r="C918" s="31" t="s">
        <v>106</v>
      </c>
      <c r="D918" s="31" t="s">
        <v>1876</v>
      </c>
      <c r="E918" s="31" t="s">
        <v>1877</v>
      </c>
      <c r="F918" s="31">
        <v>34225</v>
      </c>
      <c r="G918" s="31">
        <v>0</v>
      </c>
      <c r="H918" s="31">
        <f t="shared" si="28"/>
        <v>-34225</v>
      </c>
      <c r="I918" s="31">
        <v>3020</v>
      </c>
      <c r="J918" s="31">
        <f t="shared" si="29"/>
        <v>3</v>
      </c>
      <c r="K918" s="31" t="s">
        <v>103</v>
      </c>
      <c r="L918" s="31" t="str">
        <f>I918 &amp; "-" &amp;VLOOKUP(I918,Střediska!$A$1:$B$40,2,FALSE)</f>
        <v>3020-Turnaj Švédsko ženy</v>
      </c>
      <c r="M918" s="32" t="str">
        <f>VLOOKUP(Zdroj!$I918,Střediska!$A$1:$B$41,2,FALSE)</f>
        <v>Turnaj Švédsko ženy</v>
      </c>
    </row>
    <row r="919" spans="1:13" hidden="1" x14ac:dyDescent="0.2">
      <c r="A919" s="33" t="s">
        <v>472</v>
      </c>
      <c r="B919" s="34" t="s">
        <v>1878</v>
      </c>
      <c r="C919" s="34" t="s">
        <v>106</v>
      </c>
      <c r="D919" s="34" t="s">
        <v>1876</v>
      </c>
      <c r="E919" s="34" t="s">
        <v>1877</v>
      </c>
      <c r="F919" s="34">
        <v>230</v>
      </c>
      <c r="G919" s="34">
        <v>0</v>
      </c>
      <c r="H919" s="34">
        <f t="shared" si="28"/>
        <v>-230</v>
      </c>
      <c r="I919" s="34">
        <v>3020</v>
      </c>
      <c r="J919" s="34">
        <f t="shared" si="29"/>
        <v>3</v>
      </c>
      <c r="K919" s="34" t="s">
        <v>103</v>
      </c>
      <c r="L919" s="34" t="str">
        <f>I919 &amp; "-" &amp;VLOOKUP(I919,Střediska!$A$1:$B$40,2,FALSE)</f>
        <v>3020-Turnaj Švédsko ženy</v>
      </c>
      <c r="M919" s="35" t="str">
        <f>VLOOKUP(Zdroj!$I919,Střediska!$A$1:$B$41,2,FALSE)</f>
        <v>Turnaj Švédsko ženy</v>
      </c>
    </row>
    <row r="920" spans="1:13" hidden="1" x14ac:dyDescent="0.2">
      <c r="A920" s="36" t="s">
        <v>1822</v>
      </c>
      <c r="B920" s="31" t="s">
        <v>1879</v>
      </c>
      <c r="C920" s="31" t="s">
        <v>106</v>
      </c>
      <c r="D920" s="31" t="s">
        <v>1880</v>
      </c>
      <c r="E920" s="31" t="s">
        <v>1881</v>
      </c>
      <c r="F920" s="31">
        <v>85000</v>
      </c>
      <c r="G920" s="31">
        <v>0</v>
      </c>
      <c r="H920" s="31">
        <f t="shared" si="28"/>
        <v>-85000</v>
      </c>
      <c r="I920" s="31">
        <v>3020</v>
      </c>
      <c r="J920" s="31">
        <f t="shared" si="29"/>
        <v>3</v>
      </c>
      <c r="K920" s="31" t="s">
        <v>103</v>
      </c>
      <c r="L920" s="31" t="str">
        <f>I920 &amp; "-" &amp;VLOOKUP(I920,Střediska!$A$1:$B$40,2,FALSE)</f>
        <v>3020-Turnaj Švédsko ženy</v>
      </c>
      <c r="M920" s="32" t="str">
        <f>VLOOKUP(Zdroj!$I920,Střediska!$A$1:$B$41,2,FALSE)</f>
        <v>Turnaj Švédsko ženy</v>
      </c>
    </row>
    <row r="921" spans="1:13" hidden="1" x14ac:dyDescent="0.2">
      <c r="A921" s="33" t="s">
        <v>1883</v>
      </c>
      <c r="B921" s="34" t="s">
        <v>1882</v>
      </c>
      <c r="C921" s="34" t="s">
        <v>106</v>
      </c>
      <c r="D921" s="34" t="s">
        <v>1876</v>
      </c>
      <c r="E921" s="34" t="s">
        <v>1877</v>
      </c>
      <c r="F921" s="34">
        <v>1554</v>
      </c>
      <c r="G921" s="34">
        <v>0</v>
      </c>
      <c r="H921" s="34">
        <f t="shared" si="28"/>
        <v>-1554</v>
      </c>
      <c r="I921" s="34">
        <v>3020</v>
      </c>
      <c r="J921" s="34">
        <f t="shared" si="29"/>
        <v>3</v>
      </c>
      <c r="K921" s="34" t="s">
        <v>103</v>
      </c>
      <c r="L921" s="34" t="str">
        <f>I921 &amp; "-" &amp;VLOOKUP(I921,Střediska!$A$1:$B$40,2,FALSE)</f>
        <v>3020-Turnaj Švédsko ženy</v>
      </c>
      <c r="M921" s="35" t="str">
        <f>VLOOKUP(Zdroj!$I921,Střediska!$A$1:$B$41,2,FALSE)</f>
        <v>Turnaj Švédsko ženy</v>
      </c>
    </row>
    <row r="922" spans="1:13" hidden="1" x14ac:dyDescent="0.2">
      <c r="A922" s="36" t="s">
        <v>778</v>
      </c>
      <c r="B922" s="31" t="s">
        <v>1884</v>
      </c>
      <c r="C922" s="31" t="s">
        <v>106</v>
      </c>
      <c r="D922" s="31" t="s">
        <v>1885</v>
      </c>
      <c r="E922" s="31" t="s">
        <v>1886</v>
      </c>
      <c r="F922" s="31">
        <v>8139.3</v>
      </c>
      <c r="G922" s="31">
        <v>0</v>
      </c>
      <c r="H922" s="31">
        <f t="shared" si="28"/>
        <v>-8139.3</v>
      </c>
      <c r="I922" s="31">
        <v>3020</v>
      </c>
      <c r="J922" s="31">
        <f t="shared" si="29"/>
        <v>3</v>
      </c>
      <c r="K922" s="31" t="s">
        <v>148</v>
      </c>
      <c r="L922" s="31" t="str">
        <f>I922 &amp; "-" &amp;VLOOKUP(I922,Střediska!$A$1:$B$40,2,FALSE)</f>
        <v>3020-Turnaj Švédsko ženy</v>
      </c>
      <c r="M922" s="32" t="str">
        <f>VLOOKUP(Zdroj!$I922,Střediska!$A$1:$B$41,2,FALSE)</f>
        <v>Turnaj Švédsko ženy</v>
      </c>
    </row>
    <row r="923" spans="1:13" hidden="1" x14ac:dyDescent="0.2">
      <c r="A923" s="33" t="s">
        <v>1889</v>
      </c>
      <c r="B923" s="34" t="s">
        <v>1887</v>
      </c>
      <c r="C923" s="34" t="s">
        <v>106</v>
      </c>
      <c r="D923" s="34" t="s">
        <v>1888</v>
      </c>
      <c r="E923" s="34" t="s">
        <v>1890</v>
      </c>
      <c r="F923" s="34">
        <v>212800</v>
      </c>
      <c r="G923" s="34">
        <v>0</v>
      </c>
      <c r="H923" s="34">
        <f t="shared" si="28"/>
        <v>-212800</v>
      </c>
      <c r="I923" s="34">
        <v>3020</v>
      </c>
      <c r="J923" s="34">
        <f t="shared" si="29"/>
        <v>3</v>
      </c>
      <c r="K923" s="34" t="s">
        <v>154</v>
      </c>
      <c r="L923" s="34" t="str">
        <f>I923 &amp; "-" &amp;VLOOKUP(I923,Střediska!$A$1:$B$40,2,FALSE)</f>
        <v>3020-Turnaj Švédsko ženy</v>
      </c>
      <c r="M923" s="35" t="str">
        <f>VLOOKUP(Zdroj!$I923,Střediska!$A$1:$B$41,2,FALSE)</f>
        <v>Turnaj Švédsko ženy</v>
      </c>
    </row>
    <row r="924" spans="1:13" hidden="1" x14ac:dyDescent="0.2">
      <c r="A924" s="36" t="s">
        <v>1894</v>
      </c>
      <c r="B924" s="31" t="s">
        <v>1893</v>
      </c>
      <c r="C924" s="31" t="s">
        <v>64</v>
      </c>
      <c r="D924" s="31" t="s">
        <v>1885</v>
      </c>
      <c r="E924" s="31" t="s">
        <v>1895</v>
      </c>
      <c r="F924" s="31">
        <v>252.7</v>
      </c>
      <c r="G924" s="31">
        <v>0</v>
      </c>
      <c r="H924" s="31">
        <f t="shared" si="28"/>
        <v>-252.7</v>
      </c>
      <c r="I924" s="31">
        <v>3020</v>
      </c>
      <c r="J924" s="31">
        <f t="shared" si="29"/>
        <v>3</v>
      </c>
      <c r="K924" s="31" t="s">
        <v>1892</v>
      </c>
      <c r="L924" s="31" t="str">
        <f>I924 &amp; "-" &amp;VLOOKUP(I924,Střediska!$A$1:$B$40,2,FALSE)</f>
        <v>3020-Turnaj Švédsko ženy</v>
      </c>
      <c r="M924" s="32" t="str">
        <f>VLOOKUP(Zdroj!$I924,Střediska!$A$1:$B$41,2,FALSE)</f>
        <v>Turnaj Švédsko ženy</v>
      </c>
    </row>
    <row r="925" spans="1:13" hidden="1" x14ac:dyDescent="0.2">
      <c r="A925" s="33" t="s">
        <v>37</v>
      </c>
      <c r="B925" s="34" t="s">
        <v>1898</v>
      </c>
      <c r="C925" s="34" t="s">
        <v>19</v>
      </c>
      <c r="D925" s="34"/>
      <c r="E925" s="34" t="s">
        <v>1899</v>
      </c>
      <c r="F925" s="34">
        <v>17669</v>
      </c>
      <c r="G925" s="34">
        <v>0</v>
      </c>
      <c r="H925" s="34">
        <f t="shared" si="28"/>
        <v>-17669</v>
      </c>
      <c r="I925" s="34">
        <v>3020</v>
      </c>
      <c r="J925" s="34">
        <f t="shared" si="29"/>
        <v>3</v>
      </c>
      <c r="K925" s="34" t="s">
        <v>1897</v>
      </c>
      <c r="L925" s="34" t="str">
        <f>I925 &amp; "-" &amp;VLOOKUP(I925,Střediska!$A$1:$B$40,2,FALSE)</f>
        <v>3020-Turnaj Švédsko ženy</v>
      </c>
      <c r="M925" s="35" t="str">
        <f>VLOOKUP(Zdroj!$I925,Střediska!$A$1:$B$41,2,FALSE)</f>
        <v>Turnaj Švédsko ženy</v>
      </c>
    </row>
    <row r="926" spans="1:13" hidden="1" x14ac:dyDescent="0.2">
      <c r="A926" s="36" t="s">
        <v>43</v>
      </c>
      <c r="B926" s="31" t="s">
        <v>1900</v>
      </c>
      <c r="C926" s="31" t="s">
        <v>19</v>
      </c>
      <c r="D926" s="31"/>
      <c r="E926" s="31" t="s">
        <v>1901</v>
      </c>
      <c r="F926" s="31">
        <v>0</v>
      </c>
      <c r="G926" s="31">
        <v>322030</v>
      </c>
      <c r="H926" s="31">
        <f t="shared" si="28"/>
        <v>322030</v>
      </c>
      <c r="I926" s="31">
        <v>3020</v>
      </c>
      <c r="J926" s="31">
        <f t="shared" si="29"/>
        <v>3</v>
      </c>
      <c r="K926" s="31" t="s">
        <v>246</v>
      </c>
      <c r="L926" s="31" t="str">
        <f>I926 &amp; "-" &amp;VLOOKUP(I926,Střediska!$A$1:$B$40,2,FALSE)</f>
        <v>3020-Turnaj Švédsko ženy</v>
      </c>
      <c r="M926" s="32" t="str">
        <f>VLOOKUP(Zdroj!$I926,Střediska!$A$1:$B$41,2,FALSE)</f>
        <v>Turnaj Švédsko ženy</v>
      </c>
    </row>
    <row r="927" spans="1:13" hidden="1" x14ac:dyDescent="0.2">
      <c r="A927" s="33" t="s">
        <v>40</v>
      </c>
      <c r="B927" s="34" t="s">
        <v>1904</v>
      </c>
      <c r="C927" s="34" t="s">
        <v>19</v>
      </c>
      <c r="D927" s="34"/>
      <c r="E927" s="34" t="s">
        <v>1905</v>
      </c>
      <c r="F927" s="34">
        <v>0</v>
      </c>
      <c r="G927" s="34">
        <v>50500</v>
      </c>
      <c r="H927" s="34">
        <f t="shared" si="28"/>
        <v>50500</v>
      </c>
      <c r="I927" s="34">
        <v>3024</v>
      </c>
      <c r="J927" s="34">
        <f t="shared" si="29"/>
        <v>3</v>
      </c>
      <c r="K927" s="34" t="s">
        <v>246</v>
      </c>
      <c r="L927" s="34" t="str">
        <f>I927 &amp; "-" &amp;VLOOKUP(I927,Střediska!$A$1:$B$40,2,FALSE)</f>
        <v>3024-Hummel</v>
      </c>
      <c r="M927" s="35" t="str">
        <f>VLOOKUP(Zdroj!$I927,Střediska!$A$1:$B$41,2,FALSE)</f>
        <v>Hummel</v>
      </c>
    </row>
    <row r="928" spans="1:13" hidden="1" x14ac:dyDescent="0.2">
      <c r="A928" s="36" t="s">
        <v>1909</v>
      </c>
      <c r="B928" s="31" t="s">
        <v>1908</v>
      </c>
      <c r="C928" s="31" t="s">
        <v>209</v>
      </c>
      <c r="D928" s="31"/>
      <c r="E928" s="31" t="s">
        <v>964</v>
      </c>
      <c r="F928" s="31">
        <v>6295</v>
      </c>
      <c r="G928" s="31">
        <v>0</v>
      </c>
      <c r="H928" s="31">
        <f t="shared" si="28"/>
        <v>-6295</v>
      </c>
      <c r="I928" s="31">
        <v>3027</v>
      </c>
      <c r="J928" s="31">
        <f t="shared" si="29"/>
        <v>3</v>
      </c>
      <c r="K928" s="31" t="s">
        <v>103</v>
      </c>
      <c r="L928" s="31" t="str">
        <f>I928 &amp; "-" &amp;VLOOKUP(I928,Střediska!$A$1:$B$40,2,FALSE)</f>
        <v>3027-Prague Games</v>
      </c>
      <c r="M928" s="32" t="str">
        <f>VLOOKUP(Zdroj!$I928,Střediska!$A$1:$B$41,2,FALSE)</f>
        <v>Prague Games</v>
      </c>
    </row>
    <row r="929" spans="1:13" hidden="1" x14ac:dyDescent="0.2">
      <c r="A929" s="33" t="s">
        <v>46</v>
      </c>
      <c r="B929" s="34" t="s">
        <v>132</v>
      </c>
      <c r="C929" s="34" t="s">
        <v>106</v>
      </c>
      <c r="D929" s="34" t="s">
        <v>133</v>
      </c>
      <c r="E929" s="34" t="s">
        <v>134</v>
      </c>
      <c r="F929" s="34">
        <v>2000</v>
      </c>
      <c r="G929" s="34">
        <v>0</v>
      </c>
      <c r="H929" s="34">
        <f t="shared" si="28"/>
        <v>-2000</v>
      </c>
      <c r="I929" s="34">
        <v>3027</v>
      </c>
      <c r="J929" s="34">
        <f t="shared" si="29"/>
        <v>3</v>
      </c>
      <c r="K929" s="34" t="s">
        <v>110</v>
      </c>
      <c r="L929" s="34" t="str">
        <f>I929 &amp; "-" &amp;VLOOKUP(I929,Střediska!$A$1:$B$40,2,FALSE)</f>
        <v>3027-Prague Games</v>
      </c>
      <c r="M929" s="35" t="str">
        <f>VLOOKUP(Zdroj!$I929,Střediska!$A$1:$B$41,2,FALSE)</f>
        <v>Prague Games</v>
      </c>
    </row>
    <row r="930" spans="1:13" hidden="1" x14ac:dyDescent="0.2">
      <c r="A930" s="36" t="s">
        <v>129</v>
      </c>
      <c r="B930" s="31" t="s">
        <v>1910</v>
      </c>
      <c r="C930" s="31" t="s">
        <v>106</v>
      </c>
      <c r="D930" s="31" t="s">
        <v>1911</v>
      </c>
      <c r="E930" s="31" t="s">
        <v>1912</v>
      </c>
      <c r="F930" s="31">
        <v>46000</v>
      </c>
      <c r="G930" s="31">
        <v>0</v>
      </c>
      <c r="H930" s="31">
        <f t="shared" si="28"/>
        <v>-46000</v>
      </c>
      <c r="I930" s="31">
        <v>3027</v>
      </c>
      <c r="J930" s="31">
        <f t="shared" si="29"/>
        <v>3</v>
      </c>
      <c r="K930" s="31" t="s">
        <v>148</v>
      </c>
      <c r="L930" s="31" t="str">
        <f>I930 &amp; "-" &amp;VLOOKUP(I930,Střediska!$A$1:$B$40,2,FALSE)</f>
        <v>3027-Prague Games</v>
      </c>
      <c r="M930" s="32" t="str">
        <f>VLOOKUP(Zdroj!$I930,Střediska!$A$1:$B$41,2,FALSE)</f>
        <v>Prague Games</v>
      </c>
    </row>
    <row r="931" spans="1:13" hidden="1" x14ac:dyDescent="0.2">
      <c r="A931" s="33" t="s">
        <v>875</v>
      </c>
      <c r="B931" s="34" t="s">
        <v>1913</v>
      </c>
      <c r="C931" s="34" t="s">
        <v>106</v>
      </c>
      <c r="D931" s="34" t="s">
        <v>1888</v>
      </c>
      <c r="E931" s="34" t="s">
        <v>1914</v>
      </c>
      <c r="F931" s="34">
        <v>49300</v>
      </c>
      <c r="G931" s="34">
        <v>0</v>
      </c>
      <c r="H931" s="34">
        <f t="shared" si="28"/>
        <v>-49300</v>
      </c>
      <c r="I931" s="34">
        <v>3027</v>
      </c>
      <c r="J931" s="34">
        <f t="shared" si="29"/>
        <v>3</v>
      </c>
      <c r="K931" s="34" t="s">
        <v>154</v>
      </c>
      <c r="L931" s="34" t="str">
        <f>I931 &amp; "-" &amp;VLOOKUP(I931,Střediska!$A$1:$B$40,2,FALSE)</f>
        <v>3027-Prague Games</v>
      </c>
      <c r="M931" s="35" t="str">
        <f>VLOOKUP(Zdroj!$I931,Střediska!$A$1:$B$41,2,FALSE)</f>
        <v>Prague Games</v>
      </c>
    </row>
    <row r="932" spans="1:13" hidden="1" x14ac:dyDescent="0.2">
      <c r="A932" s="36" t="s">
        <v>961</v>
      </c>
      <c r="B932" s="31" t="s">
        <v>1915</v>
      </c>
      <c r="C932" s="31" t="s">
        <v>106</v>
      </c>
      <c r="D932" s="31" t="s">
        <v>156</v>
      </c>
      <c r="E932" s="31" t="s">
        <v>1916</v>
      </c>
      <c r="F932" s="31">
        <v>97670</v>
      </c>
      <c r="G932" s="31">
        <v>0</v>
      </c>
      <c r="H932" s="31">
        <f t="shared" si="28"/>
        <v>-97670</v>
      </c>
      <c r="I932" s="31">
        <v>3027</v>
      </c>
      <c r="J932" s="31">
        <f t="shared" si="29"/>
        <v>3</v>
      </c>
      <c r="K932" s="31" t="s">
        <v>154</v>
      </c>
      <c r="L932" s="31" t="str">
        <f>I932 &amp; "-" &amp;VLOOKUP(I932,Střediska!$A$1:$B$40,2,FALSE)</f>
        <v>3027-Prague Games</v>
      </c>
      <c r="M932" s="32" t="str">
        <f>VLOOKUP(Zdroj!$I932,Střediska!$A$1:$B$41,2,FALSE)</f>
        <v>Prague Games</v>
      </c>
    </row>
    <row r="933" spans="1:13" hidden="1" x14ac:dyDescent="0.2">
      <c r="A933" s="33" t="s">
        <v>43</v>
      </c>
      <c r="B933" s="34" t="s">
        <v>1917</v>
      </c>
      <c r="C933" s="34" t="s">
        <v>19</v>
      </c>
      <c r="D933" s="34"/>
      <c r="E933" s="34" t="s">
        <v>1918</v>
      </c>
      <c r="F933" s="34">
        <v>0</v>
      </c>
      <c r="G933" s="34">
        <v>155250</v>
      </c>
      <c r="H933" s="34">
        <f t="shared" si="28"/>
        <v>155250</v>
      </c>
      <c r="I933" s="34">
        <v>3027</v>
      </c>
      <c r="J933" s="34">
        <f t="shared" si="29"/>
        <v>3</v>
      </c>
      <c r="K933" s="34" t="s">
        <v>246</v>
      </c>
      <c r="L933" s="34" t="str">
        <f>I933 &amp; "-" &amp;VLOOKUP(I933,Střediska!$A$1:$B$40,2,FALSE)</f>
        <v>3027-Prague Games</v>
      </c>
      <c r="M933" s="35" t="str">
        <f>VLOOKUP(Zdroj!$I933,Střediska!$A$1:$B$41,2,FALSE)</f>
        <v>Prague Games</v>
      </c>
    </row>
    <row r="934" spans="1:13" hidden="1" x14ac:dyDescent="0.2">
      <c r="A934" s="36" t="s">
        <v>151</v>
      </c>
      <c r="B934" s="31" t="s">
        <v>1919</v>
      </c>
      <c r="C934" s="31" t="s">
        <v>209</v>
      </c>
      <c r="D934" s="31"/>
      <c r="E934" s="31" t="s">
        <v>1920</v>
      </c>
      <c r="F934" s="31">
        <v>0</v>
      </c>
      <c r="G934" s="31">
        <v>9034</v>
      </c>
      <c r="H934" s="31">
        <f t="shared" si="28"/>
        <v>9034</v>
      </c>
      <c r="I934" s="31">
        <v>3027</v>
      </c>
      <c r="J934" s="31">
        <f t="shared" si="29"/>
        <v>3</v>
      </c>
      <c r="K934" s="31" t="s">
        <v>246</v>
      </c>
      <c r="L934" s="31" t="str">
        <f>I934 &amp; "-" &amp;VLOOKUP(I934,Střediska!$A$1:$B$40,2,FALSE)</f>
        <v>3027-Prague Games</v>
      </c>
      <c r="M934" s="32" t="str">
        <f>VLOOKUP(Zdroj!$I934,Střediska!$A$1:$B$41,2,FALSE)</f>
        <v>Prague Games</v>
      </c>
    </row>
    <row r="935" spans="1:13" hidden="1" x14ac:dyDescent="0.2">
      <c r="A935" s="33" t="s">
        <v>20</v>
      </c>
      <c r="B935" s="34" t="s">
        <v>1923</v>
      </c>
      <c r="C935" s="34" t="s">
        <v>19</v>
      </c>
      <c r="D935" s="34"/>
      <c r="E935" s="34" t="s">
        <v>1924</v>
      </c>
      <c r="F935" s="34">
        <v>0</v>
      </c>
      <c r="G935" s="34">
        <v>236600</v>
      </c>
      <c r="H935" s="34">
        <f t="shared" si="28"/>
        <v>236600</v>
      </c>
      <c r="I935" s="34">
        <v>3028</v>
      </c>
      <c r="J935" s="34">
        <f t="shared" si="29"/>
        <v>3</v>
      </c>
      <c r="K935" s="34" t="s">
        <v>246</v>
      </c>
      <c r="L935" s="34" t="str">
        <f>I935 &amp; "-" &amp;VLOOKUP(I935,Střediska!$A$1:$B$40,2,FALSE)</f>
        <v>3028-Turnaj Gothia</v>
      </c>
      <c r="M935" s="35" t="str">
        <f>VLOOKUP(Zdroj!$I935,Střediska!$A$1:$B$41,2,FALSE)</f>
        <v>Turnaj Gothia</v>
      </c>
    </row>
    <row r="936" spans="1:13" hidden="1" x14ac:dyDescent="0.2">
      <c r="A936" s="36" t="s">
        <v>630</v>
      </c>
      <c r="B936" s="31" t="s">
        <v>1927</v>
      </c>
      <c r="C936" s="31" t="s">
        <v>106</v>
      </c>
      <c r="D936" s="31" t="s">
        <v>1928</v>
      </c>
      <c r="E936" s="31" t="s">
        <v>1929</v>
      </c>
      <c r="F936" s="31">
        <v>7480</v>
      </c>
      <c r="G936" s="31">
        <v>0</v>
      </c>
      <c r="H936" s="31">
        <f t="shared" si="28"/>
        <v>-7480</v>
      </c>
      <c r="I936" s="31">
        <v>4011</v>
      </c>
      <c r="J936" s="31">
        <f t="shared" si="29"/>
        <v>4</v>
      </c>
      <c r="K936" s="31" t="s">
        <v>17</v>
      </c>
      <c r="L936" s="31" t="str">
        <f>I936 &amp; "-" &amp;VLOOKUP(I936,Střediska!$A$1:$B$40,2,FALSE)</f>
        <v>4011-Kroužky</v>
      </c>
      <c r="M936" s="32" t="str">
        <f>VLOOKUP(Zdroj!$I936,Střediska!$A$1:$B$41,2,FALSE)</f>
        <v>Kroužky</v>
      </c>
    </row>
    <row r="937" spans="1:13" hidden="1" x14ac:dyDescent="0.2">
      <c r="A937" s="33" t="s">
        <v>709</v>
      </c>
      <c r="B937" s="34" t="s">
        <v>1930</v>
      </c>
      <c r="C937" s="34" t="s">
        <v>106</v>
      </c>
      <c r="D937" s="34" t="s">
        <v>1928</v>
      </c>
      <c r="E937" s="34" t="s">
        <v>1931</v>
      </c>
      <c r="F937" s="34">
        <v>5720</v>
      </c>
      <c r="G937" s="34">
        <v>0</v>
      </c>
      <c r="H937" s="34">
        <f t="shared" si="28"/>
        <v>-5720</v>
      </c>
      <c r="I937" s="34">
        <v>4011</v>
      </c>
      <c r="J937" s="34">
        <f t="shared" si="29"/>
        <v>4</v>
      </c>
      <c r="K937" s="34" t="s">
        <v>17</v>
      </c>
      <c r="L937" s="34" t="str">
        <f>I937 &amp; "-" &amp;VLOOKUP(I937,Střediska!$A$1:$B$40,2,FALSE)</f>
        <v>4011-Kroužky</v>
      </c>
      <c r="M937" s="35" t="str">
        <f>VLOOKUP(Zdroj!$I937,Střediska!$A$1:$B$41,2,FALSE)</f>
        <v>Kroužky</v>
      </c>
    </row>
    <row r="938" spans="1:13" hidden="1" x14ac:dyDescent="0.2">
      <c r="A938" s="36" t="s">
        <v>20</v>
      </c>
      <c r="B938" s="31" t="s">
        <v>18</v>
      </c>
      <c r="C938" s="31" t="s">
        <v>19</v>
      </c>
      <c r="D938" s="31"/>
      <c r="E938" s="31" t="s">
        <v>21</v>
      </c>
      <c r="F938" s="31">
        <v>20650</v>
      </c>
      <c r="G938" s="31">
        <v>0</v>
      </c>
      <c r="H938" s="31">
        <f t="shared" si="28"/>
        <v>-20650</v>
      </c>
      <c r="I938" s="31">
        <v>4011</v>
      </c>
      <c r="J938" s="31">
        <f t="shared" si="29"/>
        <v>4</v>
      </c>
      <c r="K938" s="31" t="s">
        <v>17</v>
      </c>
      <c r="L938" s="31" t="str">
        <f>I938 &amp; "-" &amp;VLOOKUP(I938,Střediska!$A$1:$B$40,2,FALSE)</f>
        <v>4011-Kroužky</v>
      </c>
      <c r="M938" s="32" t="str">
        <f>VLOOKUP(Zdroj!$I938,Střediska!$A$1:$B$41,2,FALSE)</f>
        <v>Kroužky</v>
      </c>
    </row>
    <row r="939" spans="1:13" hidden="1" x14ac:dyDescent="0.2">
      <c r="A939" s="33" t="s">
        <v>20</v>
      </c>
      <c r="B939" s="34" t="s">
        <v>59</v>
      </c>
      <c r="C939" s="34" t="s">
        <v>19</v>
      </c>
      <c r="D939" s="34"/>
      <c r="E939" s="34" t="s">
        <v>60</v>
      </c>
      <c r="F939" s="34">
        <v>19880</v>
      </c>
      <c r="G939" s="34">
        <v>0</v>
      </c>
      <c r="H939" s="34">
        <f t="shared" si="28"/>
        <v>-19880</v>
      </c>
      <c r="I939" s="34">
        <v>4011</v>
      </c>
      <c r="J939" s="34">
        <f t="shared" si="29"/>
        <v>4</v>
      </c>
      <c r="K939" s="34" t="s">
        <v>23</v>
      </c>
      <c r="L939" s="34" t="str">
        <f>I939 &amp; "-" &amp;VLOOKUP(I939,Střediska!$A$1:$B$40,2,FALSE)</f>
        <v>4011-Kroužky</v>
      </c>
      <c r="M939" s="35" t="str">
        <f>VLOOKUP(Zdroj!$I939,Střediska!$A$1:$B$41,2,FALSE)</f>
        <v>Kroužky</v>
      </c>
    </row>
    <row r="940" spans="1:13" hidden="1" x14ac:dyDescent="0.2">
      <c r="A940" s="36" t="s">
        <v>20</v>
      </c>
      <c r="B940" s="31" t="s">
        <v>1932</v>
      </c>
      <c r="C940" s="31" t="s">
        <v>19</v>
      </c>
      <c r="D940" s="31"/>
      <c r="E940" s="31" t="s">
        <v>1933</v>
      </c>
      <c r="F940" s="31">
        <v>0</v>
      </c>
      <c r="G940" s="31">
        <v>64460.6</v>
      </c>
      <c r="H940" s="31">
        <f t="shared" si="28"/>
        <v>64460.6</v>
      </c>
      <c r="I940" s="31">
        <v>4011</v>
      </c>
      <c r="J940" s="31">
        <f t="shared" si="29"/>
        <v>4</v>
      </c>
      <c r="K940" s="31" t="s">
        <v>90</v>
      </c>
      <c r="L940" s="31" t="str">
        <f>I940 &amp; "-" &amp;VLOOKUP(I940,Střediska!$A$1:$B$40,2,FALSE)</f>
        <v>4011-Kroužky</v>
      </c>
      <c r="M940" s="32" t="str">
        <f>VLOOKUP(Zdroj!$I940,Střediska!$A$1:$B$41,2,FALSE)</f>
        <v>Kroužky</v>
      </c>
    </row>
    <row r="941" spans="1:13" hidden="1" x14ac:dyDescent="0.2">
      <c r="A941" s="33" t="s">
        <v>1845</v>
      </c>
      <c r="B941" s="34" t="s">
        <v>1936</v>
      </c>
      <c r="C941" s="34" t="s">
        <v>106</v>
      </c>
      <c r="D941" s="34" t="s">
        <v>1937</v>
      </c>
      <c r="E941" s="34" t="s">
        <v>1938</v>
      </c>
      <c r="F941" s="34">
        <v>8000</v>
      </c>
      <c r="G941" s="34">
        <v>0</v>
      </c>
      <c r="H941" s="34">
        <f t="shared" si="28"/>
        <v>-8000</v>
      </c>
      <c r="I941" s="34">
        <v>4021</v>
      </c>
      <c r="J941" s="34">
        <f t="shared" si="29"/>
        <v>4</v>
      </c>
      <c r="K941" s="34" t="s">
        <v>748</v>
      </c>
      <c r="L941" s="34" t="str">
        <f>I941 &amp; "-" &amp;VLOOKUP(I941,Střediska!$A$1:$B$40,2,FALSE)</f>
        <v>4021-Skills Camp</v>
      </c>
      <c r="M941" s="35" t="str">
        <f>VLOOKUP(Zdroj!$I941,Střediska!$A$1:$B$41,2,FALSE)</f>
        <v>Skills Camp</v>
      </c>
    </row>
    <row r="942" spans="1:13" hidden="1" x14ac:dyDescent="0.2">
      <c r="A942" s="36" t="s">
        <v>371</v>
      </c>
      <c r="B942" s="31" t="s">
        <v>1939</v>
      </c>
      <c r="C942" s="31" t="s">
        <v>106</v>
      </c>
      <c r="D942" s="31" t="s">
        <v>1940</v>
      </c>
      <c r="E942" s="31" t="s">
        <v>1941</v>
      </c>
      <c r="F942" s="31">
        <v>10000</v>
      </c>
      <c r="G942" s="31">
        <v>0</v>
      </c>
      <c r="H942" s="31">
        <f t="shared" si="28"/>
        <v>-10000</v>
      </c>
      <c r="I942" s="31">
        <v>4021</v>
      </c>
      <c r="J942" s="31">
        <f t="shared" si="29"/>
        <v>4</v>
      </c>
      <c r="K942" s="31" t="s">
        <v>110</v>
      </c>
      <c r="L942" s="31" t="str">
        <f>I942 &amp; "-" &amp;VLOOKUP(I942,Střediska!$A$1:$B$40,2,FALSE)</f>
        <v>4021-Skills Camp</v>
      </c>
      <c r="M942" s="32" t="str">
        <f>VLOOKUP(Zdroj!$I942,Střediska!$A$1:$B$41,2,FALSE)</f>
        <v>Skills Camp</v>
      </c>
    </row>
    <row r="943" spans="1:13" hidden="1" x14ac:dyDescent="0.2">
      <c r="A943" s="33" t="s">
        <v>46</v>
      </c>
      <c r="B943" s="34" t="s">
        <v>1944</v>
      </c>
      <c r="C943" s="34" t="s">
        <v>19</v>
      </c>
      <c r="D943" s="34"/>
      <c r="E943" s="34" t="s">
        <v>1870</v>
      </c>
      <c r="F943" s="34">
        <v>0</v>
      </c>
      <c r="G943" s="34">
        <v>111850</v>
      </c>
      <c r="H943" s="34">
        <f t="shared" si="28"/>
        <v>111850</v>
      </c>
      <c r="I943" s="34">
        <v>4021</v>
      </c>
      <c r="J943" s="34">
        <f t="shared" si="29"/>
        <v>4</v>
      </c>
      <c r="K943" s="34" t="s">
        <v>1943</v>
      </c>
      <c r="L943" s="34" t="str">
        <f>I943 &amp; "-" &amp;VLOOKUP(I943,Střediska!$A$1:$B$40,2,FALSE)</f>
        <v>4021-Skills Camp</v>
      </c>
      <c r="M943" s="35" t="str">
        <f>VLOOKUP(Zdroj!$I943,Střediska!$A$1:$B$41,2,FALSE)</f>
        <v>Skills Camp</v>
      </c>
    </row>
    <row r="944" spans="1:13" hidden="1" x14ac:dyDescent="0.2">
      <c r="A944" s="36" t="s">
        <v>31</v>
      </c>
      <c r="B944" s="31" t="s">
        <v>1945</v>
      </c>
      <c r="C944" s="31" t="s">
        <v>19</v>
      </c>
      <c r="D944" s="31"/>
      <c r="E944" s="31" t="s">
        <v>1870</v>
      </c>
      <c r="F944" s="31">
        <v>0</v>
      </c>
      <c r="G944" s="31">
        <v>50400</v>
      </c>
      <c r="H944" s="31">
        <f t="shared" si="28"/>
        <v>50400</v>
      </c>
      <c r="I944" s="31">
        <v>4021</v>
      </c>
      <c r="J944" s="31">
        <f t="shared" si="29"/>
        <v>4</v>
      </c>
      <c r="K944" s="31" t="s">
        <v>1868</v>
      </c>
      <c r="L944" s="31" t="str">
        <f>I944 &amp; "-" &amp;VLOOKUP(I944,Střediska!$A$1:$B$40,2,FALSE)</f>
        <v>4021-Skills Camp</v>
      </c>
      <c r="M944" s="32" t="str">
        <f>VLOOKUP(Zdroj!$I944,Střediska!$A$1:$B$41,2,FALSE)</f>
        <v>Skills Camp</v>
      </c>
    </row>
    <row r="945" spans="1:13" hidden="1" x14ac:dyDescent="0.2">
      <c r="A945" s="33" t="s">
        <v>34</v>
      </c>
      <c r="B945" s="34" t="s">
        <v>1946</v>
      </c>
      <c r="C945" s="34" t="s">
        <v>19</v>
      </c>
      <c r="D945" s="34"/>
      <c r="E945" s="34" t="s">
        <v>1870</v>
      </c>
      <c r="F945" s="34">
        <v>0</v>
      </c>
      <c r="G945" s="34">
        <v>11000</v>
      </c>
      <c r="H945" s="34">
        <f t="shared" si="28"/>
        <v>11000</v>
      </c>
      <c r="I945" s="34">
        <v>4021</v>
      </c>
      <c r="J945" s="34">
        <f t="shared" si="29"/>
        <v>4</v>
      </c>
      <c r="K945" s="34" t="s">
        <v>1868</v>
      </c>
      <c r="L945" s="34" t="str">
        <f>I945 &amp; "-" &amp;VLOOKUP(I945,Střediska!$A$1:$B$40,2,FALSE)</f>
        <v>4021-Skills Camp</v>
      </c>
      <c r="M945" s="35" t="str">
        <f>VLOOKUP(Zdroj!$I945,Střediska!$A$1:$B$41,2,FALSE)</f>
        <v>Skills Camp</v>
      </c>
    </row>
    <row r="946" spans="1:13" hidden="1" x14ac:dyDescent="0.2">
      <c r="A946" s="36" t="s">
        <v>40</v>
      </c>
      <c r="B946" s="31" t="s">
        <v>1951</v>
      </c>
      <c r="C946" s="31" t="s">
        <v>106</v>
      </c>
      <c r="D946" s="31" t="s">
        <v>575</v>
      </c>
      <c r="E946" s="31" t="s">
        <v>1952</v>
      </c>
      <c r="F946" s="31">
        <v>20000</v>
      </c>
      <c r="G946" s="31">
        <v>0</v>
      </c>
      <c r="H946" s="31">
        <f t="shared" si="28"/>
        <v>-20000</v>
      </c>
      <c r="I946" s="31">
        <v>4031</v>
      </c>
      <c r="J946" s="31">
        <f t="shared" si="29"/>
        <v>4</v>
      </c>
      <c r="K946" s="31" t="s">
        <v>1950</v>
      </c>
      <c r="L946" s="31" t="str">
        <f>I946 &amp; "-" &amp;VLOOKUP(I946,Střediska!$A$1:$B$40,2,FALSE)</f>
        <v>4031-Sekretář</v>
      </c>
      <c r="M946" s="32" t="str">
        <f>VLOOKUP(Zdroj!$I946,Střediska!$A$1:$B$41,2,FALSE)</f>
        <v>Sekretář</v>
      </c>
    </row>
    <row r="947" spans="1:13" hidden="1" x14ac:dyDescent="0.2">
      <c r="A947" s="33" t="s">
        <v>43</v>
      </c>
      <c r="B947" s="34" t="s">
        <v>1953</v>
      </c>
      <c r="C947" s="34" t="s">
        <v>106</v>
      </c>
      <c r="D947" s="34" t="s">
        <v>575</v>
      </c>
      <c r="E947" s="34" t="s">
        <v>1954</v>
      </c>
      <c r="F947" s="34">
        <v>20000</v>
      </c>
      <c r="G947" s="34">
        <v>0</v>
      </c>
      <c r="H947" s="34">
        <f t="shared" si="28"/>
        <v>-20000</v>
      </c>
      <c r="I947" s="34">
        <v>4031</v>
      </c>
      <c r="J947" s="34">
        <f t="shared" si="29"/>
        <v>4</v>
      </c>
      <c r="K947" s="34" t="s">
        <v>1950</v>
      </c>
      <c r="L947" s="34" t="str">
        <f>I947 &amp; "-" &amp;VLOOKUP(I947,Střediska!$A$1:$B$40,2,FALSE)</f>
        <v>4031-Sekretář</v>
      </c>
      <c r="M947" s="35" t="str">
        <f>VLOOKUP(Zdroj!$I947,Střediska!$A$1:$B$41,2,FALSE)</f>
        <v>Sekretář</v>
      </c>
    </row>
    <row r="948" spans="1:13" hidden="1" x14ac:dyDescent="0.2">
      <c r="A948" s="36" t="s">
        <v>46</v>
      </c>
      <c r="B948" s="31" t="s">
        <v>1955</v>
      </c>
      <c r="C948" s="31" t="s">
        <v>106</v>
      </c>
      <c r="D948" s="31" t="s">
        <v>575</v>
      </c>
      <c r="E948" s="31" t="s">
        <v>1956</v>
      </c>
      <c r="F948" s="31">
        <v>20000</v>
      </c>
      <c r="G948" s="31">
        <v>0</v>
      </c>
      <c r="H948" s="31">
        <f t="shared" si="28"/>
        <v>-20000</v>
      </c>
      <c r="I948" s="31">
        <v>4031</v>
      </c>
      <c r="J948" s="31">
        <f t="shared" si="29"/>
        <v>4</v>
      </c>
      <c r="K948" s="31" t="s">
        <v>1950</v>
      </c>
      <c r="L948" s="31" t="str">
        <f>I948 &amp; "-" &amp;VLOOKUP(I948,Střediska!$A$1:$B$40,2,FALSE)</f>
        <v>4031-Sekretář</v>
      </c>
      <c r="M948" s="32" t="str">
        <f>VLOOKUP(Zdroj!$I948,Střediska!$A$1:$B$41,2,FALSE)</f>
        <v>Sekretář</v>
      </c>
    </row>
    <row r="949" spans="1:13" hidden="1" x14ac:dyDescent="0.2">
      <c r="A949" s="33" t="s">
        <v>49</v>
      </c>
      <c r="B949" s="34" t="s">
        <v>1957</v>
      </c>
      <c r="C949" s="34" t="s">
        <v>106</v>
      </c>
      <c r="D949" s="34" t="s">
        <v>575</v>
      </c>
      <c r="E949" s="34" t="s">
        <v>1958</v>
      </c>
      <c r="F949" s="34">
        <v>20000</v>
      </c>
      <c r="G949" s="34">
        <v>0</v>
      </c>
      <c r="H949" s="34">
        <f t="shared" si="28"/>
        <v>-20000</v>
      </c>
      <c r="I949" s="34">
        <v>4031</v>
      </c>
      <c r="J949" s="34">
        <f t="shared" si="29"/>
        <v>4</v>
      </c>
      <c r="K949" s="34" t="s">
        <v>1950</v>
      </c>
      <c r="L949" s="34" t="str">
        <f>I949 &amp; "-" &amp;VLOOKUP(I949,Střediska!$A$1:$B$40,2,FALSE)</f>
        <v>4031-Sekretář</v>
      </c>
      <c r="M949" s="35" t="str">
        <f>VLOOKUP(Zdroj!$I949,Střediska!$A$1:$B$41,2,FALSE)</f>
        <v>Sekretář</v>
      </c>
    </row>
    <row r="950" spans="1:13" hidden="1" x14ac:dyDescent="0.2">
      <c r="A950" s="36" t="s">
        <v>52</v>
      </c>
      <c r="B950" s="31" t="s">
        <v>1959</v>
      </c>
      <c r="C950" s="31" t="s">
        <v>106</v>
      </c>
      <c r="D950" s="31" t="s">
        <v>575</v>
      </c>
      <c r="E950" s="31" t="s">
        <v>1960</v>
      </c>
      <c r="F950" s="31">
        <v>20000</v>
      </c>
      <c r="G950" s="31">
        <v>0</v>
      </c>
      <c r="H950" s="31">
        <f t="shared" si="28"/>
        <v>-20000</v>
      </c>
      <c r="I950" s="31">
        <v>4031</v>
      </c>
      <c r="J950" s="31">
        <f t="shared" si="29"/>
        <v>4</v>
      </c>
      <c r="K950" s="31" t="s">
        <v>1950</v>
      </c>
      <c r="L950" s="31" t="str">
        <f>I950 &amp; "-" &amp;VLOOKUP(I950,Střediska!$A$1:$B$40,2,FALSE)</f>
        <v>4031-Sekretář</v>
      </c>
      <c r="M950" s="32" t="str">
        <f>VLOOKUP(Zdroj!$I950,Střediska!$A$1:$B$41,2,FALSE)</f>
        <v>Sekretář</v>
      </c>
    </row>
    <row r="951" spans="1:13" hidden="1" x14ac:dyDescent="0.2">
      <c r="A951" s="33" t="s">
        <v>55</v>
      </c>
      <c r="B951" s="34" t="s">
        <v>1961</v>
      </c>
      <c r="C951" s="34" t="s">
        <v>106</v>
      </c>
      <c r="D951" s="34" t="s">
        <v>575</v>
      </c>
      <c r="E951" s="34" t="s">
        <v>1962</v>
      </c>
      <c r="F951" s="34">
        <v>20000</v>
      </c>
      <c r="G951" s="34">
        <v>0</v>
      </c>
      <c r="H951" s="34">
        <f t="shared" si="28"/>
        <v>-20000</v>
      </c>
      <c r="I951" s="34">
        <v>4031</v>
      </c>
      <c r="J951" s="34">
        <f t="shared" si="29"/>
        <v>4</v>
      </c>
      <c r="K951" s="34" t="s">
        <v>1950</v>
      </c>
      <c r="L951" s="34" t="str">
        <f>I951 &amp; "-" &amp;VLOOKUP(I951,Střediska!$A$1:$B$40,2,FALSE)</f>
        <v>4031-Sekretář</v>
      </c>
      <c r="M951" s="35" t="str">
        <f>VLOOKUP(Zdroj!$I951,Střediska!$A$1:$B$41,2,FALSE)</f>
        <v>Sekretář</v>
      </c>
    </row>
    <row r="952" spans="1:13" hidden="1" x14ac:dyDescent="0.2">
      <c r="A952" s="36" t="s">
        <v>20</v>
      </c>
      <c r="B952" s="31" t="s">
        <v>1963</v>
      </c>
      <c r="C952" s="31" t="s">
        <v>106</v>
      </c>
      <c r="D952" s="31" t="s">
        <v>575</v>
      </c>
      <c r="E952" s="31" t="s">
        <v>1964</v>
      </c>
      <c r="F952" s="31">
        <v>20000</v>
      </c>
      <c r="G952" s="31">
        <v>0</v>
      </c>
      <c r="H952" s="31">
        <f t="shared" si="28"/>
        <v>-20000</v>
      </c>
      <c r="I952" s="31">
        <v>4031</v>
      </c>
      <c r="J952" s="31">
        <f t="shared" si="29"/>
        <v>4</v>
      </c>
      <c r="K952" s="31" t="s">
        <v>1950</v>
      </c>
      <c r="L952" s="31" t="str">
        <f>I952 &amp; "-" &amp;VLOOKUP(I952,Střediska!$A$1:$B$40,2,FALSE)</f>
        <v>4031-Sekretář</v>
      </c>
      <c r="M952" s="32" t="str">
        <f>VLOOKUP(Zdroj!$I952,Střediska!$A$1:$B$41,2,FALSE)</f>
        <v>Sekretář</v>
      </c>
    </row>
    <row r="953" spans="1:13" hidden="1" x14ac:dyDescent="0.2">
      <c r="A953" s="33" t="s">
        <v>25</v>
      </c>
      <c r="B953" s="34" t="s">
        <v>1967</v>
      </c>
      <c r="C953" s="34" t="s">
        <v>106</v>
      </c>
      <c r="D953" s="34" t="s">
        <v>133</v>
      </c>
      <c r="E953" s="34" t="s">
        <v>1968</v>
      </c>
      <c r="F953" s="34">
        <v>2000</v>
      </c>
      <c r="G953" s="34">
        <v>0</v>
      </c>
      <c r="H953" s="34">
        <f t="shared" si="28"/>
        <v>-2000</v>
      </c>
      <c r="I953" s="34">
        <v>4031</v>
      </c>
      <c r="J953" s="34">
        <f t="shared" si="29"/>
        <v>4</v>
      </c>
      <c r="K953" s="34" t="s">
        <v>1966</v>
      </c>
      <c r="L953" s="34" t="str">
        <f>I953 &amp; "-" &amp;VLOOKUP(I953,Střediska!$A$1:$B$40,2,FALSE)</f>
        <v>4031-Sekretář</v>
      </c>
      <c r="M953" s="35" t="str">
        <f>VLOOKUP(Zdroj!$I953,Střediska!$A$1:$B$41,2,FALSE)</f>
        <v>Sekretář</v>
      </c>
    </row>
    <row r="954" spans="1:13" hidden="1" x14ac:dyDescent="0.2">
      <c r="A954" s="36" t="s">
        <v>28</v>
      </c>
      <c r="B954" s="31" t="s">
        <v>1969</v>
      </c>
      <c r="C954" s="31" t="s">
        <v>106</v>
      </c>
      <c r="D954" s="31" t="s">
        <v>133</v>
      </c>
      <c r="E954" s="31" t="s">
        <v>1970</v>
      </c>
      <c r="F954" s="31">
        <v>2000</v>
      </c>
      <c r="G954" s="31">
        <v>0</v>
      </c>
      <c r="H954" s="31">
        <f t="shared" si="28"/>
        <v>-2000</v>
      </c>
      <c r="I954" s="31">
        <v>4031</v>
      </c>
      <c r="J954" s="31">
        <f t="shared" si="29"/>
        <v>4</v>
      </c>
      <c r="K954" s="31" t="s">
        <v>1966</v>
      </c>
      <c r="L954" s="31" t="str">
        <f>I954 &amp; "-" &amp;VLOOKUP(I954,Střediska!$A$1:$B$40,2,FALSE)</f>
        <v>4031-Sekretář</v>
      </c>
      <c r="M954" s="32" t="str">
        <f>VLOOKUP(Zdroj!$I954,Střediska!$A$1:$B$41,2,FALSE)</f>
        <v>Sekretář</v>
      </c>
    </row>
    <row r="955" spans="1:13" hidden="1" x14ac:dyDescent="0.2">
      <c r="A955" s="33" t="s">
        <v>31</v>
      </c>
      <c r="B955" s="34" t="s">
        <v>1971</v>
      </c>
      <c r="C955" s="34" t="s">
        <v>106</v>
      </c>
      <c r="D955" s="34" t="s">
        <v>133</v>
      </c>
      <c r="E955" s="34" t="s">
        <v>1972</v>
      </c>
      <c r="F955" s="34">
        <v>2000</v>
      </c>
      <c r="G955" s="34">
        <v>0</v>
      </c>
      <c r="H955" s="34">
        <f t="shared" si="28"/>
        <v>-2000</v>
      </c>
      <c r="I955" s="34">
        <v>4031</v>
      </c>
      <c r="J955" s="34">
        <f t="shared" si="29"/>
        <v>4</v>
      </c>
      <c r="K955" s="34" t="s">
        <v>1966</v>
      </c>
      <c r="L955" s="34" t="str">
        <f>I955 &amp; "-" &amp;VLOOKUP(I955,Střediska!$A$1:$B$40,2,FALSE)</f>
        <v>4031-Sekretář</v>
      </c>
      <c r="M955" s="35" t="str">
        <f>VLOOKUP(Zdroj!$I955,Střediska!$A$1:$B$41,2,FALSE)</f>
        <v>Sekretář</v>
      </c>
    </row>
    <row r="956" spans="1:13" hidden="1" x14ac:dyDescent="0.2">
      <c r="A956" s="36" t="s">
        <v>37</v>
      </c>
      <c r="B956" s="31" t="s">
        <v>1973</v>
      </c>
      <c r="C956" s="31" t="s">
        <v>106</v>
      </c>
      <c r="D956" s="31" t="s">
        <v>133</v>
      </c>
      <c r="E956" s="31" t="s">
        <v>1974</v>
      </c>
      <c r="F956" s="31">
        <v>2000</v>
      </c>
      <c r="G956" s="31">
        <v>0</v>
      </c>
      <c r="H956" s="31">
        <f t="shared" si="28"/>
        <v>-2000</v>
      </c>
      <c r="I956" s="31">
        <v>4031</v>
      </c>
      <c r="J956" s="31">
        <f t="shared" si="29"/>
        <v>4</v>
      </c>
      <c r="K956" s="31" t="s">
        <v>1966</v>
      </c>
      <c r="L956" s="31" t="str">
        <f>I956 &amp; "-" &amp;VLOOKUP(I956,Střediska!$A$1:$B$40,2,FALSE)</f>
        <v>4031-Sekretář</v>
      </c>
      <c r="M956" s="32" t="str">
        <f>VLOOKUP(Zdroj!$I956,Střediska!$A$1:$B$41,2,FALSE)</f>
        <v>Sekretář</v>
      </c>
    </row>
    <row r="957" spans="1:13" hidden="1" x14ac:dyDescent="0.2">
      <c r="A957" s="33" t="s">
        <v>37</v>
      </c>
      <c r="B957" s="34" t="s">
        <v>1975</v>
      </c>
      <c r="C957" s="34" t="s">
        <v>106</v>
      </c>
      <c r="D957" s="34" t="s">
        <v>133</v>
      </c>
      <c r="E957" s="34" t="s">
        <v>1976</v>
      </c>
      <c r="F957" s="34">
        <v>2000</v>
      </c>
      <c r="G957" s="34">
        <v>0</v>
      </c>
      <c r="H957" s="34">
        <f t="shared" si="28"/>
        <v>-2000</v>
      </c>
      <c r="I957" s="34">
        <v>4031</v>
      </c>
      <c r="J957" s="34">
        <f t="shared" si="29"/>
        <v>4</v>
      </c>
      <c r="K957" s="34" t="s">
        <v>1966</v>
      </c>
      <c r="L957" s="34" t="str">
        <f>I957 &amp; "-" &amp;VLOOKUP(I957,Střediska!$A$1:$B$40,2,FALSE)</f>
        <v>4031-Sekretář</v>
      </c>
      <c r="M957" s="35" t="str">
        <f>VLOOKUP(Zdroj!$I957,Střediska!$A$1:$B$41,2,FALSE)</f>
        <v>Sekretář</v>
      </c>
    </row>
    <row r="958" spans="1:13" hidden="1" x14ac:dyDescent="0.2">
      <c r="A958" s="36" t="s">
        <v>40</v>
      </c>
      <c r="B958" s="31" t="s">
        <v>1977</v>
      </c>
      <c r="C958" s="31" t="s">
        <v>106</v>
      </c>
      <c r="D958" s="31" t="s">
        <v>133</v>
      </c>
      <c r="E958" s="31" t="s">
        <v>1978</v>
      </c>
      <c r="F958" s="31">
        <v>2000</v>
      </c>
      <c r="G958" s="31">
        <v>0</v>
      </c>
      <c r="H958" s="31">
        <f t="shared" si="28"/>
        <v>-2000</v>
      </c>
      <c r="I958" s="31">
        <v>4031</v>
      </c>
      <c r="J958" s="31">
        <f t="shared" si="29"/>
        <v>4</v>
      </c>
      <c r="K958" s="31" t="s">
        <v>1966</v>
      </c>
      <c r="L958" s="31" t="str">
        <f>I958 &amp; "-" &amp;VLOOKUP(I958,Střediska!$A$1:$B$40,2,FALSE)</f>
        <v>4031-Sekretář</v>
      </c>
      <c r="M958" s="32" t="str">
        <f>VLOOKUP(Zdroj!$I958,Střediska!$A$1:$B$41,2,FALSE)</f>
        <v>Sekretář</v>
      </c>
    </row>
    <row r="959" spans="1:13" hidden="1" x14ac:dyDescent="0.2">
      <c r="A959" s="33" t="s">
        <v>1982</v>
      </c>
      <c r="B959" s="34" t="s">
        <v>1980</v>
      </c>
      <c r="C959" s="34" t="s">
        <v>87</v>
      </c>
      <c r="D959" s="34" t="s">
        <v>1981</v>
      </c>
      <c r="E959" s="34" t="s">
        <v>1983</v>
      </c>
      <c r="F959" s="34">
        <v>0</v>
      </c>
      <c r="G959" s="34">
        <v>20000</v>
      </c>
      <c r="H959" s="34">
        <f t="shared" si="28"/>
        <v>20000</v>
      </c>
      <c r="I959" s="34">
        <v>4031</v>
      </c>
      <c r="J959" s="34">
        <f t="shared" si="29"/>
        <v>4</v>
      </c>
      <c r="K959" s="34" t="s">
        <v>2734</v>
      </c>
      <c r="L959" s="34" t="str">
        <f>I959 &amp; "-" &amp;VLOOKUP(I959,Střediska!$A$1:$B$40,2,FALSE)</f>
        <v>4031-Sekretář</v>
      </c>
      <c r="M959" s="35" t="str">
        <f>VLOOKUP(Zdroj!$I959,Střediska!$A$1:$B$41,2,FALSE)</f>
        <v>Sekretář</v>
      </c>
    </row>
    <row r="960" spans="1:13" hidden="1" x14ac:dyDescent="0.2">
      <c r="A960" s="36" t="s">
        <v>43</v>
      </c>
      <c r="B960" s="31" t="s">
        <v>1986</v>
      </c>
      <c r="C960" s="31" t="s">
        <v>106</v>
      </c>
      <c r="D960" s="31" t="s">
        <v>360</v>
      </c>
      <c r="E960" s="31" t="s">
        <v>1987</v>
      </c>
      <c r="F960" s="31">
        <v>7000</v>
      </c>
      <c r="G960" s="31">
        <v>0</v>
      </c>
      <c r="H960" s="31">
        <f t="shared" si="28"/>
        <v>-7000</v>
      </c>
      <c r="I960" s="31">
        <v>4041</v>
      </c>
      <c r="J960" s="31">
        <f t="shared" si="29"/>
        <v>4</v>
      </c>
      <c r="K960" s="31" t="s">
        <v>110</v>
      </c>
      <c r="L960" s="31" t="str">
        <f>I960 &amp; "-" &amp;VLOOKUP(I960,Střediska!$A$1:$B$40,2,FALSE)</f>
        <v>4041-Šéftrenér</v>
      </c>
      <c r="M960" s="32" t="str">
        <f>VLOOKUP(Zdroj!$I960,Střediska!$A$1:$B$41,2,FALSE)</f>
        <v>Šéftrenér</v>
      </c>
    </row>
    <row r="961" spans="1:13" hidden="1" x14ac:dyDescent="0.2">
      <c r="A961" s="33" t="s">
        <v>46</v>
      </c>
      <c r="B961" s="34" t="s">
        <v>1988</v>
      </c>
      <c r="C961" s="34" t="s">
        <v>106</v>
      </c>
      <c r="D961" s="34" t="s">
        <v>360</v>
      </c>
      <c r="E961" s="34" t="s">
        <v>1989</v>
      </c>
      <c r="F961" s="34">
        <v>6500</v>
      </c>
      <c r="G961" s="34">
        <v>0</v>
      </c>
      <c r="H961" s="34">
        <f t="shared" si="28"/>
        <v>-6500</v>
      </c>
      <c r="I961" s="34">
        <v>4041</v>
      </c>
      <c r="J961" s="34">
        <f t="shared" si="29"/>
        <v>4</v>
      </c>
      <c r="K961" s="34" t="s">
        <v>110</v>
      </c>
      <c r="L961" s="34" t="str">
        <f>I961 &amp; "-" &amp;VLOOKUP(I961,Střediska!$A$1:$B$40,2,FALSE)</f>
        <v>4041-Šéftrenér</v>
      </c>
      <c r="M961" s="35" t="str">
        <f>VLOOKUP(Zdroj!$I961,Střediska!$A$1:$B$41,2,FALSE)</f>
        <v>Šéftrenér</v>
      </c>
    </row>
    <row r="962" spans="1:13" hidden="1" x14ac:dyDescent="0.2">
      <c r="A962" s="36" t="s">
        <v>25</v>
      </c>
      <c r="B962" s="31" t="s">
        <v>1992</v>
      </c>
      <c r="C962" s="31" t="s">
        <v>106</v>
      </c>
      <c r="D962" s="31" t="s">
        <v>360</v>
      </c>
      <c r="E962" s="31" t="s">
        <v>1993</v>
      </c>
      <c r="F962" s="31">
        <v>23000</v>
      </c>
      <c r="G962" s="31">
        <v>0</v>
      </c>
      <c r="H962" s="31">
        <f t="shared" ref="H962:H1025" si="30">-F962+G962</f>
        <v>-23000</v>
      </c>
      <c r="I962" s="31">
        <v>4041</v>
      </c>
      <c r="J962" s="31">
        <f t="shared" ref="J962:J1025" si="31">VALUE(LEFT(I962,1))</f>
        <v>4</v>
      </c>
      <c r="K962" s="31" t="s">
        <v>1991</v>
      </c>
      <c r="L962" s="31" t="str">
        <f>I962 &amp; "-" &amp;VLOOKUP(I962,Střediska!$A$1:$B$40,2,FALSE)</f>
        <v>4041-Šéftrenér</v>
      </c>
      <c r="M962" s="32" t="str">
        <f>VLOOKUP(Zdroj!$I962,Střediska!$A$1:$B$41,2,FALSE)</f>
        <v>Šéftrenér</v>
      </c>
    </row>
    <row r="963" spans="1:13" hidden="1" x14ac:dyDescent="0.2">
      <c r="A963" s="33" t="s">
        <v>28</v>
      </c>
      <c r="B963" s="34" t="s">
        <v>1994</v>
      </c>
      <c r="C963" s="34" t="s">
        <v>106</v>
      </c>
      <c r="D963" s="34" t="s">
        <v>360</v>
      </c>
      <c r="E963" s="34" t="s">
        <v>1995</v>
      </c>
      <c r="F963" s="34">
        <v>23000</v>
      </c>
      <c r="G963" s="34">
        <v>0</v>
      </c>
      <c r="H963" s="34">
        <f t="shared" si="30"/>
        <v>-23000</v>
      </c>
      <c r="I963" s="34">
        <v>4041</v>
      </c>
      <c r="J963" s="34">
        <f t="shared" si="31"/>
        <v>4</v>
      </c>
      <c r="K963" s="34" t="s">
        <v>1991</v>
      </c>
      <c r="L963" s="34" t="str">
        <f>I963 &amp; "-" &amp;VLOOKUP(I963,Střediska!$A$1:$B$40,2,FALSE)</f>
        <v>4041-Šéftrenér</v>
      </c>
      <c r="M963" s="35" t="str">
        <f>VLOOKUP(Zdroj!$I963,Střediska!$A$1:$B$41,2,FALSE)</f>
        <v>Šéftrenér</v>
      </c>
    </row>
    <row r="964" spans="1:13" hidden="1" x14ac:dyDescent="0.2">
      <c r="A964" s="36" t="s">
        <v>31</v>
      </c>
      <c r="B964" s="31" t="s">
        <v>1996</v>
      </c>
      <c r="C964" s="31" t="s">
        <v>106</v>
      </c>
      <c r="D964" s="31" t="s">
        <v>360</v>
      </c>
      <c r="E964" s="31" t="s">
        <v>1997</v>
      </c>
      <c r="F964" s="31">
        <v>23000</v>
      </c>
      <c r="G964" s="31">
        <v>0</v>
      </c>
      <c r="H964" s="31">
        <f t="shared" si="30"/>
        <v>-23000</v>
      </c>
      <c r="I964" s="31">
        <v>4041</v>
      </c>
      <c r="J964" s="31">
        <f t="shared" si="31"/>
        <v>4</v>
      </c>
      <c r="K964" s="31" t="s">
        <v>1991</v>
      </c>
      <c r="L964" s="31" t="str">
        <f>I964 &amp; "-" &amp;VLOOKUP(I964,Střediska!$A$1:$B$40,2,FALSE)</f>
        <v>4041-Šéftrenér</v>
      </c>
      <c r="M964" s="32" t="str">
        <f>VLOOKUP(Zdroj!$I964,Střediska!$A$1:$B$41,2,FALSE)</f>
        <v>Šéftrenér</v>
      </c>
    </row>
    <row r="965" spans="1:13" hidden="1" x14ac:dyDescent="0.2">
      <c r="A965" s="33" t="s">
        <v>34</v>
      </c>
      <c r="B965" s="34" t="s">
        <v>1998</v>
      </c>
      <c r="C965" s="34" t="s">
        <v>106</v>
      </c>
      <c r="D965" s="34" t="s">
        <v>360</v>
      </c>
      <c r="E965" s="34" t="s">
        <v>1999</v>
      </c>
      <c r="F965" s="34">
        <v>23000</v>
      </c>
      <c r="G965" s="34">
        <v>0</v>
      </c>
      <c r="H965" s="34">
        <f t="shared" si="30"/>
        <v>-23000</v>
      </c>
      <c r="I965" s="34">
        <v>4041</v>
      </c>
      <c r="J965" s="34">
        <f t="shared" si="31"/>
        <v>4</v>
      </c>
      <c r="K965" s="34" t="s">
        <v>1991</v>
      </c>
      <c r="L965" s="34" t="str">
        <f>I965 &amp; "-" &amp;VLOOKUP(I965,Střediska!$A$1:$B$40,2,FALSE)</f>
        <v>4041-Šéftrenér</v>
      </c>
      <c r="M965" s="35" t="str">
        <f>VLOOKUP(Zdroj!$I965,Střediska!$A$1:$B$41,2,FALSE)</f>
        <v>Šéftrenér</v>
      </c>
    </row>
    <row r="966" spans="1:13" hidden="1" x14ac:dyDescent="0.2">
      <c r="A966" s="36" t="s">
        <v>37</v>
      </c>
      <c r="B966" s="31" t="s">
        <v>2000</v>
      </c>
      <c r="C966" s="31" t="s">
        <v>106</v>
      </c>
      <c r="D966" s="31" t="s">
        <v>360</v>
      </c>
      <c r="E966" s="31" t="s">
        <v>2001</v>
      </c>
      <c r="F966" s="31">
        <v>23000</v>
      </c>
      <c r="G966" s="31">
        <v>0</v>
      </c>
      <c r="H966" s="31">
        <f t="shared" si="30"/>
        <v>-23000</v>
      </c>
      <c r="I966" s="31">
        <v>4041</v>
      </c>
      <c r="J966" s="31">
        <f t="shared" si="31"/>
        <v>4</v>
      </c>
      <c r="K966" s="31" t="s">
        <v>1991</v>
      </c>
      <c r="L966" s="31" t="str">
        <f>I966 &amp; "-" &amp;VLOOKUP(I966,Střediska!$A$1:$B$40,2,FALSE)</f>
        <v>4041-Šéftrenér</v>
      </c>
      <c r="M966" s="32" t="str">
        <f>VLOOKUP(Zdroj!$I966,Střediska!$A$1:$B$41,2,FALSE)</f>
        <v>Šéftrenér</v>
      </c>
    </row>
    <row r="967" spans="1:13" hidden="1" x14ac:dyDescent="0.2">
      <c r="A967" s="33" t="s">
        <v>40</v>
      </c>
      <c r="B967" s="34" t="s">
        <v>2002</v>
      </c>
      <c r="C967" s="34" t="s">
        <v>106</v>
      </c>
      <c r="D967" s="34" t="s">
        <v>360</v>
      </c>
      <c r="E967" s="34" t="s">
        <v>2003</v>
      </c>
      <c r="F967" s="34">
        <v>23000</v>
      </c>
      <c r="G967" s="34">
        <v>0</v>
      </c>
      <c r="H967" s="34">
        <f t="shared" si="30"/>
        <v>-23000</v>
      </c>
      <c r="I967" s="34">
        <v>4041</v>
      </c>
      <c r="J967" s="34">
        <f t="shared" si="31"/>
        <v>4</v>
      </c>
      <c r="K967" s="34" t="s">
        <v>1991</v>
      </c>
      <c r="L967" s="34" t="str">
        <f>I967 &amp; "-" &amp;VLOOKUP(I967,Střediska!$A$1:$B$40,2,FALSE)</f>
        <v>4041-Šéftrenér</v>
      </c>
      <c r="M967" s="35" t="str">
        <f>VLOOKUP(Zdroj!$I967,Střediska!$A$1:$B$41,2,FALSE)</f>
        <v>Šéftrenér</v>
      </c>
    </row>
    <row r="968" spans="1:13" hidden="1" x14ac:dyDescent="0.2">
      <c r="A968" s="36" t="s">
        <v>40</v>
      </c>
      <c r="B968" s="31" t="s">
        <v>2004</v>
      </c>
      <c r="C968" s="31" t="s">
        <v>106</v>
      </c>
      <c r="D968" s="31" t="s">
        <v>360</v>
      </c>
      <c r="E968" s="38" t="s">
        <v>2005</v>
      </c>
      <c r="F968" s="31">
        <v>12000</v>
      </c>
      <c r="G968" s="31">
        <v>0</v>
      </c>
      <c r="H968" s="31">
        <f t="shared" si="30"/>
        <v>-12000</v>
      </c>
      <c r="I968" s="31">
        <v>4041</v>
      </c>
      <c r="J968" s="31">
        <f t="shared" si="31"/>
        <v>4</v>
      </c>
      <c r="K968" s="31" t="s">
        <v>1991</v>
      </c>
      <c r="L968" s="31" t="str">
        <f>I968 &amp; "-" &amp;VLOOKUP(I968,Střediska!$A$1:$B$40,2,FALSE)</f>
        <v>4041-Šéftrenér</v>
      </c>
      <c r="M968" s="32" t="str">
        <f>VLOOKUP(Zdroj!$I968,Střediska!$A$1:$B$41,2,FALSE)</f>
        <v>Šéftrenér</v>
      </c>
    </row>
    <row r="969" spans="1:13" hidden="1" x14ac:dyDescent="0.2">
      <c r="A969" s="33" t="s">
        <v>43</v>
      </c>
      <c r="B969" s="34" t="s">
        <v>2006</v>
      </c>
      <c r="C969" s="34" t="s">
        <v>106</v>
      </c>
      <c r="D969" s="34" t="s">
        <v>360</v>
      </c>
      <c r="E969" s="37" t="s">
        <v>2007</v>
      </c>
      <c r="F969" s="34">
        <v>24000</v>
      </c>
      <c r="G969" s="34">
        <v>0</v>
      </c>
      <c r="H969" s="34">
        <f t="shared" si="30"/>
        <v>-24000</v>
      </c>
      <c r="I969" s="34">
        <v>4041</v>
      </c>
      <c r="J969" s="34">
        <f t="shared" si="31"/>
        <v>4</v>
      </c>
      <c r="K969" s="34" t="s">
        <v>1991</v>
      </c>
      <c r="L969" s="34" t="str">
        <f>I969 &amp; "-" &amp;VLOOKUP(I969,Střediska!$A$1:$B$40,2,FALSE)</f>
        <v>4041-Šéftrenér</v>
      </c>
      <c r="M969" s="35" t="str">
        <f>VLOOKUP(Zdroj!$I969,Střediska!$A$1:$B$41,2,FALSE)</f>
        <v>Šéftrenér</v>
      </c>
    </row>
    <row r="970" spans="1:13" hidden="1" x14ac:dyDescent="0.2">
      <c r="A970" s="36" t="s">
        <v>46</v>
      </c>
      <c r="B970" s="31" t="s">
        <v>2008</v>
      </c>
      <c r="C970" s="31" t="s">
        <v>106</v>
      </c>
      <c r="D970" s="31" t="s">
        <v>360</v>
      </c>
      <c r="E970" s="38" t="s">
        <v>2009</v>
      </c>
      <c r="F970" s="31">
        <v>30000</v>
      </c>
      <c r="G970" s="31">
        <v>0</v>
      </c>
      <c r="H970" s="31">
        <f t="shared" si="30"/>
        <v>-30000</v>
      </c>
      <c r="I970" s="31">
        <v>4041</v>
      </c>
      <c r="J970" s="31">
        <f t="shared" si="31"/>
        <v>4</v>
      </c>
      <c r="K970" s="31" t="s">
        <v>1991</v>
      </c>
      <c r="L970" s="31" t="str">
        <f>I970 &amp; "-" &amp;VLOOKUP(I970,Střediska!$A$1:$B$40,2,FALSE)</f>
        <v>4041-Šéftrenér</v>
      </c>
      <c r="M970" s="32" t="str">
        <f>VLOOKUP(Zdroj!$I970,Střediska!$A$1:$B$41,2,FALSE)</f>
        <v>Šéftrenér</v>
      </c>
    </row>
    <row r="971" spans="1:13" hidden="1" x14ac:dyDescent="0.2">
      <c r="A971" s="33" t="s">
        <v>49</v>
      </c>
      <c r="B971" s="34" t="s">
        <v>2010</v>
      </c>
      <c r="C971" s="34" t="s">
        <v>106</v>
      </c>
      <c r="D971" s="34" t="s">
        <v>360</v>
      </c>
      <c r="E971" s="37" t="s">
        <v>2011</v>
      </c>
      <c r="F971" s="34">
        <v>30000</v>
      </c>
      <c r="G971" s="34">
        <v>0</v>
      </c>
      <c r="H971" s="34">
        <f t="shared" si="30"/>
        <v>-30000</v>
      </c>
      <c r="I971" s="34">
        <v>4041</v>
      </c>
      <c r="J971" s="34">
        <f t="shared" si="31"/>
        <v>4</v>
      </c>
      <c r="K971" s="34" t="s">
        <v>1991</v>
      </c>
      <c r="L971" s="34" t="str">
        <f>I971 &amp; "-" &amp;VLOOKUP(I971,Střediska!$A$1:$B$40,2,FALSE)</f>
        <v>4041-Šéftrenér</v>
      </c>
      <c r="M971" s="35" t="str">
        <f>VLOOKUP(Zdroj!$I971,Střediska!$A$1:$B$41,2,FALSE)</f>
        <v>Šéftrenér</v>
      </c>
    </row>
    <row r="972" spans="1:13" hidden="1" x14ac:dyDescent="0.2">
      <c r="A972" s="36" t="s">
        <v>52</v>
      </c>
      <c r="B972" s="31" t="s">
        <v>2012</v>
      </c>
      <c r="C972" s="31" t="s">
        <v>106</v>
      </c>
      <c r="D972" s="31" t="s">
        <v>360</v>
      </c>
      <c r="E972" s="38" t="s">
        <v>2013</v>
      </c>
      <c r="F972" s="31">
        <v>30000</v>
      </c>
      <c r="G972" s="31">
        <v>0</v>
      </c>
      <c r="H972" s="31">
        <f t="shared" si="30"/>
        <v>-30000</v>
      </c>
      <c r="I972" s="31">
        <v>4041</v>
      </c>
      <c r="J972" s="31">
        <f t="shared" si="31"/>
        <v>4</v>
      </c>
      <c r="K972" s="31" t="s">
        <v>1991</v>
      </c>
      <c r="L972" s="31" t="str">
        <f>I972 &amp; "-" &amp;VLOOKUP(I972,Střediska!$A$1:$B$40,2,FALSE)</f>
        <v>4041-Šéftrenér</v>
      </c>
      <c r="M972" s="32" t="str">
        <f>VLOOKUP(Zdroj!$I972,Střediska!$A$1:$B$41,2,FALSE)</f>
        <v>Šéftrenér</v>
      </c>
    </row>
    <row r="973" spans="1:13" hidden="1" x14ac:dyDescent="0.2">
      <c r="A973" s="33" t="s">
        <v>55</v>
      </c>
      <c r="B973" s="34" t="s">
        <v>2014</v>
      </c>
      <c r="C973" s="34" t="s">
        <v>106</v>
      </c>
      <c r="D973" s="34" t="s">
        <v>360</v>
      </c>
      <c r="E973" s="34" t="s">
        <v>2015</v>
      </c>
      <c r="F973" s="34">
        <v>30000</v>
      </c>
      <c r="G973" s="34">
        <v>0</v>
      </c>
      <c r="H973" s="34">
        <f t="shared" si="30"/>
        <v>-30000</v>
      </c>
      <c r="I973" s="34">
        <v>4041</v>
      </c>
      <c r="J973" s="34">
        <f t="shared" si="31"/>
        <v>4</v>
      </c>
      <c r="K973" s="34" t="s">
        <v>1991</v>
      </c>
      <c r="L973" s="34" t="str">
        <f>I973 &amp; "-" &amp;VLOOKUP(I973,Střediska!$A$1:$B$40,2,FALSE)</f>
        <v>4041-Šéftrenér</v>
      </c>
      <c r="M973" s="35" t="str">
        <f>VLOOKUP(Zdroj!$I973,Střediska!$A$1:$B$41,2,FALSE)</f>
        <v>Šéftrenér</v>
      </c>
    </row>
    <row r="974" spans="1:13" hidden="1" x14ac:dyDescent="0.2">
      <c r="A974" s="36" t="s">
        <v>20</v>
      </c>
      <c r="B974" s="31" t="s">
        <v>2016</v>
      </c>
      <c r="C974" s="31" t="s">
        <v>106</v>
      </c>
      <c r="D974" s="31" t="s">
        <v>360</v>
      </c>
      <c r="E974" s="31" t="s">
        <v>2017</v>
      </c>
      <c r="F974" s="31">
        <v>30000</v>
      </c>
      <c r="G974" s="31">
        <v>0</v>
      </c>
      <c r="H974" s="31">
        <f t="shared" si="30"/>
        <v>-30000</v>
      </c>
      <c r="I974" s="31">
        <v>4041</v>
      </c>
      <c r="J974" s="31">
        <f t="shared" si="31"/>
        <v>4</v>
      </c>
      <c r="K974" s="31" t="s">
        <v>1991</v>
      </c>
      <c r="L974" s="31" t="str">
        <f>I974 &amp; "-" &amp;VLOOKUP(I974,Střediska!$A$1:$B$40,2,FALSE)</f>
        <v>4041-Šéftrenér</v>
      </c>
      <c r="M974" s="32" t="str">
        <f>VLOOKUP(Zdroj!$I974,Střediska!$A$1:$B$41,2,FALSE)</f>
        <v>Šéftrenér</v>
      </c>
    </row>
    <row r="975" spans="1:13" hidden="1" x14ac:dyDescent="0.2">
      <c r="A975" s="33" t="s">
        <v>20</v>
      </c>
      <c r="B975" s="34" t="s">
        <v>2735</v>
      </c>
      <c r="C975" s="34" t="s">
        <v>106</v>
      </c>
      <c r="D975" s="34" t="s">
        <v>360</v>
      </c>
      <c r="E975" s="37" t="s">
        <v>2736</v>
      </c>
      <c r="F975" s="34">
        <v>10500</v>
      </c>
      <c r="G975" s="34">
        <v>0</v>
      </c>
      <c r="H975" s="34">
        <f t="shared" si="30"/>
        <v>-10500</v>
      </c>
      <c r="I975" s="34">
        <v>4041</v>
      </c>
      <c r="J975" s="34">
        <f t="shared" si="31"/>
        <v>4</v>
      </c>
      <c r="K975" s="34" t="s">
        <v>1991</v>
      </c>
      <c r="L975" s="34" t="str">
        <f>I975 &amp; "-" &amp;VLOOKUP(I975,Střediska!$A$1:$B$40,2,FALSE)</f>
        <v>4041-Šéftrenér</v>
      </c>
      <c r="M975" s="35" t="str">
        <f>VLOOKUP(Zdroj!$I975,Střediska!$A$1:$B$41,2,FALSE)</f>
        <v>Šéftrenér</v>
      </c>
    </row>
    <row r="976" spans="1:13" hidden="1" x14ac:dyDescent="0.2">
      <c r="A976" s="36" t="s">
        <v>1982</v>
      </c>
      <c r="B976" s="31" t="s">
        <v>2018</v>
      </c>
      <c r="C976" s="31" t="s">
        <v>87</v>
      </c>
      <c r="D976" s="31" t="s">
        <v>1981</v>
      </c>
      <c r="E976" s="31" t="s">
        <v>2019</v>
      </c>
      <c r="F976" s="31">
        <v>0</v>
      </c>
      <c r="G976" s="31">
        <v>50000</v>
      </c>
      <c r="H976" s="31">
        <f t="shared" si="30"/>
        <v>50000</v>
      </c>
      <c r="I976" s="31">
        <v>4041</v>
      </c>
      <c r="J976" s="31">
        <f t="shared" si="31"/>
        <v>4</v>
      </c>
      <c r="K976" s="31" t="s">
        <v>2734</v>
      </c>
      <c r="L976" s="31" t="str">
        <f>I976 &amp; "-" &amp;VLOOKUP(I976,Střediska!$A$1:$B$40,2,FALSE)</f>
        <v>4041-Šéftrenér</v>
      </c>
      <c r="M976" s="32" t="str">
        <f>VLOOKUP(Zdroj!$I976,Střediska!$A$1:$B$41,2,FALSE)</f>
        <v>Šéftrenér</v>
      </c>
    </row>
    <row r="977" spans="1:13" hidden="1" x14ac:dyDescent="0.2">
      <c r="A977" s="33" t="s">
        <v>381</v>
      </c>
      <c r="B977" s="34" t="s">
        <v>2022</v>
      </c>
      <c r="C977" s="34" t="s">
        <v>209</v>
      </c>
      <c r="D977" s="34"/>
      <c r="E977" s="34" t="s">
        <v>2023</v>
      </c>
      <c r="F977" s="34">
        <v>480</v>
      </c>
      <c r="G977" s="34">
        <v>0</v>
      </c>
      <c r="H977" s="34">
        <f t="shared" si="30"/>
        <v>-480</v>
      </c>
      <c r="I977" s="34">
        <v>5011</v>
      </c>
      <c r="J977" s="34">
        <f t="shared" si="31"/>
        <v>5</v>
      </c>
      <c r="K977" s="34" t="s">
        <v>103</v>
      </c>
      <c r="L977" s="34" t="str">
        <f>I977 &amp; "-" &amp;VLOOKUP(I977,Střediska!$A$1:$B$40,2,FALSE)</f>
        <v>5011-Výkonný výbor</v>
      </c>
      <c r="M977" s="35" t="str">
        <f>VLOOKUP(Zdroj!$I977,Střediska!$A$1:$B$41,2,FALSE)</f>
        <v>Výkonný výbor</v>
      </c>
    </row>
    <row r="978" spans="1:13" hidden="1" x14ac:dyDescent="0.2">
      <c r="A978" s="36" t="s">
        <v>381</v>
      </c>
      <c r="B978" s="31" t="s">
        <v>2024</v>
      </c>
      <c r="C978" s="31" t="s">
        <v>209</v>
      </c>
      <c r="D978" s="31"/>
      <c r="E978" s="31" t="s">
        <v>2025</v>
      </c>
      <c r="F978" s="31">
        <v>300</v>
      </c>
      <c r="G978" s="31">
        <v>0</v>
      </c>
      <c r="H978" s="31">
        <f t="shared" si="30"/>
        <v>-300</v>
      </c>
      <c r="I978" s="31">
        <v>5011</v>
      </c>
      <c r="J978" s="31">
        <f t="shared" si="31"/>
        <v>5</v>
      </c>
      <c r="K978" s="31" t="s">
        <v>103</v>
      </c>
      <c r="L978" s="31" t="str">
        <f>I978 &amp; "-" &amp;VLOOKUP(I978,Střediska!$A$1:$B$40,2,FALSE)</f>
        <v>5011-Výkonný výbor</v>
      </c>
      <c r="M978" s="32" t="str">
        <f>VLOOKUP(Zdroj!$I978,Střediska!$A$1:$B$41,2,FALSE)</f>
        <v>Výkonný výbor</v>
      </c>
    </row>
    <row r="979" spans="1:13" hidden="1" x14ac:dyDescent="0.2">
      <c r="A979" s="33" t="s">
        <v>218</v>
      </c>
      <c r="B979" s="34" t="s">
        <v>2026</v>
      </c>
      <c r="C979" s="34" t="s">
        <v>209</v>
      </c>
      <c r="D979" s="34"/>
      <c r="E979" s="34" t="s">
        <v>964</v>
      </c>
      <c r="F979" s="34">
        <v>600</v>
      </c>
      <c r="G979" s="34">
        <v>0</v>
      </c>
      <c r="H979" s="34">
        <f t="shared" si="30"/>
        <v>-600</v>
      </c>
      <c r="I979" s="34">
        <v>5011</v>
      </c>
      <c r="J979" s="34">
        <f t="shared" si="31"/>
        <v>5</v>
      </c>
      <c r="K979" s="34" t="s">
        <v>103</v>
      </c>
      <c r="L979" s="34" t="str">
        <f>I979 &amp; "-" &amp;VLOOKUP(I979,Střediska!$A$1:$B$40,2,FALSE)</f>
        <v>5011-Výkonný výbor</v>
      </c>
      <c r="M979" s="35" t="str">
        <f>VLOOKUP(Zdroj!$I979,Střediska!$A$1:$B$41,2,FALSE)</f>
        <v>Výkonný výbor</v>
      </c>
    </row>
    <row r="980" spans="1:13" hidden="1" x14ac:dyDescent="0.2">
      <c r="A980" s="36" t="s">
        <v>218</v>
      </c>
      <c r="B980" s="31" t="s">
        <v>2027</v>
      </c>
      <c r="C980" s="31" t="s">
        <v>209</v>
      </c>
      <c r="D980" s="31"/>
      <c r="E980" s="31" t="s">
        <v>964</v>
      </c>
      <c r="F980" s="31">
        <v>1620</v>
      </c>
      <c r="G980" s="31">
        <v>0</v>
      </c>
      <c r="H980" s="31">
        <f t="shared" si="30"/>
        <v>-1620</v>
      </c>
      <c r="I980" s="31">
        <v>5011</v>
      </c>
      <c r="J980" s="31">
        <f t="shared" si="31"/>
        <v>5</v>
      </c>
      <c r="K980" s="31" t="s">
        <v>103</v>
      </c>
      <c r="L980" s="31" t="str">
        <f>I980 &amp; "-" &amp;VLOOKUP(I980,Střediska!$A$1:$B$40,2,FALSE)</f>
        <v>5011-Výkonný výbor</v>
      </c>
      <c r="M980" s="32" t="str">
        <f>VLOOKUP(Zdroj!$I980,Střediska!$A$1:$B$41,2,FALSE)</f>
        <v>Výkonný výbor</v>
      </c>
    </row>
    <row r="981" spans="1:13" hidden="1" x14ac:dyDescent="0.2">
      <c r="A981" s="33" t="s">
        <v>1250</v>
      </c>
      <c r="B981" s="34" t="s">
        <v>2028</v>
      </c>
      <c r="C981" s="34" t="s">
        <v>209</v>
      </c>
      <c r="D981" s="34"/>
      <c r="E981" s="34" t="s">
        <v>2029</v>
      </c>
      <c r="F981" s="34">
        <v>458</v>
      </c>
      <c r="G981" s="34">
        <v>0</v>
      </c>
      <c r="H981" s="34">
        <f t="shared" si="30"/>
        <v>-458</v>
      </c>
      <c r="I981" s="34">
        <v>5011</v>
      </c>
      <c r="J981" s="34">
        <f t="shared" si="31"/>
        <v>5</v>
      </c>
      <c r="K981" s="34" t="s">
        <v>103</v>
      </c>
      <c r="L981" s="34" t="str">
        <f>I981 &amp; "-" &amp;VLOOKUP(I981,Střediska!$A$1:$B$40,2,FALSE)</f>
        <v>5011-Výkonný výbor</v>
      </c>
      <c r="M981" s="35" t="str">
        <f>VLOOKUP(Zdroj!$I981,Střediska!$A$1:$B$41,2,FALSE)</f>
        <v>Výkonný výbor</v>
      </c>
    </row>
    <row r="982" spans="1:13" hidden="1" x14ac:dyDescent="0.2">
      <c r="A982" s="36" t="s">
        <v>2031</v>
      </c>
      <c r="B982" s="31" t="s">
        <v>2030</v>
      </c>
      <c r="C982" s="31" t="s">
        <v>209</v>
      </c>
      <c r="D982" s="31"/>
      <c r="E982" s="31" t="s">
        <v>2029</v>
      </c>
      <c r="F982" s="31">
        <v>608</v>
      </c>
      <c r="G982" s="31">
        <v>0</v>
      </c>
      <c r="H982" s="31">
        <f t="shared" si="30"/>
        <v>-608</v>
      </c>
      <c r="I982" s="31">
        <v>5011</v>
      </c>
      <c r="J982" s="31">
        <f t="shared" si="31"/>
        <v>5</v>
      </c>
      <c r="K982" s="31" t="s">
        <v>103</v>
      </c>
      <c r="L982" s="31" t="str">
        <f>I982 &amp; "-" &amp;VLOOKUP(I982,Střediska!$A$1:$B$40,2,FALSE)</f>
        <v>5011-Výkonný výbor</v>
      </c>
      <c r="M982" s="32" t="str">
        <f>VLOOKUP(Zdroj!$I982,Střediska!$A$1:$B$41,2,FALSE)</f>
        <v>Výkonný výbor</v>
      </c>
    </row>
    <row r="983" spans="1:13" hidden="1" x14ac:dyDescent="0.2">
      <c r="A983" s="33" t="s">
        <v>467</v>
      </c>
      <c r="B983" s="34" t="s">
        <v>2032</v>
      </c>
      <c r="C983" s="34" t="s">
        <v>209</v>
      </c>
      <c r="D983" s="34"/>
      <c r="E983" s="34" t="s">
        <v>2033</v>
      </c>
      <c r="F983" s="34">
        <v>768</v>
      </c>
      <c r="G983" s="34">
        <v>0</v>
      </c>
      <c r="H983" s="34">
        <f t="shared" si="30"/>
        <v>-768</v>
      </c>
      <c r="I983" s="34">
        <v>5011</v>
      </c>
      <c r="J983" s="34">
        <f t="shared" si="31"/>
        <v>5</v>
      </c>
      <c r="K983" s="34" t="s">
        <v>103</v>
      </c>
      <c r="L983" s="34" t="str">
        <f>I983 &amp; "-" &amp;VLOOKUP(I983,Střediska!$A$1:$B$40,2,FALSE)</f>
        <v>5011-Výkonný výbor</v>
      </c>
      <c r="M983" s="35" t="str">
        <f>VLOOKUP(Zdroj!$I983,Střediska!$A$1:$B$41,2,FALSE)</f>
        <v>Výkonný výbor</v>
      </c>
    </row>
    <row r="984" spans="1:13" hidden="1" x14ac:dyDescent="0.2">
      <c r="A984" s="36" t="s">
        <v>2035</v>
      </c>
      <c r="B984" s="31" t="s">
        <v>2034</v>
      </c>
      <c r="C984" s="31" t="s">
        <v>106</v>
      </c>
      <c r="D984" s="31" t="s">
        <v>86</v>
      </c>
      <c r="E984" s="31" t="s">
        <v>2036</v>
      </c>
      <c r="F984" s="31">
        <v>1863</v>
      </c>
      <c r="G984" s="31">
        <v>0</v>
      </c>
      <c r="H984" s="31">
        <f t="shared" si="30"/>
        <v>-1863</v>
      </c>
      <c r="I984" s="31">
        <v>5011</v>
      </c>
      <c r="J984" s="31">
        <f t="shared" si="31"/>
        <v>5</v>
      </c>
      <c r="K984" s="31" t="s">
        <v>1377</v>
      </c>
      <c r="L984" s="31" t="str">
        <f>I984 &amp; "-" &amp;VLOOKUP(I984,Střediska!$A$1:$B$40,2,FALSE)</f>
        <v>5011-Výkonný výbor</v>
      </c>
      <c r="M984" s="32" t="str">
        <f>VLOOKUP(Zdroj!$I984,Střediska!$A$1:$B$41,2,FALSE)</f>
        <v>Výkonný výbor</v>
      </c>
    </row>
    <row r="985" spans="1:13" hidden="1" x14ac:dyDescent="0.2">
      <c r="A985" s="33" t="s">
        <v>2038</v>
      </c>
      <c r="B985" s="34" t="s">
        <v>2037</v>
      </c>
      <c r="C985" s="34" t="s">
        <v>106</v>
      </c>
      <c r="D985" s="34" t="s">
        <v>86</v>
      </c>
      <c r="E985" s="34" t="s">
        <v>2036</v>
      </c>
      <c r="F985" s="34">
        <v>3229.2</v>
      </c>
      <c r="G985" s="34">
        <v>0</v>
      </c>
      <c r="H985" s="34">
        <f t="shared" si="30"/>
        <v>-3229.2</v>
      </c>
      <c r="I985" s="34">
        <v>5011</v>
      </c>
      <c r="J985" s="34">
        <f t="shared" si="31"/>
        <v>5</v>
      </c>
      <c r="K985" s="34" t="s">
        <v>1377</v>
      </c>
      <c r="L985" s="34" t="str">
        <f>I985 &amp; "-" &amp;VLOOKUP(I985,Střediska!$A$1:$B$40,2,FALSE)</f>
        <v>5011-Výkonný výbor</v>
      </c>
      <c r="M985" s="35" t="str">
        <f>VLOOKUP(Zdroj!$I985,Střediska!$A$1:$B$41,2,FALSE)</f>
        <v>Výkonný výbor</v>
      </c>
    </row>
    <row r="986" spans="1:13" hidden="1" x14ac:dyDescent="0.2">
      <c r="A986" s="36" t="s">
        <v>478</v>
      </c>
      <c r="B986" s="31" t="s">
        <v>2039</v>
      </c>
      <c r="C986" s="31" t="s">
        <v>106</v>
      </c>
      <c r="D986" s="31" t="s">
        <v>86</v>
      </c>
      <c r="E986" s="31" t="s">
        <v>2036</v>
      </c>
      <c r="F986" s="31">
        <v>2070</v>
      </c>
      <c r="G986" s="31">
        <v>0</v>
      </c>
      <c r="H986" s="31">
        <f t="shared" si="30"/>
        <v>-2070</v>
      </c>
      <c r="I986" s="31">
        <v>5011</v>
      </c>
      <c r="J986" s="31">
        <f t="shared" si="31"/>
        <v>5</v>
      </c>
      <c r="K986" s="31" t="s">
        <v>1377</v>
      </c>
      <c r="L986" s="31" t="str">
        <f>I986 &amp; "-" &amp;VLOOKUP(I986,Střediska!$A$1:$B$40,2,FALSE)</f>
        <v>5011-Výkonný výbor</v>
      </c>
      <c r="M986" s="32" t="str">
        <f>VLOOKUP(Zdroj!$I986,Střediska!$A$1:$B$41,2,FALSE)</f>
        <v>Výkonný výbor</v>
      </c>
    </row>
    <row r="987" spans="1:13" hidden="1" x14ac:dyDescent="0.2">
      <c r="A987" s="33" t="s">
        <v>25</v>
      </c>
      <c r="B987" s="34" t="s">
        <v>2040</v>
      </c>
      <c r="C987" s="34" t="s">
        <v>106</v>
      </c>
      <c r="D987" s="34" t="s">
        <v>1981</v>
      </c>
      <c r="E987" s="34" t="s">
        <v>2041</v>
      </c>
      <c r="F987" s="34">
        <v>750</v>
      </c>
      <c r="G987" s="34">
        <v>0</v>
      </c>
      <c r="H987" s="34">
        <f t="shared" si="30"/>
        <v>-750</v>
      </c>
      <c r="I987" s="34">
        <v>5011</v>
      </c>
      <c r="J987" s="34">
        <f t="shared" si="31"/>
        <v>5</v>
      </c>
      <c r="K987" s="34" t="s">
        <v>748</v>
      </c>
      <c r="L987" s="34" t="str">
        <f>I987 &amp; "-" &amp;VLOOKUP(I987,Střediska!$A$1:$B$40,2,FALSE)</f>
        <v>5011-Výkonný výbor</v>
      </c>
      <c r="M987" s="35" t="str">
        <f>VLOOKUP(Zdroj!$I987,Střediska!$A$1:$B$41,2,FALSE)</f>
        <v>Výkonný výbor</v>
      </c>
    </row>
    <row r="988" spans="1:13" hidden="1" x14ac:dyDescent="0.2">
      <c r="A988" s="36" t="s">
        <v>31</v>
      </c>
      <c r="B988" s="31" t="s">
        <v>2042</v>
      </c>
      <c r="C988" s="31" t="s">
        <v>19</v>
      </c>
      <c r="D988" s="31"/>
      <c r="E988" s="31" t="s">
        <v>2043</v>
      </c>
      <c r="F988" s="31">
        <v>1460.2</v>
      </c>
      <c r="G988" s="31">
        <v>0</v>
      </c>
      <c r="H988" s="31">
        <f t="shared" si="30"/>
        <v>-1460.2</v>
      </c>
      <c r="I988" s="31">
        <v>5011</v>
      </c>
      <c r="J988" s="31">
        <f t="shared" si="31"/>
        <v>5</v>
      </c>
      <c r="K988" s="31" t="s">
        <v>748</v>
      </c>
      <c r="L988" s="31" t="str">
        <f>I988 &amp; "-" &amp;VLOOKUP(I988,Střediska!$A$1:$B$40,2,FALSE)</f>
        <v>5011-Výkonný výbor</v>
      </c>
      <c r="M988" s="32" t="str">
        <f>VLOOKUP(Zdroj!$I988,Střediska!$A$1:$B$41,2,FALSE)</f>
        <v>Výkonný výbor</v>
      </c>
    </row>
    <row r="989" spans="1:13" hidden="1" x14ac:dyDescent="0.2">
      <c r="A989" s="33" t="s">
        <v>34</v>
      </c>
      <c r="B989" s="34" t="s">
        <v>2044</v>
      </c>
      <c r="C989" s="34" t="s">
        <v>19</v>
      </c>
      <c r="D989" s="34"/>
      <c r="E989" s="34" t="s">
        <v>2045</v>
      </c>
      <c r="F989" s="34">
        <v>1180</v>
      </c>
      <c r="G989" s="34">
        <v>0</v>
      </c>
      <c r="H989" s="34">
        <f t="shared" si="30"/>
        <v>-1180</v>
      </c>
      <c r="I989" s="34">
        <v>5011</v>
      </c>
      <c r="J989" s="34">
        <f t="shared" si="31"/>
        <v>5</v>
      </c>
      <c r="K989" s="34" t="s">
        <v>748</v>
      </c>
      <c r="L989" s="34" t="str">
        <f>I989 &amp; "-" &amp;VLOOKUP(I989,Střediska!$A$1:$B$40,2,FALSE)</f>
        <v>5011-Výkonný výbor</v>
      </c>
      <c r="M989" s="35" t="str">
        <f>VLOOKUP(Zdroj!$I989,Střediska!$A$1:$B$41,2,FALSE)</f>
        <v>Výkonný výbor</v>
      </c>
    </row>
    <row r="990" spans="1:13" hidden="1" x14ac:dyDescent="0.2">
      <c r="A990" s="36" t="s">
        <v>2048</v>
      </c>
      <c r="B990" s="31" t="s">
        <v>2046</v>
      </c>
      <c r="C990" s="31" t="s">
        <v>106</v>
      </c>
      <c r="D990" s="31" t="s">
        <v>2047</v>
      </c>
      <c r="E990" s="31" t="s">
        <v>2049</v>
      </c>
      <c r="F990" s="31">
        <v>12000</v>
      </c>
      <c r="G990" s="31">
        <v>0</v>
      </c>
      <c r="H990" s="31">
        <f t="shared" si="30"/>
        <v>-12000</v>
      </c>
      <c r="I990" s="31">
        <v>5011</v>
      </c>
      <c r="J990" s="31">
        <f t="shared" si="31"/>
        <v>5</v>
      </c>
      <c r="K990" s="31" t="s">
        <v>748</v>
      </c>
      <c r="L990" s="31" t="str">
        <f>I990 &amp; "-" &amp;VLOOKUP(I990,Střediska!$A$1:$B$40,2,FALSE)</f>
        <v>5011-Výkonný výbor</v>
      </c>
      <c r="M990" s="32" t="str">
        <f>VLOOKUP(Zdroj!$I990,Střediska!$A$1:$B$41,2,FALSE)</f>
        <v>Výkonný výbor</v>
      </c>
    </row>
    <row r="991" spans="1:13" hidden="1" x14ac:dyDescent="0.2">
      <c r="A991" s="33" t="s">
        <v>46</v>
      </c>
      <c r="B991" s="34" t="s">
        <v>2050</v>
      </c>
      <c r="C991" s="34" t="s">
        <v>106</v>
      </c>
      <c r="D991" s="34" t="s">
        <v>2051</v>
      </c>
      <c r="E991" s="34" t="s">
        <v>2052</v>
      </c>
      <c r="F991" s="34">
        <v>484</v>
      </c>
      <c r="G991" s="34">
        <v>0</v>
      </c>
      <c r="H991" s="34">
        <f t="shared" si="30"/>
        <v>-484</v>
      </c>
      <c r="I991" s="34">
        <v>5011</v>
      </c>
      <c r="J991" s="34">
        <f t="shared" si="31"/>
        <v>5</v>
      </c>
      <c r="K991" s="34" t="s">
        <v>748</v>
      </c>
      <c r="L991" s="34" t="str">
        <f>I991 &amp; "-" &amp;VLOOKUP(I991,Střediska!$A$1:$B$40,2,FALSE)</f>
        <v>5011-Výkonný výbor</v>
      </c>
      <c r="M991" s="35" t="str">
        <f>VLOOKUP(Zdroj!$I991,Střediska!$A$1:$B$41,2,FALSE)</f>
        <v>Výkonný výbor</v>
      </c>
    </row>
    <row r="992" spans="1:13" hidden="1" x14ac:dyDescent="0.2">
      <c r="A992" s="36" t="s">
        <v>220</v>
      </c>
      <c r="B992" s="31" t="s">
        <v>2072</v>
      </c>
      <c r="C992" s="31" t="s">
        <v>209</v>
      </c>
      <c r="D992" s="31"/>
      <c r="E992" s="31" t="s">
        <v>2071</v>
      </c>
      <c r="F992" s="31">
        <v>109</v>
      </c>
      <c r="G992" s="31">
        <v>0</v>
      </c>
      <c r="H992" s="31">
        <f t="shared" si="30"/>
        <v>-109</v>
      </c>
      <c r="I992" s="31">
        <v>5011</v>
      </c>
      <c r="J992" s="31">
        <f t="shared" si="31"/>
        <v>5</v>
      </c>
      <c r="K992" s="31" t="s">
        <v>748</v>
      </c>
      <c r="L992" s="31" t="str">
        <f>I992 &amp; "-" &amp;VLOOKUP(I992,Střediska!$A$1:$B$40,2,FALSE)</f>
        <v>5011-Výkonný výbor</v>
      </c>
      <c r="M992" s="32" t="str">
        <f>VLOOKUP(Zdroj!$I992,Střediska!$A$1:$B$41,2,FALSE)</f>
        <v>Výkonný výbor</v>
      </c>
    </row>
    <row r="993" spans="1:13" hidden="1" x14ac:dyDescent="0.2">
      <c r="A993" s="33" t="s">
        <v>944</v>
      </c>
      <c r="B993" s="34" t="s">
        <v>2053</v>
      </c>
      <c r="C993" s="34" t="s">
        <v>106</v>
      </c>
      <c r="D993" s="34" t="s">
        <v>2054</v>
      </c>
      <c r="E993" s="34" t="s">
        <v>2055</v>
      </c>
      <c r="F993" s="34">
        <v>682.43999999999994</v>
      </c>
      <c r="G993" s="34">
        <v>0</v>
      </c>
      <c r="H993" s="34">
        <f t="shared" si="30"/>
        <v>-682.43999999999994</v>
      </c>
      <c r="I993" s="34">
        <v>5011</v>
      </c>
      <c r="J993" s="34">
        <f t="shared" si="31"/>
        <v>5</v>
      </c>
      <c r="K993" s="34" t="s">
        <v>748</v>
      </c>
      <c r="L993" s="34" t="str">
        <f>I993 &amp; "-" &amp;VLOOKUP(I993,Střediska!$A$1:$B$40,2,FALSE)</f>
        <v>5011-Výkonný výbor</v>
      </c>
      <c r="M993" s="35" t="str">
        <f>VLOOKUP(Zdroj!$I993,Střediska!$A$1:$B$41,2,FALSE)</f>
        <v>Výkonný výbor</v>
      </c>
    </row>
    <row r="994" spans="1:13" hidden="1" x14ac:dyDescent="0.2">
      <c r="A994" s="36" t="s">
        <v>1323</v>
      </c>
      <c r="B994" s="31" t="s">
        <v>2056</v>
      </c>
      <c r="C994" s="31" t="s">
        <v>106</v>
      </c>
      <c r="D994" s="31" t="s">
        <v>2047</v>
      </c>
      <c r="E994" s="31" t="s">
        <v>2049</v>
      </c>
      <c r="F994" s="31">
        <v>8000</v>
      </c>
      <c r="G994" s="31">
        <v>0</v>
      </c>
      <c r="H994" s="31">
        <f t="shared" si="30"/>
        <v>-8000</v>
      </c>
      <c r="I994" s="31">
        <v>5011</v>
      </c>
      <c r="J994" s="31">
        <f t="shared" si="31"/>
        <v>5</v>
      </c>
      <c r="K994" s="31" t="s">
        <v>748</v>
      </c>
      <c r="L994" s="31" t="str">
        <f>I994 &amp; "-" &amp;VLOOKUP(I994,Střediska!$A$1:$B$40,2,FALSE)</f>
        <v>5011-Výkonný výbor</v>
      </c>
      <c r="M994" s="32" t="str">
        <f>VLOOKUP(Zdroj!$I994,Střediska!$A$1:$B$41,2,FALSE)</f>
        <v>Výkonný výbor</v>
      </c>
    </row>
    <row r="995" spans="1:13" hidden="1" x14ac:dyDescent="0.2">
      <c r="A995" s="33" t="s">
        <v>20</v>
      </c>
      <c r="B995" s="34" t="s">
        <v>2057</v>
      </c>
      <c r="C995" s="34" t="s">
        <v>106</v>
      </c>
      <c r="D995" s="34" t="s">
        <v>2047</v>
      </c>
      <c r="E995" s="34" t="s">
        <v>2049</v>
      </c>
      <c r="F995" s="34">
        <v>4000</v>
      </c>
      <c r="G995" s="34">
        <v>0</v>
      </c>
      <c r="H995" s="34">
        <f t="shared" si="30"/>
        <v>-4000</v>
      </c>
      <c r="I995" s="34">
        <v>5011</v>
      </c>
      <c r="J995" s="34">
        <f t="shared" si="31"/>
        <v>5</v>
      </c>
      <c r="K995" s="34" t="s">
        <v>748</v>
      </c>
      <c r="L995" s="34" t="str">
        <f>I995 &amp; "-" &amp;VLOOKUP(I995,Střediska!$A$1:$B$40,2,FALSE)</f>
        <v>5011-Výkonný výbor</v>
      </c>
      <c r="M995" s="35" t="str">
        <f>VLOOKUP(Zdroj!$I995,Střediska!$A$1:$B$41,2,FALSE)</f>
        <v>Výkonný výbor</v>
      </c>
    </row>
    <row r="996" spans="1:13" hidden="1" x14ac:dyDescent="0.2">
      <c r="A996" s="36" t="s">
        <v>478</v>
      </c>
      <c r="B996" s="31" t="s">
        <v>2060</v>
      </c>
      <c r="C996" s="31" t="s">
        <v>106</v>
      </c>
      <c r="D996" s="31" t="s">
        <v>2061</v>
      </c>
      <c r="E996" s="31" t="s">
        <v>2062</v>
      </c>
      <c r="F996" s="31">
        <v>435</v>
      </c>
      <c r="G996" s="31">
        <v>0</v>
      </c>
      <c r="H996" s="31">
        <f t="shared" si="30"/>
        <v>-435</v>
      </c>
      <c r="I996" s="31">
        <v>5011</v>
      </c>
      <c r="J996" s="31">
        <f t="shared" si="31"/>
        <v>5</v>
      </c>
      <c r="K996" s="31" t="s">
        <v>2059</v>
      </c>
      <c r="L996" s="31" t="str">
        <f>I996 &amp; "-" &amp;VLOOKUP(I996,Střediska!$A$1:$B$40,2,FALSE)</f>
        <v>5011-Výkonný výbor</v>
      </c>
      <c r="M996" s="32" t="str">
        <f>VLOOKUP(Zdroj!$I996,Střediska!$A$1:$B$41,2,FALSE)</f>
        <v>Výkonný výbor</v>
      </c>
    </row>
    <row r="997" spans="1:13" hidden="1" x14ac:dyDescent="0.2">
      <c r="A997" s="33" t="s">
        <v>218</v>
      </c>
      <c r="B997" s="34" t="s">
        <v>2063</v>
      </c>
      <c r="C997" s="34" t="s">
        <v>209</v>
      </c>
      <c r="D997" s="34"/>
      <c r="E997" s="34" t="s">
        <v>154</v>
      </c>
      <c r="F997" s="34">
        <v>1611</v>
      </c>
      <c r="G997" s="34">
        <v>0</v>
      </c>
      <c r="H997" s="34">
        <f t="shared" si="30"/>
        <v>-1611</v>
      </c>
      <c r="I997" s="34">
        <v>5011</v>
      </c>
      <c r="J997" s="34">
        <f t="shared" si="31"/>
        <v>5</v>
      </c>
      <c r="K997" s="34" t="s">
        <v>154</v>
      </c>
      <c r="L997" s="34" t="str">
        <f>I997 &amp; "-" &amp;VLOOKUP(I997,Střediska!$A$1:$B$40,2,FALSE)</f>
        <v>5011-Výkonný výbor</v>
      </c>
      <c r="M997" s="35" t="str">
        <f>VLOOKUP(Zdroj!$I997,Střediska!$A$1:$B$41,2,FALSE)</f>
        <v>Výkonný výbor</v>
      </c>
    </row>
    <row r="998" spans="1:13" hidden="1" x14ac:dyDescent="0.2">
      <c r="A998" s="36" t="s">
        <v>1845</v>
      </c>
      <c r="B998" s="31" t="s">
        <v>2064</v>
      </c>
      <c r="C998" s="31" t="s">
        <v>209</v>
      </c>
      <c r="D998" s="31"/>
      <c r="E998" s="31" t="s">
        <v>2065</v>
      </c>
      <c r="F998" s="31">
        <v>2000</v>
      </c>
      <c r="G998" s="31">
        <v>0</v>
      </c>
      <c r="H998" s="31">
        <f t="shared" si="30"/>
        <v>-2000</v>
      </c>
      <c r="I998" s="31">
        <v>5011</v>
      </c>
      <c r="J998" s="31">
        <f t="shared" si="31"/>
        <v>5</v>
      </c>
      <c r="K998" s="31" t="s">
        <v>207</v>
      </c>
      <c r="L998" s="31" t="str">
        <f>I998 &amp; "-" &amp;VLOOKUP(I998,Střediska!$A$1:$B$40,2,FALSE)</f>
        <v>5011-Výkonný výbor</v>
      </c>
      <c r="M998" s="32" t="str">
        <f>VLOOKUP(Zdroj!$I998,Střediska!$A$1:$B$41,2,FALSE)</f>
        <v>Výkonný výbor</v>
      </c>
    </row>
    <row r="999" spans="1:13" hidden="1" x14ac:dyDescent="0.2">
      <c r="A999" s="33" t="s">
        <v>1909</v>
      </c>
      <c r="B999" s="34" t="s">
        <v>2066</v>
      </c>
      <c r="C999" s="34" t="s">
        <v>209</v>
      </c>
      <c r="D999" s="34"/>
      <c r="E999" s="34" t="s">
        <v>2067</v>
      </c>
      <c r="F999" s="34">
        <v>3800</v>
      </c>
      <c r="G999" s="34">
        <v>0</v>
      </c>
      <c r="H999" s="34">
        <f t="shared" si="30"/>
        <v>-3800</v>
      </c>
      <c r="I999" s="34">
        <v>5011</v>
      </c>
      <c r="J999" s="34">
        <f t="shared" si="31"/>
        <v>5</v>
      </c>
      <c r="K999" s="34" t="s">
        <v>207</v>
      </c>
      <c r="L999" s="34" t="str">
        <f>I999 &amp; "-" &amp;VLOOKUP(I999,Střediska!$A$1:$B$40,2,FALSE)</f>
        <v>5011-Výkonný výbor</v>
      </c>
      <c r="M999" s="35" t="str">
        <f>VLOOKUP(Zdroj!$I999,Střediska!$A$1:$B$41,2,FALSE)</f>
        <v>Výkonný výbor</v>
      </c>
    </row>
    <row r="1000" spans="1:13" hidden="1" x14ac:dyDescent="0.2">
      <c r="A1000" s="36" t="s">
        <v>220</v>
      </c>
      <c r="B1000" s="31" t="s">
        <v>219</v>
      </c>
      <c r="C1000" s="31" t="s">
        <v>209</v>
      </c>
      <c r="D1000" s="31"/>
      <c r="E1000" s="31" t="s">
        <v>210</v>
      </c>
      <c r="F1000" s="31">
        <v>3000</v>
      </c>
      <c r="G1000" s="31">
        <v>0</v>
      </c>
      <c r="H1000" s="31">
        <f t="shared" si="30"/>
        <v>-3000</v>
      </c>
      <c r="I1000" s="31">
        <v>5011</v>
      </c>
      <c r="J1000" s="31">
        <f t="shared" si="31"/>
        <v>5</v>
      </c>
      <c r="K1000" s="31" t="s">
        <v>207</v>
      </c>
      <c r="L1000" s="31" t="str">
        <f>I1000 &amp; "-" &amp;VLOOKUP(I1000,Střediska!$A$1:$B$40,2,FALSE)</f>
        <v>5011-Výkonný výbor</v>
      </c>
      <c r="M1000" s="32" t="str">
        <f>VLOOKUP(Zdroj!$I1000,Střediska!$A$1:$B$41,2,FALSE)</f>
        <v>Výkonný výbor</v>
      </c>
    </row>
    <row r="1001" spans="1:13" hidden="1" x14ac:dyDescent="0.2">
      <c r="A1001" s="33" t="s">
        <v>2069</v>
      </c>
      <c r="B1001" s="34" t="s">
        <v>2068</v>
      </c>
      <c r="C1001" s="34" t="s">
        <v>209</v>
      </c>
      <c r="D1001" s="34"/>
      <c r="E1001" s="34" t="s">
        <v>2070</v>
      </c>
      <c r="F1001" s="34">
        <v>4030</v>
      </c>
      <c r="G1001" s="34">
        <v>0</v>
      </c>
      <c r="H1001" s="34">
        <f t="shared" si="30"/>
        <v>-4030</v>
      </c>
      <c r="I1001" s="34">
        <v>5011</v>
      </c>
      <c r="J1001" s="34">
        <f t="shared" si="31"/>
        <v>5</v>
      </c>
      <c r="K1001" s="34" t="s">
        <v>207</v>
      </c>
      <c r="L1001" s="34" t="str">
        <f>I1001 &amp; "-" &amp;VLOOKUP(I1001,Střediska!$A$1:$B$40,2,FALSE)</f>
        <v>5011-Výkonný výbor</v>
      </c>
      <c r="M1001" s="35" t="str">
        <f>VLOOKUP(Zdroj!$I1001,Střediska!$A$1:$B$41,2,FALSE)</f>
        <v>Výkonný výbor</v>
      </c>
    </row>
    <row r="1002" spans="1:13" hidden="1" x14ac:dyDescent="0.2">
      <c r="A1002" s="36" t="s">
        <v>20</v>
      </c>
      <c r="B1002" s="31" t="s">
        <v>59</v>
      </c>
      <c r="C1002" s="31" t="s">
        <v>19</v>
      </c>
      <c r="D1002" s="31"/>
      <c r="E1002" s="31" t="s">
        <v>60</v>
      </c>
      <c r="F1002" s="31">
        <v>156515</v>
      </c>
      <c r="G1002" s="31">
        <v>0</v>
      </c>
      <c r="H1002" s="31">
        <f t="shared" si="30"/>
        <v>-156515</v>
      </c>
      <c r="I1002" s="31">
        <v>5011</v>
      </c>
      <c r="J1002" s="31">
        <f t="shared" si="31"/>
        <v>5</v>
      </c>
      <c r="K1002" s="31" t="s">
        <v>23</v>
      </c>
      <c r="L1002" s="31" t="str">
        <f>I1002 &amp; "-" &amp;VLOOKUP(I1002,Střediska!$A$1:$B$40,2,FALSE)</f>
        <v>5011-Výkonný výbor</v>
      </c>
      <c r="M1002" s="32" t="str">
        <f>VLOOKUP(Zdroj!$I1002,Střediska!$A$1:$B$41,2,FALSE)</f>
        <v>Výkonný výbor</v>
      </c>
    </row>
    <row r="1003" spans="1:13" hidden="1" x14ac:dyDescent="0.2">
      <c r="A1003" s="33" t="s">
        <v>34</v>
      </c>
      <c r="B1003" s="34" t="s">
        <v>2075</v>
      </c>
      <c r="C1003" s="34" t="s">
        <v>19</v>
      </c>
      <c r="D1003" s="34"/>
      <c r="E1003" s="34" t="s">
        <v>2076</v>
      </c>
      <c r="F1003" s="34">
        <v>24300</v>
      </c>
      <c r="G1003" s="34">
        <v>0</v>
      </c>
      <c r="H1003" s="34">
        <f t="shared" si="30"/>
        <v>-24300</v>
      </c>
      <c r="I1003" s="34">
        <v>5011</v>
      </c>
      <c r="J1003" s="34">
        <f t="shared" si="31"/>
        <v>5</v>
      </c>
      <c r="K1003" s="34" t="s">
        <v>2074</v>
      </c>
      <c r="L1003" s="34" t="str">
        <f>I1003 &amp; "-" &amp;VLOOKUP(I1003,Střediska!$A$1:$B$40,2,FALSE)</f>
        <v>5011-Výkonný výbor</v>
      </c>
      <c r="M1003" s="35" t="str">
        <f>VLOOKUP(Zdroj!$I1003,Střediska!$A$1:$B$41,2,FALSE)</f>
        <v>Výkonný výbor</v>
      </c>
    </row>
    <row r="1004" spans="1:13" hidden="1" x14ac:dyDescent="0.2">
      <c r="A1004" s="36" t="s">
        <v>2078</v>
      </c>
      <c r="B1004" s="31" t="s">
        <v>2077</v>
      </c>
      <c r="C1004" s="31" t="s">
        <v>19</v>
      </c>
      <c r="D1004" s="31"/>
      <c r="E1004" s="31" t="s">
        <v>2076</v>
      </c>
      <c r="F1004" s="31">
        <v>17415</v>
      </c>
      <c r="G1004" s="31">
        <v>0</v>
      </c>
      <c r="H1004" s="31">
        <f t="shared" si="30"/>
        <v>-17415</v>
      </c>
      <c r="I1004" s="31">
        <v>5011</v>
      </c>
      <c r="J1004" s="31">
        <f t="shared" si="31"/>
        <v>5</v>
      </c>
      <c r="K1004" s="31" t="s">
        <v>2074</v>
      </c>
      <c r="L1004" s="31" t="str">
        <f>I1004 &amp; "-" &amp;VLOOKUP(I1004,Střediska!$A$1:$B$40,2,FALSE)</f>
        <v>5011-Výkonný výbor</v>
      </c>
      <c r="M1004" s="32" t="str">
        <f>VLOOKUP(Zdroj!$I1004,Střediska!$A$1:$B$41,2,FALSE)</f>
        <v>Výkonný výbor</v>
      </c>
    </row>
    <row r="1005" spans="1:13" hidden="1" x14ac:dyDescent="0.2">
      <c r="A1005" s="33" t="s">
        <v>92</v>
      </c>
      <c r="B1005" s="34" t="s">
        <v>2090</v>
      </c>
      <c r="C1005" s="34" t="s">
        <v>19</v>
      </c>
      <c r="D1005" s="34"/>
      <c r="E1005" s="34" t="s">
        <v>2091</v>
      </c>
      <c r="F1005" s="34">
        <v>601.63</v>
      </c>
      <c r="G1005" s="34">
        <v>0</v>
      </c>
      <c r="H1005" s="34">
        <f t="shared" si="30"/>
        <v>-601.63</v>
      </c>
      <c r="I1005" s="34">
        <v>5011</v>
      </c>
      <c r="J1005" s="34">
        <f t="shared" si="31"/>
        <v>5</v>
      </c>
      <c r="K1005" s="34" t="s">
        <v>1897</v>
      </c>
      <c r="L1005" s="34" t="str">
        <f>I1005 &amp; "-" &amp;VLOOKUP(I1005,Střediska!$A$1:$B$40,2,FALSE)</f>
        <v>5011-Výkonný výbor</v>
      </c>
      <c r="M1005" s="35" t="str">
        <f>VLOOKUP(Zdroj!$I1005,Střediska!$A$1:$B$41,2,FALSE)</f>
        <v>Výkonný výbor</v>
      </c>
    </row>
    <row r="1006" spans="1:13" hidden="1" x14ac:dyDescent="0.2">
      <c r="A1006" s="36" t="s">
        <v>1719</v>
      </c>
      <c r="B1006" s="31" t="s">
        <v>2092</v>
      </c>
      <c r="C1006" s="31" t="s">
        <v>19</v>
      </c>
      <c r="D1006" s="31"/>
      <c r="E1006" s="31" t="s">
        <v>2093</v>
      </c>
      <c r="F1006" s="31">
        <v>1530.37</v>
      </c>
      <c r="G1006" s="31">
        <v>0</v>
      </c>
      <c r="H1006" s="31">
        <f t="shared" si="30"/>
        <v>-1530.37</v>
      </c>
      <c r="I1006" s="31">
        <v>5011</v>
      </c>
      <c r="J1006" s="31">
        <f t="shared" si="31"/>
        <v>5</v>
      </c>
      <c r="K1006" s="31" t="s">
        <v>1897</v>
      </c>
      <c r="L1006" s="31" t="str">
        <f>I1006 &amp; "-" &amp;VLOOKUP(I1006,Střediska!$A$1:$B$40,2,FALSE)</f>
        <v>5011-Výkonný výbor</v>
      </c>
      <c r="M1006" s="32" t="str">
        <f>VLOOKUP(Zdroj!$I1006,Střediska!$A$1:$B$41,2,FALSE)</f>
        <v>Výkonný výbor</v>
      </c>
    </row>
    <row r="1007" spans="1:13" hidden="1" x14ac:dyDescent="0.2">
      <c r="A1007" s="33" t="s">
        <v>20</v>
      </c>
      <c r="B1007" s="34" t="s">
        <v>2096</v>
      </c>
      <c r="C1007" s="34" t="s">
        <v>19</v>
      </c>
      <c r="D1007" s="34"/>
      <c r="E1007" s="34" t="s">
        <v>2097</v>
      </c>
      <c r="F1007" s="34">
        <v>31559</v>
      </c>
      <c r="G1007" s="34">
        <v>0</v>
      </c>
      <c r="H1007" s="34">
        <f t="shared" si="30"/>
        <v>-31559</v>
      </c>
      <c r="I1007" s="34">
        <v>5011</v>
      </c>
      <c r="J1007" s="34">
        <f t="shared" si="31"/>
        <v>5</v>
      </c>
      <c r="K1007" s="34" t="s">
        <v>2095</v>
      </c>
      <c r="L1007" s="34" t="str">
        <f>I1007 &amp; "-" &amp;VLOOKUP(I1007,Střediska!$A$1:$B$40,2,FALSE)</f>
        <v>5011-Výkonný výbor</v>
      </c>
      <c r="M1007" s="35" t="str">
        <f>VLOOKUP(Zdroj!$I1007,Střediska!$A$1:$B$41,2,FALSE)</f>
        <v>Výkonný výbor</v>
      </c>
    </row>
    <row r="1008" spans="1:13" ht="24" hidden="1" x14ac:dyDescent="0.2">
      <c r="A1008" s="36" t="s">
        <v>25</v>
      </c>
      <c r="B1008" s="31" t="s">
        <v>2098</v>
      </c>
      <c r="C1008" s="31" t="s">
        <v>87</v>
      </c>
      <c r="D1008" s="31" t="s">
        <v>252</v>
      </c>
      <c r="E1008" s="38" t="s">
        <v>2099</v>
      </c>
      <c r="F1008" s="31">
        <v>0</v>
      </c>
      <c r="G1008" s="31">
        <v>1600</v>
      </c>
      <c r="H1008" s="31">
        <f t="shared" si="30"/>
        <v>1600</v>
      </c>
      <c r="I1008" s="31">
        <v>5011</v>
      </c>
      <c r="J1008" s="31">
        <f t="shared" si="31"/>
        <v>5</v>
      </c>
      <c r="K1008" s="31" t="s">
        <v>2738</v>
      </c>
      <c r="L1008" s="31" t="str">
        <f>I1008 &amp; "-" &amp;VLOOKUP(I1008,Střediska!$A$1:$B$40,2,FALSE)</f>
        <v>5011-Výkonný výbor</v>
      </c>
      <c r="M1008" s="32" t="str">
        <f>VLOOKUP(Zdroj!$I1008,Střediska!$A$1:$B$41,2,FALSE)</f>
        <v>Výkonný výbor</v>
      </c>
    </row>
    <row r="1009" spans="1:13" ht="24" hidden="1" x14ac:dyDescent="0.2">
      <c r="A1009" s="33" t="s">
        <v>2102</v>
      </c>
      <c r="B1009" s="34" t="s">
        <v>2100</v>
      </c>
      <c r="C1009" s="34" t="s">
        <v>87</v>
      </c>
      <c r="D1009" s="34" t="s">
        <v>2101</v>
      </c>
      <c r="E1009" s="37" t="s">
        <v>2099</v>
      </c>
      <c r="F1009" s="34">
        <v>0</v>
      </c>
      <c r="G1009" s="34">
        <v>500</v>
      </c>
      <c r="H1009" s="34">
        <f t="shared" si="30"/>
        <v>500</v>
      </c>
      <c r="I1009" s="34">
        <v>5011</v>
      </c>
      <c r="J1009" s="34">
        <f t="shared" si="31"/>
        <v>5</v>
      </c>
      <c r="K1009" s="34" t="s">
        <v>2738</v>
      </c>
      <c r="L1009" s="34" t="str">
        <f>I1009 &amp; "-" &amp;VLOOKUP(I1009,Střediska!$A$1:$B$40,2,FALSE)</f>
        <v>5011-Výkonný výbor</v>
      </c>
      <c r="M1009" s="35" t="str">
        <f>VLOOKUP(Zdroj!$I1009,Střediska!$A$1:$B$41,2,FALSE)</f>
        <v>Výkonný výbor</v>
      </c>
    </row>
    <row r="1010" spans="1:13" ht="24" hidden="1" x14ac:dyDescent="0.2">
      <c r="A1010" s="36" t="s">
        <v>425</v>
      </c>
      <c r="B1010" s="31" t="s">
        <v>2103</v>
      </c>
      <c r="C1010" s="31" t="s">
        <v>87</v>
      </c>
      <c r="D1010" s="31" t="s">
        <v>242</v>
      </c>
      <c r="E1010" s="38" t="s">
        <v>2104</v>
      </c>
      <c r="F1010" s="31">
        <v>0</v>
      </c>
      <c r="G1010" s="31">
        <v>2400</v>
      </c>
      <c r="H1010" s="31">
        <f t="shared" si="30"/>
        <v>2400</v>
      </c>
      <c r="I1010" s="31">
        <v>5011</v>
      </c>
      <c r="J1010" s="31">
        <f t="shared" si="31"/>
        <v>5</v>
      </c>
      <c r="K1010" s="31" t="s">
        <v>2738</v>
      </c>
      <c r="L1010" s="31" t="str">
        <f>I1010 &amp; "-" &amp;VLOOKUP(I1010,Střediska!$A$1:$B$40,2,FALSE)</f>
        <v>5011-Výkonný výbor</v>
      </c>
      <c r="M1010" s="32" t="str">
        <f>VLOOKUP(Zdroj!$I1010,Střediska!$A$1:$B$41,2,FALSE)</f>
        <v>Výkonný výbor</v>
      </c>
    </row>
    <row r="1011" spans="1:13" ht="24" hidden="1" x14ac:dyDescent="0.2">
      <c r="A1011" s="33" t="s">
        <v>2048</v>
      </c>
      <c r="B1011" s="34" t="s">
        <v>2105</v>
      </c>
      <c r="C1011" s="34" t="s">
        <v>87</v>
      </c>
      <c r="D1011" s="34" t="s">
        <v>2106</v>
      </c>
      <c r="E1011" s="37" t="s">
        <v>2107</v>
      </c>
      <c r="F1011" s="34">
        <v>0</v>
      </c>
      <c r="G1011" s="34">
        <v>2700</v>
      </c>
      <c r="H1011" s="34">
        <f t="shared" si="30"/>
        <v>2700</v>
      </c>
      <c r="I1011" s="34">
        <v>5011</v>
      </c>
      <c r="J1011" s="34">
        <f t="shared" si="31"/>
        <v>5</v>
      </c>
      <c r="K1011" s="34" t="s">
        <v>2738</v>
      </c>
      <c r="L1011" s="34" t="str">
        <f>I1011 &amp; "-" &amp;VLOOKUP(I1011,Střediska!$A$1:$B$40,2,FALSE)</f>
        <v>5011-Výkonný výbor</v>
      </c>
      <c r="M1011" s="35" t="str">
        <f>VLOOKUP(Zdroj!$I1011,Střediska!$A$1:$B$41,2,FALSE)</f>
        <v>Výkonný výbor</v>
      </c>
    </row>
    <row r="1012" spans="1:13" ht="24" hidden="1" x14ac:dyDescent="0.2">
      <c r="A1012" s="36" t="s">
        <v>20</v>
      </c>
      <c r="B1012" s="31" t="s">
        <v>2108</v>
      </c>
      <c r="C1012" s="31" t="s">
        <v>87</v>
      </c>
      <c r="D1012" s="31" t="s">
        <v>242</v>
      </c>
      <c r="E1012" s="38" t="s">
        <v>2109</v>
      </c>
      <c r="F1012" s="31">
        <v>0</v>
      </c>
      <c r="G1012" s="31">
        <v>4200</v>
      </c>
      <c r="H1012" s="31">
        <f t="shared" si="30"/>
        <v>4200</v>
      </c>
      <c r="I1012" s="31">
        <v>5011</v>
      </c>
      <c r="J1012" s="31">
        <f t="shared" si="31"/>
        <v>5</v>
      </c>
      <c r="K1012" s="31" t="s">
        <v>2738</v>
      </c>
      <c r="L1012" s="31" t="str">
        <f>I1012 &amp; "-" &amp;VLOOKUP(I1012,Střediska!$A$1:$B$40,2,FALSE)</f>
        <v>5011-Výkonný výbor</v>
      </c>
      <c r="M1012" s="32" t="str">
        <f>VLOOKUP(Zdroj!$I1012,Střediska!$A$1:$B$41,2,FALSE)</f>
        <v>Výkonný výbor</v>
      </c>
    </row>
    <row r="1013" spans="1:13" ht="24" hidden="1" x14ac:dyDescent="0.2">
      <c r="A1013" s="33" t="s">
        <v>20</v>
      </c>
      <c r="B1013" s="34" t="s">
        <v>2739</v>
      </c>
      <c r="C1013" s="34" t="s">
        <v>87</v>
      </c>
      <c r="D1013" s="34" t="s">
        <v>252</v>
      </c>
      <c r="E1013" s="37" t="s">
        <v>2740</v>
      </c>
      <c r="F1013" s="34">
        <v>0</v>
      </c>
      <c r="G1013" s="34">
        <v>12600</v>
      </c>
      <c r="H1013" s="34">
        <f t="shared" si="30"/>
        <v>12600</v>
      </c>
      <c r="I1013" s="34">
        <v>5011</v>
      </c>
      <c r="J1013" s="34">
        <f t="shared" si="31"/>
        <v>5</v>
      </c>
      <c r="K1013" s="34" t="s">
        <v>2738</v>
      </c>
      <c r="L1013" s="34" t="str">
        <f>I1013 &amp; "-" &amp;VLOOKUP(I1013,Střediska!$A$1:$B$40,2,FALSE)</f>
        <v>5011-Výkonný výbor</v>
      </c>
      <c r="M1013" s="35" t="str">
        <f>VLOOKUP(Zdroj!$I1013,Střediska!$A$1:$B$41,2,FALSE)</f>
        <v>Výkonný výbor</v>
      </c>
    </row>
    <row r="1014" spans="1:13" x14ac:dyDescent="0.2">
      <c r="A1014" s="36" t="s">
        <v>92</v>
      </c>
      <c r="B1014" s="31" t="s">
        <v>2110</v>
      </c>
      <c r="C1014" s="31" t="s">
        <v>19</v>
      </c>
      <c r="D1014" s="31"/>
      <c r="E1014" s="31" t="s">
        <v>2111</v>
      </c>
      <c r="F1014" s="31">
        <v>0</v>
      </c>
      <c r="G1014" s="31">
        <v>396264.06</v>
      </c>
      <c r="H1014" s="31">
        <f t="shared" si="30"/>
        <v>396264.06</v>
      </c>
      <c r="I1014" s="31">
        <v>5011</v>
      </c>
      <c r="J1014" s="31">
        <f t="shared" si="31"/>
        <v>5</v>
      </c>
      <c r="K1014" s="31" t="s">
        <v>84</v>
      </c>
      <c r="L1014" s="31" t="str">
        <f>I1014 &amp; "-" &amp;VLOOKUP(I1014,Střediska!$A$1:$B$40,2,FALSE)</f>
        <v>5011-Výkonný výbor</v>
      </c>
      <c r="M1014" s="32" t="str">
        <f>VLOOKUP(Zdroj!$I1014,Střediska!$A$1:$B$41,2,FALSE)</f>
        <v>Výkonný výbor</v>
      </c>
    </row>
    <row r="1015" spans="1:13" x14ac:dyDescent="0.2">
      <c r="A1015" s="33" t="s">
        <v>25</v>
      </c>
      <c r="B1015" s="34" t="s">
        <v>2112</v>
      </c>
      <c r="C1015" s="34" t="s">
        <v>19</v>
      </c>
      <c r="D1015" s="34"/>
      <c r="E1015" s="34" t="s">
        <v>2113</v>
      </c>
      <c r="F1015" s="34">
        <v>0</v>
      </c>
      <c r="G1015" s="34">
        <v>15000</v>
      </c>
      <c r="H1015" s="34">
        <f t="shared" si="30"/>
        <v>15000</v>
      </c>
      <c r="I1015" s="34">
        <v>5011</v>
      </c>
      <c r="J1015" s="34">
        <f t="shared" si="31"/>
        <v>5</v>
      </c>
      <c r="K1015" s="34" t="s">
        <v>84</v>
      </c>
      <c r="L1015" s="34" t="str">
        <f>I1015 &amp; "-" &amp;VLOOKUP(I1015,Střediska!$A$1:$B$40,2,FALSE)</f>
        <v>5011-Výkonný výbor</v>
      </c>
      <c r="M1015" s="35" t="str">
        <f>VLOOKUP(Zdroj!$I1015,Střediska!$A$1:$B$41,2,FALSE)</f>
        <v>Výkonný výbor</v>
      </c>
    </row>
    <row r="1016" spans="1:13" ht="24" x14ac:dyDescent="0.2">
      <c r="A1016" s="36" t="s">
        <v>1045</v>
      </c>
      <c r="B1016" s="31" t="s">
        <v>2114</v>
      </c>
      <c r="C1016" s="31" t="s">
        <v>87</v>
      </c>
      <c r="D1016" s="31" t="s">
        <v>2115</v>
      </c>
      <c r="E1016" s="38" t="s">
        <v>2116</v>
      </c>
      <c r="F1016" s="31">
        <v>0</v>
      </c>
      <c r="G1016" s="31">
        <v>49316</v>
      </c>
      <c r="H1016" s="31">
        <f t="shared" si="30"/>
        <v>49316</v>
      </c>
      <c r="I1016" s="31">
        <v>5011</v>
      </c>
      <c r="J1016" s="31">
        <f t="shared" si="31"/>
        <v>5</v>
      </c>
      <c r="K1016" s="31" t="s">
        <v>84</v>
      </c>
      <c r="L1016" s="31" t="str">
        <f>I1016 &amp; "-" &amp;VLOOKUP(I1016,Střediska!$A$1:$B$40,2,FALSE)</f>
        <v>5011-Výkonný výbor</v>
      </c>
      <c r="M1016" s="32" t="str">
        <f>VLOOKUP(Zdroj!$I1016,Střediska!$A$1:$B$41,2,FALSE)</f>
        <v>Výkonný výbor</v>
      </c>
    </row>
    <row r="1017" spans="1:13" x14ac:dyDescent="0.2">
      <c r="A1017" s="33" t="s">
        <v>169</v>
      </c>
      <c r="B1017" s="34" t="s">
        <v>2117</v>
      </c>
      <c r="C1017" s="34" t="s">
        <v>209</v>
      </c>
      <c r="D1017" s="34"/>
      <c r="E1017" s="34" t="s">
        <v>2118</v>
      </c>
      <c r="F1017" s="34">
        <v>0</v>
      </c>
      <c r="G1017" s="34">
        <v>21739.129999999997</v>
      </c>
      <c r="H1017" s="34">
        <f t="shared" si="30"/>
        <v>21739.129999999997</v>
      </c>
      <c r="I1017" s="34">
        <v>5011</v>
      </c>
      <c r="J1017" s="34">
        <f t="shared" si="31"/>
        <v>5</v>
      </c>
      <c r="K1017" s="34" t="s">
        <v>84</v>
      </c>
      <c r="L1017" s="34" t="str">
        <f>I1017 &amp; "-" &amp;VLOOKUP(I1017,Střediska!$A$1:$B$40,2,FALSE)</f>
        <v>5011-Výkonný výbor</v>
      </c>
      <c r="M1017" s="35" t="str">
        <f>VLOOKUP(Zdroj!$I1017,Střediska!$A$1:$B$41,2,FALSE)</f>
        <v>Výkonný výbor</v>
      </c>
    </row>
    <row r="1018" spans="1:13" x14ac:dyDescent="0.2">
      <c r="A1018" s="36" t="s">
        <v>46</v>
      </c>
      <c r="B1018" s="31" t="s">
        <v>2119</v>
      </c>
      <c r="C1018" s="31" t="s">
        <v>87</v>
      </c>
      <c r="D1018" s="31" t="s">
        <v>2120</v>
      </c>
      <c r="E1018" s="31" t="s">
        <v>2121</v>
      </c>
      <c r="F1018" s="31">
        <v>0</v>
      </c>
      <c r="G1018" s="31">
        <v>33195.269999999997</v>
      </c>
      <c r="H1018" s="31">
        <f t="shared" si="30"/>
        <v>33195.269999999997</v>
      </c>
      <c r="I1018" s="31">
        <v>5011</v>
      </c>
      <c r="J1018" s="31">
        <f t="shared" si="31"/>
        <v>5</v>
      </c>
      <c r="K1018" s="31" t="s">
        <v>84</v>
      </c>
      <c r="L1018" s="31" t="str">
        <f>I1018 &amp; "-" &amp;VLOOKUP(I1018,Střediska!$A$1:$B$40,2,FALSE)</f>
        <v>5011-Výkonný výbor</v>
      </c>
      <c r="M1018" s="32" t="str">
        <f>VLOOKUP(Zdroj!$I1018,Střediska!$A$1:$B$41,2,FALSE)</f>
        <v>Výkonný výbor</v>
      </c>
    </row>
    <row r="1019" spans="1:13" x14ac:dyDescent="0.2">
      <c r="A1019" s="33" t="s">
        <v>46</v>
      </c>
      <c r="B1019" s="34" t="s">
        <v>85</v>
      </c>
      <c r="C1019" s="34" t="s">
        <v>87</v>
      </c>
      <c r="D1019" s="34" t="s">
        <v>86</v>
      </c>
      <c r="E1019" s="34" t="s">
        <v>88</v>
      </c>
      <c r="F1019" s="34">
        <v>0</v>
      </c>
      <c r="G1019" s="34">
        <v>20000</v>
      </c>
      <c r="H1019" s="34">
        <f t="shared" si="30"/>
        <v>20000</v>
      </c>
      <c r="I1019" s="34">
        <v>5011</v>
      </c>
      <c r="J1019" s="34">
        <f t="shared" si="31"/>
        <v>5</v>
      </c>
      <c r="K1019" s="34" t="s">
        <v>84</v>
      </c>
      <c r="L1019" s="34" t="str">
        <f>I1019 &amp; "-" &amp;VLOOKUP(I1019,Střediska!$A$1:$B$40,2,FALSE)</f>
        <v>5011-Výkonný výbor</v>
      </c>
      <c r="M1019" s="35" t="str">
        <f>VLOOKUP(Zdroj!$I1019,Střediska!$A$1:$B$41,2,FALSE)</f>
        <v>Výkonný výbor</v>
      </c>
    </row>
    <row r="1020" spans="1:13" x14ac:dyDescent="0.2">
      <c r="A1020" s="36" t="s">
        <v>2124</v>
      </c>
      <c r="B1020" s="31" t="s">
        <v>2122</v>
      </c>
      <c r="C1020" s="31" t="s">
        <v>87</v>
      </c>
      <c r="D1020" s="31" t="s">
        <v>2123</v>
      </c>
      <c r="E1020" s="31" t="s">
        <v>2125</v>
      </c>
      <c r="F1020" s="31">
        <v>0</v>
      </c>
      <c r="G1020" s="31">
        <v>5000</v>
      </c>
      <c r="H1020" s="31">
        <f t="shared" si="30"/>
        <v>5000</v>
      </c>
      <c r="I1020" s="31">
        <v>5011</v>
      </c>
      <c r="J1020" s="31">
        <f t="shared" si="31"/>
        <v>5</v>
      </c>
      <c r="K1020" s="31" t="s">
        <v>84</v>
      </c>
      <c r="L1020" s="31" t="str">
        <f>I1020 &amp; "-" &amp;VLOOKUP(I1020,Střediska!$A$1:$B$40,2,FALSE)</f>
        <v>5011-Výkonný výbor</v>
      </c>
      <c r="M1020" s="32" t="str">
        <f>VLOOKUP(Zdroj!$I1020,Střediska!$A$1:$B$41,2,FALSE)</f>
        <v>Výkonný výbor</v>
      </c>
    </row>
    <row r="1021" spans="1:13" x14ac:dyDescent="0.2">
      <c r="A1021" s="33" t="s">
        <v>2124</v>
      </c>
      <c r="B1021" s="34" t="s">
        <v>2126</v>
      </c>
      <c r="C1021" s="34" t="s">
        <v>87</v>
      </c>
      <c r="D1021" s="34" t="s">
        <v>2123</v>
      </c>
      <c r="E1021" s="34" t="s">
        <v>2127</v>
      </c>
      <c r="F1021" s="34">
        <v>0</v>
      </c>
      <c r="G1021" s="34">
        <v>10000</v>
      </c>
      <c r="H1021" s="34">
        <f t="shared" si="30"/>
        <v>10000</v>
      </c>
      <c r="I1021" s="34">
        <v>5011</v>
      </c>
      <c r="J1021" s="34">
        <f t="shared" si="31"/>
        <v>5</v>
      </c>
      <c r="K1021" s="34" t="s">
        <v>84</v>
      </c>
      <c r="L1021" s="34" t="str">
        <f>I1021 &amp; "-" &amp;VLOOKUP(I1021,Střediska!$A$1:$B$40,2,FALSE)</f>
        <v>5011-Výkonný výbor</v>
      </c>
      <c r="M1021" s="35" t="str">
        <f>VLOOKUP(Zdroj!$I1021,Střediska!$A$1:$B$41,2,FALSE)</f>
        <v>Výkonný výbor</v>
      </c>
    </row>
    <row r="1022" spans="1:13" x14ac:dyDescent="0.2">
      <c r="A1022" s="36" t="s">
        <v>444</v>
      </c>
      <c r="B1022" s="31" t="s">
        <v>2128</v>
      </c>
      <c r="C1022" s="31" t="s">
        <v>87</v>
      </c>
      <c r="D1022" s="31" t="s">
        <v>2129</v>
      </c>
      <c r="E1022" s="31" t="s">
        <v>2130</v>
      </c>
      <c r="F1022" s="31">
        <v>0</v>
      </c>
      <c r="G1022" s="31">
        <v>6672.76</v>
      </c>
      <c r="H1022" s="31">
        <f t="shared" si="30"/>
        <v>6672.76</v>
      </c>
      <c r="I1022" s="31">
        <v>5011</v>
      </c>
      <c r="J1022" s="31">
        <f t="shared" si="31"/>
        <v>5</v>
      </c>
      <c r="K1022" s="31" t="s">
        <v>84</v>
      </c>
      <c r="L1022" s="31" t="str">
        <f>I1022 &amp; "-" &amp;VLOOKUP(I1022,Střediska!$A$1:$B$40,2,FALSE)</f>
        <v>5011-Výkonný výbor</v>
      </c>
      <c r="M1022" s="32" t="str">
        <f>VLOOKUP(Zdroj!$I1022,Střediska!$A$1:$B$41,2,FALSE)</f>
        <v>Výkonný výbor</v>
      </c>
    </row>
    <row r="1023" spans="1:13" x14ac:dyDescent="0.2">
      <c r="A1023" s="33" t="s">
        <v>444</v>
      </c>
      <c r="B1023" s="34" t="s">
        <v>2131</v>
      </c>
      <c r="C1023" s="34" t="s">
        <v>87</v>
      </c>
      <c r="D1023" s="34" t="s">
        <v>2129</v>
      </c>
      <c r="E1023" s="34" t="s">
        <v>2132</v>
      </c>
      <c r="F1023" s="34">
        <v>0</v>
      </c>
      <c r="G1023" s="34">
        <v>8026.3200000000006</v>
      </c>
      <c r="H1023" s="34">
        <f t="shared" si="30"/>
        <v>8026.3200000000006</v>
      </c>
      <c r="I1023" s="34">
        <v>5011</v>
      </c>
      <c r="J1023" s="34">
        <f t="shared" si="31"/>
        <v>5</v>
      </c>
      <c r="K1023" s="34" t="s">
        <v>84</v>
      </c>
      <c r="L1023" s="34" t="str">
        <f>I1023 &amp; "-" &amp;VLOOKUP(I1023,Střediska!$A$1:$B$40,2,FALSE)</f>
        <v>5011-Výkonný výbor</v>
      </c>
      <c r="M1023" s="35" t="str">
        <f>VLOOKUP(Zdroj!$I1023,Střediska!$A$1:$B$41,2,FALSE)</f>
        <v>Výkonný výbor</v>
      </c>
    </row>
    <row r="1024" spans="1:13" x14ac:dyDescent="0.2">
      <c r="A1024" s="36" t="s">
        <v>49</v>
      </c>
      <c r="B1024" s="31" t="s">
        <v>2133</v>
      </c>
      <c r="C1024" s="31" t="s">
        <v>19</v>
      </c>
      <c r="D1024" s="31"/>
      <c r="E1024" s="31" t="s">
        <v>2134</v>
      </c>
      <c r="F1024" s="31">
        <v>0</v>
      </c>
      <c r="G1024" s="31">
        <v>6335.1500000000005</v>
      </c>
      <c r="H1024" s="31">
        <f t="shared" si="30"/>
        <v>6335.1500000000005</v>
      </c>
      <c r="I1024" s="31">
        <v>5011</v>
      </c>
      <c r="J1024" s="31">
        <f t="shared" si="31"/>
        <v>5</v>
      </c>
      <c r="K1024" s="31" t="s">
        <v>84</v>
      </c>
      <c r="L1024" s="31" t="str">
        <f>I1024 &amp; "-" &amp;VLOOKUP(I1024,Střediska!$A$1:$B$40,2,FALSE)</f>
        <v>5011-Výkonný výbor</v>
      </c>
      <c r="M1024" s="32" t="str">
        <f>VLOOKUP(Zdroj!$I1024,Střediska!$A$1:$B$41,2,FALSE)</f>
        <v>Výkonný výbor</v>
      </c>
    </row>
    <row r="1025" spans="1:13" x14ac:dyDescent="0.2">
      <c r="A1025" s="33" t="s">
        <v>296</v>
      </c>
      <c r="B1025" s="34" t="s">
        <v>2135</v>
      </c>
      <c r="C1025" s="34" t="s">
        <v>87</v>
      </c>
      <c r="D1025" s="34" t="s">
        <v>2136</v>
      </c>
      <c r="E1025" s="34" t="s">
        <v>2137</v>
      </c>
      <c r="F1025" s="34">
        <v>0</v>
      </c>
      <c r="G1025" s="34">
        <v>19242.97</v>
      </c>
      <c r="H1025" s="34">
        <f t="shared" si="30"/>
        <v>19242.97</v>
      </c>
      <c r="I1025" s="34">
        <v>5011</v>
      </c>
      <c r="J1025" s="34">
        <f t="shared" si="31"/>
        <v>5</v>
      </c>
      <c r="K1025" s="34" t="s">
        <v>84</v>
      </c>
      <c r="L1025" s="34" t="str">
        <f>I1025 &amp; "-" &amp;VLOOKUP(I1025,Střediska!$A$1:$B$40,2,FALSE)</f>
        <v>5011-Výkonný výbor</v>
      </c>
      <c r="M1025" s="35" t="str">
        <f>VLOOKUP(Zdroj!$I1025,Střediska!$A$1:$B$41,2,FALSE)</f>
        <v>Výkonný výbor</v>
      </c>
    </row>
    <row r="1026" spans="1:13" x14ac:dyDescent="0.2">
      <c r="A1026" s="36" t="s">
        <v>20</v>
      </c>
      <c r="B1026" s="31" t="s">
        <v>2138</v>
      </c>
      <c r="C1026" s="31" t="s">
        <v>87</v>
      </c>
      <c r="D1026" s="31" t="s">
        <v>2139</v>
      </c>
      <c r="E1026" s="31" t="s">
        <v>2140</v>
      </c>
      <c r="F1026" s="31">
        <v>0</v>
      </c>
      <c r="G1026" s="31">
        <v>7368</v>
      </c>
      <c r="H1026" s="31">
        <f t="shared" ref="H1026:H1078" si="32">-F1026+G1026</f>
        <v>7368</v>
      </c>
      <c r="I1026" s="31">
        <v>5011</v>
      </c>
      <c r="J1026" s="31">
        <f t="shared" ref="J1026:J1078" si="33">VALUE(LEFT(I1026,1))</f>
        <v>5</v>
      </c>
      <c r="K1026" s="31" t="s">
        <v>84</v>
      </c>
      <c r="L1026" s="31" t="str">
        <f>I1026 &amp; "-" &amp;VLOOKUP(I1026,Střediska!$A$1:$B$40,2,FALSE)</f>
        <v>5011-Výkonný výbor</v>
      </c>
      <c r="M1026" s="32" t="str">
        <f>VLOOKUP(Zdroj!$I1026,Střediska!$A$1:$B$41,2,FALSE)</f>
        <v>Výkonný výbor</v>
      </c>
    </row>
    <row r="1027" spans="1:13" x14ac:dyDescent="0.2">
      <c r="A1027" s="33" t="s">
        <v>20</v>
      </c>
      <c r="B1027" s="34" t="s">
        <v>2141</v>
      </c>
      <c r="C1027" s="34" t="s">
        <v>87</v>
      </c>
      <c r="D1027" s="34" t="s">
        <v>2142</v>
      </c>
      <c r="E1027" s="34" t="s">
        <v>2143</v>
      </c>
      <c r="F1027" s="34">
        <v>0</v>
      </c>
      <c r="G1027" s="34">
        <v>3666.67</v>
      </c>
      <c r="H1027" s="34">
        <f t="shared" si="32"/>
        <v>3666.67</v>
      </c>
      <c r="I1027" s="34">
        <v>5011</v>
      </c>
      <c r="J1027" s="34">
        <f t="shared" si="33"/>
        <v>5</v>
      </c>
      <c r="K1027" s="34" t="s">
        <v>84</v>
      </c>
      <c r="L1027" s="34" t="str">
        <f>I1027 &amp; "-" &amp;VLOOKUP(I1027,Střediska!$A$1:$B$40,2,FALSE)</f>
        <v>5011-Výkonný výbor</v>
      </c>
      <c r="M1027" s="35" t="str">
        <f>VLOOKUP(Zdroj!$I1027,Střediska!$A$1:$B$41,2,FALSE)</f>
        <v>Výkonný výbor</v>
      </c>
    </row>
    <row r="1028" spans="1:13" hidden="1" x14ac:dyDescent="0.2">
      <c r="A1028" s="36" t="s">
        <v>2158</v>
      </c>
      <c r="B1028" s="31" t="s">
        <v>2157</v>
      </c>
      <c r="C1028" s="31" t="s">
        <v>64</v>
      </c>
      <c r="D1028" s="31"/>
      <c r="E1028" s="31" t="s">
        <v>95</v>
      </c>
      <c r="F1028" s="31">
        <v>0</v>
      </c>
      <c r="G1028" s="31">
        <v>170000</v>
      </c>
      <c r="H1028" s="31">
        <f t="shared" si="32"/>
        <v>170000</v>
      </c>
      <c r="I1028" s="31">
        <v>5011</v>
      </c>
      <c r="J1028" s="31">
        <f t="shared" si="33"/>
        <v>5</v>
      </c>
      <c r="K1028" s="31" t="s">
        <v>2156</v>
      </c>
      <c r="L1028" s="31" t="str">
        <f>I1028 &amp; "-" &amp;VLOOKUP(I1028,Střediska!$A$1:$B$40,2,FALSE)</f>
        <v>5011-Výkonný výbor</v>
      </c>
      <c r="M1028" s="32" t="str">
        <f>VLOOKUP(Zdroj!$I1028,Střediska!$A$1:$B$41,2,FALSE)</f>
        <v>Výkonný výbor</v>
      </c>
    </row>
    <row r="1029" spans="1:13" hidden="1" x14ac:dyDescent="0.2">
      <c r="A1029" s="33" t="s">
        <v>2160</v>
      </c>
      <c r="B1029" s="34" t="s">
        <v>2159</v>
      </c>
      <c r="C1029" s="34" t="s">
        <v>64</v>
      </c>
      <c r="D1029" s="34"/>
      <c r="E1029" s="34" t="s">
        <v>95</v>
      </c>
      <c r="F1029" s="34">
        <v>0</v>
      </c>
      <c r="G1029" s="34">
        <v>85000</v>
      </c>
      <c r="H1029" s="34">
        <f t="shared" si="32"/>
        <v>85000</v>
      </c>
      <c r="I1029" s="34">
        <v>5011</v>
      </c>
      <c r="J1029" s="34">
        <f t="shared" si="33"/>
        <v>5</v>
      </c>
      <c r="K1029" s="34" t="s">
        <v>2156</v>
      </c>
      <c r="L1029" s="34" t="str">
        <f>I1029 &amp; "-" &amp;VLOOKUP(I1029,Střediska!$A$1:$B$40,2,FALSE)</f>
        <v>5011-Výkonný výbor</v>
      </c>
      <c r="M1029" s="35" t="str">
        <f>VLOOKUP(Zdroj!$I1029,Střediska!$A$1:$B$41,2,FALSE)</f>
        <v>Výkonný výbor</v>
      </c>
    </row>
    <row r="1030" spans="1:13" hidden="1" x14ac:dyDescent="0.2">
      <c r="A1030" s="36" t="s">
        <v>2164</v>
      </c>
      <c r="B1030" s="31" t="s">
        <v>2163</v>
      </c>
      <c r="C1030" s="31" t="s">
        <v>64</v>
      </c>
      <c r="D1030" s="31"/>
      <c r="E1030" s="31" t="s">
        <v>95</v>
      </c>
      <c r="F1030" s="31">
        <v>0</v>
      </c>
      <c r="G1030" s="31">
        <v>62000</v>
      </c>
      <c r="H1030" s="31">
        <f t="shared" si="32"/>
        <v>62000</v>
      </c>
      <c r="I1030" s="31">
        <v>5011</v>
      </c>
      <c r="J1030" s="31">
        <f t="shared" si="33"/>
        <v>5</v>
      </c>
      <c r="K1030" s="31" t="s">
        <v>2162</v>
      </c>
      <c r="L1030" s="31" t="str">
        <f>I1030 &amp; "-" &amp;VLOOKUP(I1030,Střediska!$A$1:$B$40,2,FALSE)</f>
        <v>5011-Výkonný výbor</v>
      </c>
      <c r="M1030" s="32" t="str">
        <f>VLOOKUP(Zdroj!$I1030,Střediska!$A$1:$B$41,2,FALSE)</f>
        <v>Výkonný výbor</v>
      </c>
    </row>
    <row r="1031" spans="1:13" hidden="1" x14ac:dyDescent="0.2">
      <c r="A1031" s="33" t="s">
        <v>2164</v>
      </c>
      <c r="B1031" s="34" t="s">
        <v>2165</v>
      </c>
      <c r="C1031" s="34" t="s">
        <v>64</v>
      </c>
      <c r="D1031" s="34"/>
      <c r="E1031" s="34" t="s">
        <v>95</v>
      </c>
      <c r="F1031" s="34">
        <v>0</v>
      </c>
      <c r="G1031" s="34">
        <v>60000</v>
      </c>
      <c r="H1031" s="34">
        <f t="shared" si="32"/>
        <v>60000</v>
      </c>
      <c r="I1031" s="34">
        <v>5011</v>
      </c>
      <c r="J1031" s="34">
        <f t="shared" si="33"/>
        <v>5</v>
      </c>
      <c r="K1031" s="34" t="s">
        <v>2162</v>
      </c>
      <c r="L1031" s="34" t="str">
        <f>I1031 &amp; "-" &amp;VLOOKUP(I1031,Střediska!$A$1:$B$40,2,FALSE)</f>
        <v>5011-Výkonný výbor</v>
      </c>
      <c r="M1031" s="35" t="str">
        <f>VLOOKUP(Zdroj!$I1031,Střediska!$A$1:$B$41,2,FALSE)</f>
        <v>Výkonný výbor</v>
      </c>
    </row>
    <row r="1032" spans="1:13" hidden="1" x14ac:dyDescent="0.2">
      <c r="A1032" s="36" t="s">
        <v>2169</v>
      </c>
      <c r="B1032" s="31" t="s">
        <v>2168</v>
      </c>
      <c r="C1032" s="31" t="s">
        <v>64</v>
      </c>
      <c r="D1032" s="31"/>
      <c r="E1032" s="31" t="s">
        <v>2170</v>
      </c>
      <c r="F1032" s="31">
        <v>0</v>
      </c>
      <c r="G1032" s="31">
        <v>47700</v>
      </c>
      <c r="H1032" s="31">
        <f t="shared" si="32"/>
        <v>47700</v>
      </c>
      <c r="I1032" s="31">
        <v>5011</v>
      </c>
      <c r="J1032" s="31">
        <f t="shared" si="33"/>
        <v>5</v>
      </c>
      <c r="K1032" s="31" t="s">
        <v>2167</v>
      </c>
      <c r="L1032" s="31" t="str">
        <f>I1032 &amp; "-" &amp;VLOOKUP(I1032,Střediska!$A$1:$B$40,2,FALSE)</f>
        <v>5011-Výkonný výbor</v>
      </c>
      <c r="M1032" s="32" t="str">
        <f>VLOOKUP(Zdroj!$I1032,Střediska!$A$1:$B$41,2,FALSE)</f>
        <v>Výkonný výbor</v>
      </c>
    </row>
    <row r="1033" spans="1:13" hidden="1" x14ac:dyDescent="0.2">
      <c r="A1033" s="33" t="s">
        <v>2172</v>
      </c>
      <c r="B1033" s="34" t="s">
        <v>2171</v>
      </c>
      <c r="C1033" s="34" t="s">
        <v>64</v>
      </c>
      <c r="D1033" s="34"/>
      <c r="E1033" s="34" t="s">
        <v>2173</v>
      </c>
      <c r="F1033" s="34">
        <v>0</v>
      </c>
      <c r="G1033" s="34">
        <v>565248</v>
      </c>
      <c r="H1033" s="34">
        <f t="shared" si="32"/>
        <v>565248</v>
      </c>
      <c r="I1033" s="34">
        <v>5011</v>
      </c>
      <c r="J1033" s="34">
        <f t="shared" si="33"/>
        <v>5</v>
      </c>
      <c r="K1033" s="34" t="s">
        <v>2167</v>
      </c>
      <c r="L1033" s="34" t="str">
        <f>I1033 &amp; "-" &amp;VLOOKUP(I1033,Střediska!$A$1:$B$40,2,FALSE)</f>
        <v>5011-Výkonný výbor</v>
      </c>
      <c r="M1033" s="35" t="str">
        <f>VLOOKUP(Zdroj!$I1033,Střediska!$A$1:$B$41,2,FALSE)</f>
        <v>Výkonný výbor</v>
      </c>
    </row>
    <row r="1034" spans="1:13" hidden="1" x14ac:dyDescent="0.2">
      <c r="A1034" s="36" t="s">
        <v>444</v>
      </c>
      <c r="B1034" s="31" t="s">
        <v>2177</v>
      </c>
      <c r="C1034" s="31" t="s">
        <v>209</v>
      </c>
      <c r="D1034" s="31"/>
      <c r="E1034" s="31" t="s">
        <v>2178</v>
      </c>
      <c r="F1034" s="31">
        <v>400</v>
      </c>
      <c r="G1034" s="31">
        <v>0</v>
      </c>
      <c r="H1034" s="31">
        <f t="shared" si="32"/>
        <v>-400</v>
      </c>
      <c r="I1034" s="31">
        <v>5012</v>
      </c>
      <c r="J1034" s="31">
        <f t="shared" si="33"/>
        <v>5</v>
      </c>
      <c r="K1034" s="31" t="s">
        <v>1759</v>
      </c>
      <c r="L1034" s="31" t="str">
        <f>I1034 &amp; "-" &amp;VLOOKUP(I1034,Střediska!$A$1:$B$40,2,FALSE)</f>
        <v>5012-Kancelář</v>
      </c>
      <c r="M1034" s="32" t="str">
        <f>VLOOKUP(Zdroj!$I1034,Střediska!$A$1:$B$41,2,FALSE)</f>
        <v>Kancelář</v>
      </c>
    </row>
    <row r="1035" spans="1:13" hidden="1" x14ac:dyDescent="0.2">
      <c r="A1035" s="33" t="s">
        <v>199</v>
      </c>
      <c r="B1035" s="34" t="s">
        <v>2179</v>
      </c>
      <c r="C1035" s="34" t="s">
        <v>209</v>
      </c>
      <c r="D1035" s="34"/>
      <c r="E1035" s="34" t="s">
        <v>2180</v>
      </c>
      <c r="F1035" s="34">
        <v>689</v>
      </c>
      <c r="G1035" s="34">
        <v>0</v>
      </c>
      <c r="H1035" s="34">
        <f t="shared" si="32"/>
        <v>-689</v>
      </c>
      <c r="I1035" s="34">
        <v>5012</v>
      </c>
      <c r="J1035" s="34">
        <f t="shared" si="33"/>
        <v>5</v>
      </c>
      <c r="K1035" s="34" t="s">
        <v>1759</v>
      </c>
      <c r="L1035" s="34" t="str">
        <f>I1035 &amp; "-" &amp;VLOOKUP(I1035,Střediska!$A$1:$B$40,2,FALSE)</f>
        <v>5012-Kancelář</v>
      </c>
      <c r="M1035" s="35" t="str">
        <f>VLOOKUP(Zdroj!$I1035,Střediska!$A$1:$B$41,2,FALSE)</f>
        <v>Kancelář</v>
      </c>
    </row>
    <row r="1036" spans="1:13" hidden="1" x14ac:dyDescent="0.2">
      <c r="A1036" s="36" t="s">
        <v>199</v>
      </c>
      <c r="B1036" s="31" t="s">
        <v>2183</v>
      </c>
      <c r="C1036" s="31" t="s">
        <v>209</v>
      </c>
      <c r="D1036" s="31"/>
      <c r="E1036" s="31" t="s">
        <v>2184</v>
      </c>
      <c r="F1036" s="31">
        <v>320</v>
      </c>
      <c r="G1036" s="31">
        <v>0</v>
      </c>
      <c r="H1036" s="31">
        <f t="shared" si="32"/>
        <v>-320</v>
      </c>
      <c r="I1036" s="31">
        <v>5012</v>
      </c>
      <c r="J1036" s="31">
        <f t="shared" si="33"/>
        <v>5</v>
      </c>
      <c r="K1036" s="31" t="s">
        <v>1759</v>
      </c>
      <c r="L1036" s="31" t="str">
        <f>I1036 &amp; "-" &amp;VLOOKUP(I1036,Střediska!$A$1:$B$40,2,FALSE)</f>
        <v>5012-Kancelář</v>
      </c>
      <c r="M1036" s="32" t="str">
        <f>VLOOKUP(Zdroj!$I1036,Střediska!$A$1:$B$41,2,FALSE)</f>
        <v>Kancelář</v>
      </c>
    </row>
    <row r="1037" spans="1:13" hidden="1" x14ac:dyDescent="0.2">
      <c r="A1037" s="33" t="s">
        <v>1250</v>
      </c>
      <c r="B1037" s="34" t="s">
        <v>2181</v>
      </c>
      <c r="C1037" s="34" t="s">
        <v>209</v>
      </c>
      <c r="D1037" s="34"/>
      <c r="E1037" s="34" t="s">
        <v>2182</v>
      </c>
      <c r="F1037" s="34">
        <v>750</v>
      </c>
      <c r="G1037" s="34">
        <v>0</v>
      </c>
      <c r="H1037" s="34">
        <f t="shared" si="32"/>
        <v>-750</v>
      </c>
      <c r="I1037" s="34">
        <v>5012</v>
      </c>
      <c r="J1037" s="34">
        <f t="shared" si="33"/>
        <v>5</v>
      </c>
      <c r="K1037" s="34" t="s">
        <v>1759</v>
      </c>
      <c r="L1037" s="34" t="str">
        <f>I1037 &amp; "-" &amp;VLOOKUP(I1037,Střediska!$A$1:$B$40,2,FALSE)</f>
        <v>5012-Kancelář</v>
      </c>
      <c r="M1037" s="35" t="str">
        <f>VLOOKUP(Zdroj!$I1037,Střediska!$A$1:$B$41,2,FALSE)</f>
        <v>Kancelář</v>
      </c>
    </row>
    <row r="1038" spans="1:13" hidden="1" x14ac:dyDescent="0.2">
      <c r="A1038" s="36" t="s">
        <v>1323</v>
      </c>
      <c r="B1038" s="31" t="s">
        <v>2185</v>
      </c>
      <c r="C1038" s="31" t="s">
        <v>209</v>
      </c>
      <c r="D1038" s="31"/>
      <c r="E1038" s="31" t="s">
        <v>2184</v>
      </c>
      <c r="F1038" s="31">
        <v>330</v>
      </c>
      <c r="G1038" s="31">
        <v>0</v>
      </c>
      <c r="H1038" s="31">
        <f t="shared" si="32"/>
        <v>-330</v>
      </c>
      <c r="I1038" s="31">
        <v>5012</v>
      </c>
      <c r="J1038" s="31">
        <f t="shared" si="33"/>
        <v>5</v>
      </c>
      <c r="K1038" s="31" t="s">
        <v>1759</v>
      </c>
      <c r="L1038" s="31" t="str">
        <f>I1038 &amp; "-" &amp;VLOOKUP(I1038,Střediska!$A$1:$B$40,2,FALSE)</f>
        <v>5012-Kancelář</v>
      </c>
      <c r="M1038" s="32" t="str">
        <f>VLOOKUP(Zdroj!$I1038,Střediska!$A$1:$B$41,2,FALSE)</f>
        <v>Kancelář</v>
      </c>
    </row>
    <row r="1039" spans="1:13" hidden="1" x14ac:dyDescent="0.2">
      <c r="A1039" s="33" t="s">
        <v>25</v>
      </c>
      <c r="B1039" s="34" t="s">
        <v>2186</v>
      </c>
      <c r="C1039" s="34" t="s">
        <v>106</v>
      </c>
      <c r="D1039" s="34" t="s">
        <v>2187</v>
      </c>
      <c r="E1039" s="34" t="s">
        <v>2188</v>
      </c>
      <c r="F1039" s="34">
        <v>3025</v>
      </c>
      <c r="G1039" s="34">
        <v>0</v>
      </c>
      <c r="H1039" s="34">
        <f t="shared" si="32"/>
        <v>-3025</v>
      </c>
      <c r="I1039" s="34">
        <v>5012</v>
      </c>
      <c r="J1039" s="34">
        <f t="shared" si="33"/>
        <v>5</v>
      </c>
      <c r="K1039" s="34" t="s">
        <v>2059</v>
      </c>
      <c r="L1039" s="34" t="str">
        <f>I1039 &amp; "-" &amp;VLOOKUP(I1039,Střediska!$A$1:$B$40,2,FALSE)</f>
        <v>5012-Kancelář</v>
      </c>
      <c r="M1039" s="35" t="str">
        <f>VLOOKUP(Zdroj!$I1039,Střediska!$A$1:$B$41,2,FALSE)</f>
        <v>Kancelář</v>
      </c>
    </row>
    <row r="1040" spans="1:13" hidden="1" x14ac:dyDescent="0.2">
      <c r="A1040" s="36" t="s">
        <v>28</v>
      </c>
      <c r="B1040" s="31" t="s">
        <v>2189</v>
      </c>
      <c r="C1040" s="31" t="s">
        <v>106</v>
      </c>
      <c r="D1040" s="31" t="s">
        <v>2187</v>
      </c>
      <c r="E1040" s="31" t="s">
        <v>2190</v>
      </c>
      <c r="F1040" s="31">
        <v>3025</v>
      </c>
      <c r="G1040" s="31">
        <v>0</v>
      </c>
      <c r="H1040" s="31">
        <f t="shared" si="32"/>
        <v>-3025</v>
      </c>
      <c r="I1040" s="31">
        <v>5012</v>
      </c>
      <c r="J1040" s="31">
        <f t="shared" si="33"/>
        <v>5</v>
      </c>
      <c r="K1040" s="31" t="s">
        <v>2059</v>
      </c>
      <c r="L1040" s="31" t="str">
        <f>I1040 &amp; "-" &amp;VLOOKUP(I1040,Střediska!$A$1:$B$40,2,FALSE)</f>
        <v>5012-Kancelář</v>
      </c>
      <c r="M1040" s="32" t="str">
        <f>VLOOKUP(Zdroj!$I1040,Střediska!$A$1:$B$41,2,FALSE)</f>
        <v>Kancelář</v>
      </c>
    </row>
    <row r="1041" spans="1:13" hidden="1" x14ac:dyDescent="0.2">
      <c r="A1041" s="33" t="s">
        <v>31</v>
      </c>
      <c r="B1041" s="34" t="s">
        <v>2191</v>
      </c>
      <c r="C1041" s="34" t="s">
        <v>106</v>
      </c>
      <c r="D1041" s="34" t="s">
        <v>2187</v>
      </c>
      <c r="E1041" s="34" t="s">
        <v>2192</v>
      </c>
      <c r="F1041" s="34">
        <v>3025</v>
      </c>
      <c r="G1041" s="34">
        <v>0</v>
      </c>
      <c r="H1041" s="34">
        <f t="shared" si="32"/>
        <v>-3025</v>
      </c>
      <c r="I1041" s="34">
        <v>5012</v>
      </c>
      <c r="J1041" s="34">
        <f t="shared" si="33"/>
        <v>5</v>
      </c>
      <c r="K1041" s="34" t="s">
        <v>2059</v>
      </c>
      <c r="L1041" s="34" t="str">
        <f>I1041 &amp; "-" &amp;VLOOKUP(I1041,Střediska!$A$1:$B$40,2,FALSE)</f>
        <v>5012-Kancelář</v>
      </c>
      <c r="M1041" s="35" t="str">
        <f>VLOOKUP(Zdroj!$I1041,Střediska!$A$1:$B$41,2,FALSE)</f>
        <v>Kancelář</v>
      </c>
    </row>
    <row r="1042" spans="1:13" hidden="1" x14ac:dyDescent="0.2">
      <c r="A1042" s="36" t="s">
        <v>34</v>
      </c>
      <c r="B1042" s="31" t="s">
        <v>2193</v>
      </c>
      <c r="C1042" s="31" t="s">
        <v>106</v>
      </c>
      <c r="D1042" s="31" t="s">
        <v>2187</v>
      </c>
      <c r="E1042" s="31" t="s">
        <v>2194</v>
      </c>
      <c r="F1042" s="31">
        <v>3025</v>
      </c>
      <c r="G1042" s="31">
        <v>0</v>
      </c>
      <c r="H1042" s="31">
        <f t="shared" si="32"/>
        <v>-3025</v>
      </c>
      <c r="I1042" s="31">
        <v>5012</v>
      </c>
      <c r="J1042" s="31">
        <f t="shared" si="33"/>
        <v>5</v>
      </c>
      <c r="K1042" s="31" t="s">
        <v>2059</v>
      </c>
      <c r="L1042" s="31" t="str">
        <f>I1042 &amp; "-" &amp;VLOOKUP(I1042,Střediska!$A$1:$B$40,2,FALSE)</f>
        <v>5012-Kancelář</v>
      </c>
      <c r="M1042" s="32" t="str">
        <f>VLOOKUP(Zdroj!$I1042,Střediska!$A$1:$B$41,2,FALSE)</f>
        <v>Kancelář</v>
      </c>
    </row>
    <row r="1043" spans="1:13" hidden="1" x14ac:dyDescent="0.2">
      <c r="A1043" s="33" t="s">
        <v>37</v>
      </c>
      <c r="B1043" s="34" t="s">
        <v>2195</v>
      </c>
      <c r="C1043" s="34" t="s">
        <v>106</v>
      </c>
      <c r="D1043" s="34" t="s">
        <v>2187</v>
      </c>
      <c r="E1043" s="34" t="s">
        <v>2196</v>
      </c>
      <c r="F1043" s="34">
        <v>3025</v>
      </c>
      <c r="G1043" s="34">
        <v>0</v>
      </c>
      <c r="H1043" s="34">
        <f t="shared" si="32"/>
        <v>-3025</v>
      </c>
      <c r="I1043" s="34">
        <v>5012</v>
      </c>
      <c r="J1043" s="34">
        <f t="shared" si="33"/>
        <v>5</v>
      </c>
      <c r="K1043" s="34" t="s">
        <v>2059</v>
      </c>
      <c r="L1043" s="34" t="str">
        <f>I1043 &amp; "-" &amp;VLOOKUP(I1043,Střediska!$A$1:$B$40,2,FALSE)</f>
        <v>5012-Kancelář</v>
      </c>
      <c r="M1043" s="35" t="str">
        <f>VLOOKUP(Zdroj!$I1043,Střediska!$A$1:$B$41,2,FALSE)</f>
        <v>Kancelář</v>
      </c>
    </row>
    <row r="1044" spans="1:13" hidden="1" x14ac:dyDescent="0.2">
      <c r="A1044" s="36" t="s">
        <v>40</v>
      </c>
      <c r="B1044" s="31" t="s">
        <v>2197</v>
      </c>
      <c r="C1044" s="31" t="s">
        <v>106</v>
      </c>
      <c r="D1044" s="31" t="s">
        <v>2187</v>
      </c>
      <c r="E1044" s="31" t="s">
        <v>2198</v>
      </c>
      <c r="F1044" s="31">
        <v>3025</v>
      </c>
      <c r="G1044" s="31">
        <v>0</v>
      </c>
      <c r="H1044" s="31">
        <f t="shared" si="32"/>
        <v>-3025</v>
      </c>
      <c r="I1044" s="31">
        <v>5012</v>
      </c>
      <c r="J1044" s="31">
        <f t="shared" si="33"/>
        <v>5</v>
      </c>
      <c r="K1044" s="31" t="s">
        <v>2059</v>
      </c>
      <c r="L1044" s="31" t="str">
        <f>I1044 &amp; "-" &amp;VLOOKUP(I1044,Střediska!$A$1:$B$40,2,FALSE)</f>
        <v>5012-Kancelář</v>
      </c>
      <c r="M1044" s="32" t="str">
        <f>VLOOKUP(Zdroj!$I1044,Střediska!$A$1:$B$41,2,FALSE)</f>
        <v>Kancelář</v>
      </c>
    </row>
    <row r="1045" spans="1:13" hidden="1" x14ac:dyDescent="0.2">
      <c r="A1045" s="33" t="s">
        <v>43</v>
      </c>
      <c r="B1045" s="34" t="s">
        <v>2199</v>
      </c>
      <c r="C1045" s="34" t="s">
        <v>106</v>
      </c>
      <c r="D1045" s="34" t="s">
        <v>2061</v>
      </c>
      <c r="E1045" s="34" t="s">
        <v>2200</v>
      </c>
      <c r="F1045" s="34">
        <v>3482.38</v>
      </c>
      <c r="G1045" s="34">
        <v>0</v>
      </c>
      <c r="H1045" s="34">
        <f t="shared" si="32"/>
        <v>-3482.38</v>
      </c>
      <c r="I1045" s="34">
        <v>5012</v>
      </c>
      <c r="J1045" s="34">
        <f t="shared" si="33"/>
        <v>5</v>
      </c>
      <c r="K1045" s="34" t="s">
        <v>2059</v>
      </c>
      <c r="L1045" s="34" t="str">
        <f>I1045 &amp; "-" &amp;VLOOKUP(I1045,Střediska!$A$1:$B$40,2,FALSE)</f>
        <v>5012-Kancelář</v>
      </c>
      <c r="M1045" s="35" t="str">
        <f>VLOOKUP(Zdroj!$I1045,Střediska!$A$1:$B$41,2,FALSE)</f>
        <v>Kancelář</v>
      </c>
    </row>
    <row r="1046" spans="1:13" hidden="1" x14ac:dyDescent="0.2">
      <c r="A1046" s="36" t="s">
        <v>46</v>
      </c>
      <c r="B1046" s="31" t="s">
        <v>2201</v>
      </c>
      <c r="C1046" s="31" t="s">
        <v>106</v>
      </c>
      <c r="D1046" s="31" t="s">
        <v>2061</v>
      </c>
      <c r="E1046" s="31" t="s">
        <v>2202</v>
      </c>
      <c r="F1046" s="31">
        <v>3482.38</v>
      </c>
      <c r="G1046" s="31">
        <v>0</v>
      </c>
      <c r="H1046" s="31">
        <f t="shared" si="32"/>
        <v>-3482.38</v>
      </c>
      <c r="I1046" s="31">
        <v>5012</v>
      </c>
      <c r="J1046" s="31">
        <f t="shared" si="33"/>
        <v>5</v>
      </c>
      <c r="K1046" s="31" t="s">
        <v>2059</v>
      </c>
      <c r="L1046" s="31" t="str">
        <f>I1046 &amp; "-" &amp;VLOOKUP(I1046,Střediska!$A$1:$B$40,2,FALSE)</f>
        <v>5012-Kancelář</v>
      </c>
      <c r="M1046" s="32" t="str">
        <f>VLOOKUP(Zdroj!$I1046,Střediska!$A$1:$B$41,2,FALSE)</f>
        <v>Kancelář</v>
      </c>
    </row>
    <row r="1047" spans="1:13" hidden="1" x14ac:dyDescent="0.2">
      <c r="A1047" s="33" t="s">
        <v>481</v>
      </c>
      <c r="B1047" s="34" t="s">
        <v>2203</v>
      </c>
      <c r="C1047" s="34" t="s">
        <v>106</v>
      </c>
      <c r="D1047" s="34" t="s">
        <v>2061</v>
      </c>
      <c r="E1047" s="34" t="s">
        <v>2204</v>
      </c>
      <c r="F1047" s="34">
        <v>3482.38</v>
      </c>
      <c r="G1047" s="34">
        <v>0</v>
      </c>
      <c r="H1047" s="34">
        <f t="shared" si="32"/>
        <v>-3482.38</v>
      </c>
      <c r="I1047" s="34">
        <v>5012</v>
      </c>
      <c r="J1047" s="34">
        <f t="shared" si="33"/>
        <v>5</v>
      </c>
      <c r="K1047" s="34" t="s">
        <v>2059</v>
      </c>
      <c r="L1047" s="34" t="str">
        <f>I1047 &amp; "-" &amp;VLOOKUP(I1047,Střediska!$A$1:$B$40,2,FALSE)</f>
        <v>5012-Kancelář</v>
      </c>
      <c r="M1047" s="35" t="str">
        <f>VLOOKUP(Zdroj!$I1047,Střediska!$A$1:$B$41,2,FALSE)</f>
        <v>Kancelář</v>
      </c>
    </row>
    <row r="1048" spans="1:13" hidden="1" x14ac:dyDescent="0.2">
      <c r="A1048" s="36" t="s">
        <v>52</v>
      </c>
      <c r="B1048" s="31" t="s">
        <v>2205</v>
      </c>
      <c r="C1048" s="31" t="s">
        <v>106</v>
      </c>
      <c r="D1048" s="31" t="s">
        <v>2061</v>
      </c>
      <c r="E1048" s="31" t="s">
        <v>2206</v>
      </c>
      <c r="F1048" s="31">
        <v>3482.38</v>
      </c>
      <c r="G1048" s="31">
        <v>0</v>
      </c>
      <c r="H1048" s="31">
        <f t="shared" si="32"/>
        <v>-3482.38</v>
      </c>
      <c r="I1048" s="31">
        <v>5012</v>
      </c>
      <c r="J1048" s="31">
        <f t="shared" si="33"/>
        <v>5</v>
      </c>
      <c r="K1048" s="31" t="s">
        <v>2059</v>
      </c>
      <c r="L1048" s="31" t="str">
        <f>I1048 &amp; "-" &amp;VLOOKUP(I1048,Střediska!$A$1:$B$40,2,FALSE)</f>
        <v>5012-Kancelář</v>
      </c>
      <c r="M1048" s="32" t="str">
        <f>VLOOKUP(Zdroj!$I1048,Střediska!$A$1:$B$41,2,FALSE)</f>
        <v>Kancelář</v>
      </c>
    </row>
    <row r="1049" spans="1:13" hidden="1" x14ac:dyDescent="0.2">
      <c r="A1049" s="33" t="s">
        <v>55</v>
      </c>
      <c r="B1049" s="34" t="s">
        <v>2207</v>
      </c>
      <c r="C1049" s="34" t="s">
        <v>106</v>
      </c>
      <c r="D1049" s="34" t="s">
        <v>2061</v>
      </c>
      <c r="E1049" s="34" t="s">
        <v>2208</v>
      </c>
      <c r="F1049" s="34">
        <v>3482.38</v>
      </c>
      <c r="G1049" s="34">
        <v>0</v>
      </c>
      <c r="H1049" s="34">
        <f t="shared" si="32"/>
        <v>-3482.38</v>
      </c>
      <c r="I1049" s="34">
        <v>5012</v>
      </c>
      <c r="J1049" s="34">
        <f t="shared" si="33"/>
        <v>5</v>
      </c>
      <c r="K1049" s="34" t="s">
        <v>2059</v>
      </c>
      <c r="L1049" s="34" t="str">
        <f>I1049 &amp; "-" &amp;VLOOKUP(I1049,Střediska!$A$1:$B$40,2,FALSE)</f>
        <v>5012-Kancelář</v>
      </c>
      <c r="M1049" s="35" t="str">
        <f>VLOOKUP(Zdroj!$I1049,Střediska!$A$1:$B$41,2,FALSE)</f>
        <v>Kancelář</v>
      </c>
    </row>
    <row r="1050" spans="1:13" hidden="1" x14ac:dyDescent="0.2">
      <c r="A1050" s="36" t="s">
        <v>20</v>
      </c>
      <c r="B1050" s="31" t="s">
        <v>2209</v>
      </c>
      <c r="C1050" s="31" t="s">
        <v>106</v>
      </c>
      <c r="D1050" s="31" t="s">
        <v>2061</v>
      </c>
      <c r="E1050" s="31" t="s">
        <v>2210</v>
      </c>
      <c r="F1050" s="31">
        <v>3482.38</v>
      </c>
      <c r="G1050" s="31">
        <v>0</v>
      </c>
      <c r="H1050" s="31">
        <f t="shared" si="32"/>
        <v>-3482.38</v>
      </c>
      <c r="I1050" s="31">
        <v>5012</v>
      </c>
      <c r="J1050" s="31">
        <f t="shared" si="33"/>
        <v>5</v>
      </c>
      <c r="K1050" s="31" t="s">
        <v>2059</v>
      </c>
      <c r="L1050" s="31" t="str">
        <f>I1050 &amp; "-" &amp;VLOOKUP(I1050,Střediska!$A$1:$B$40,2,FALSE)</f>
        <v>5012-Kancelář</v>
      </c>
      <c r="M1050" s="32" t="str">
        <f>VLOOKUP(Zdroj!$I1050,Střediska!$A$1:$B$41,2,FALSE)</f>
        <v>Kancelář</v>
      </c>
    </row>
    <row r="1051" spans="1:13" hidden="1" x14ac:dyDescent="0.2">
      <c r="A1051" s="33" t="s">
        <v>376</v>
      </c>
      <c r="B1051" s="34" t="s">
        <v>2213</v>
      </c>
      <c r="C1051" s="34" t="s">
        <v>106</v>
      </c>
      <c r="D1051" s="34" t="s">
        <v>2214</v>
      </c>
      <c r="E1051" s="34" t="s">
        <v>235</v>
      </c>
      <c r="F1051" s="34">
        <v>1500</v>
      </c>
      <c r="G1051" s="34">
        <v>0</v>
      </c>
      <c r="H1051" s="34">
        <f t="shared" si="32"/>
        <v>-1500</v>
      </c>
      <c r="I1051" s="34">
        <v>5031</v>
      </c>
      <c r="J1051" s="34">
        <f t="shared" si="33"/>
        <v>5</v>
      </c>
      <c r="K1051" s="34" t="s">
        <v>148</v>
      </c>
      <c r="L1051" s="34" t="str">
        <f>I1051 &amp; "-" &amp;VLOOKUP(I1051,Střediska!$A$1:$B$40,2,FALSE)</f>
        <v>5031-Startovné</v>
      </c>
      <c r="M1051" s="35" t="str">
        <f>VLOOKUP(Zdroj!$I1051,Střediska!$A$1:$B$41,2,FALSE)</f>
        <v>Startovné</v>
      </c>
    </row>
    <row r="1052" spans="1:13" hidden="1" x14ac:dyDescent="0.2">
      <c r="A1052" s="36" t="s">
        <v>55</v>
      </c>
      <c r="B1052" s="31" t="s">
        <v>2217</v>
      </c>
      <c r="C1052" s="31" t="s">
        <v>106</v>
      </c>
      <c r="D1052" s="31" t="s">
        <v>2218</v>
      </c>
      <c r="E1052" s="31" t="s">
        <v>2219</v>
      </c>
      <c r="F1052" s="31">
        <v>990</v>
      </c>
      <c r="G1052" s="31">
        <v>0</v>
      </c>
      <c r="H1052" s="31">
        <f t="shared" si="32"/>
        <v>-990</v>
      </c>
      <c r="I1052" s="31">
        <v>5032</v>
      </c>
      <c r="J1052" s="31">
        <f t="shared" si="33"/>
        <v>5</v>
      </c>
      <c r="K1052" s="31" t="s">
        <v>1759</v>
      </c>
      <c r="L1052" s="31" t="str">
        <f>I1052 &amp; "-" &amp;VLOOKUP(I1052,Střediska!$A$1:$B$40,2,FALSE)</f>
        <v>5032-Poplatky ČF</v>
      </c>
      <c r="M1052" s="32" t="str">
        <f>VLOOKUP(Zdroj!$I1052,Střediska!$A$1:$B$41,2,FALSE)</f>
        <v>Poplatky ČF</v>
      </c>
    </row>
    <row r="1053" spans="1:13" hidden="1" x14ac:dyDescent="0.2">
      <c r="A1053" s="33" t="s">
        <v>2224</v>
      </c>
      <c r="B1053" s="34" t="s">
        <v>2223</v>
      </c>
      <c r="C1053" s="34" t="s">
        <v>106</v>
      </c>
      <c r="D1053" s="34" t="s">
        <v>1981</v>
      </c>
      <c r="E1053" s="34" t="s">
        <v>2225</v>
      </c>
      <c r="F1053" s="34">
        <v>135800</v>
      </c>
      <c r="G1053" s="34">
        <v>0</v>
      </c>
      <c r="H1053" s="34">
        <f t="shared" si="32"/>
        <v>-135800</v>
      </c>
      <c r="I1053" s="34">
        <v>5032</v>
      </c>
      <c r="J1053" s="34">
        <f t="shared" si="33"/>
        <v>5</v>
      </c>
      <c r="K1053" s="34" t="s">
        <v>148</v>
      </c>
      <c r="L1053" s="34" t="str">
        <f>I1053 &amp; "-" &amp;VLOOKUP(I1053,Střediska!$A$1:$B$40,2,FALSE)</f>
        <v>5032-Poplatky ČF</v>
      </c>
      <c r="M1053" s="35" t="str">
        <f>VLOOKUP(Zdroj!$I1053,Střediska!$A$1:$B$41,2,FALSE)</f>
        <v>Poplatky ČF</v>
      </c>
    </row>
    <row r="1054" spans="1:13" hidden="1" x14ac:dyDescent="0.2">
      <c r="A1054" s="36" t="s">
        <v>1836</v>
      </c>
      <c r="B1054" s="31" t="s">
        <v>2226</v>
      </c>
      <c r="C1054" s="31" t="s">
        <v>106</v>
      </c>
      <c r="D1054" s="31" t="s">
        <v>1981</v>
      </c>
      <c r="E1054" s="31" t="s">
        <v>2225</v>
      </c>
      <c r="F1054" s="31">
        <v>55000</v>
      </c>
      <c r="G1054" s="31">
        <v>0</v>
      </c>
      <c r="H1054" s="31">
        <f t="shared" si="32"/>
        <v>-55000</v>
      </c>
      <c r="I1054" s="31">
        <v>5032</v>
      </c>
      <c r="J1054" s="31">
        <f t="shared" si="33"/>
        <v>5</v>
      </c>
      <c r="K1054" s="31" t="s">
        <v>148</v>
      </c>
      <c r="L1054" s="31" t="str">
        <f>I1054 &amp; "-" &amp;VLOOKUP(I1054,Střediska!$A$1:$B$40,2,FALSE)</f>
        <v>5032-Poplatky ČF</v>
      </c>
      <c r="M1054" s="32" t="str">
        <f>VLOOKUP(Zdroj!$I1054,Střediska!$A$1:$B$41,2,FALSE)</f>
        <v>Poplatky ČF</v>
      </c>
    </row>
    <row r="1055" spans="1:13" hidden="1" x14ac:dyDescent="0.2">
      <c r="A1055" s="33" t="s">
        <v>2291</v>
      </c>
      <c r="B1055" s="34" t="s">
        <v>2741</v>
      </c>
      <c r="C1055" s="34" t="s">
        <v>106</v>
      </c>
      <c r="D1055" s="34" t="s">
        <v>1981</v>
      </c>
      <c r="E1055" s="34" t="s">
        <v>2225</v>
      </c>
      <c r="F1055" s="34">
        <v>1000</v>
      </c>
      <c r="G1055" s="34">
        <v>0</v>
      </c>
      <c r="H1055" s="34">
        <f t="shared" si="32"/>
        <v>-1000</v>
      </c>
      <c r="I1055" s="34">
        <v>5032</v>
      </c>
      <c r="J1055" s="34">
        <f t="shared" si="33"/>
        <v>5</v>
      </c>
      <c r="K1055" s="34" t="s">
        <v>148</v>
      </c>
      <c r="L1055" s="34" t="str">
        <f>I1055 &amp; "-" &amp;VLOOKUP(I1055,Střediska!$A$1:$B$40,2,FALSE)</f>
        <v>5032-Poplatky ČF</v>
      </c>
      <c r="M1055" s="35" t="str">
        <f>VLOOKUP(Zdroj!$I1055,Střediska!$A$1:$B$41,2,FALSE)</f>
        <v>Poplatky ČF</v>
      </c>
    </row>
    <row r="1056" spans="1:13" hidden="1" x14ac:dyDescent="0.2">
      <c r="A1056" s="36" t="s">
        <v>1307</v>
      </c>
      <c r="B1056" s="31" t="s">
        <v>2228</v>
      </c>
      <c r="C1056" s="31" t="s">
        <v>64</v>
      </c>
      <c r="D1056" s="31"/>
      <c r="E1056" s="31" t="s">
        <v>2229</v>
      </c>
      <c r="F1056" s="31">
        <v>300</v>
      </c>
      <c r="G1056" s="31">
        <v>0</v>
      </c>
      <c r="H1056" s="31">
        <f t="shared" si="32"/>
        <v>-300</v>
      </c>
      <c r="I1056" s="31">
        <v>5032</v>
      </c>
      <c r="J1056" s="31">
        <f t="shared" si="33"/>
        <v>5</v>
      </c>
      <c r="K1056" s="31" t="s">
        <v>2742</v>
      </c>
      <c r="L1056" s="31" t="str">
        <f>I1056 &amp; "-" &amp;VLOOKUP(I1056,Střediska!$A$1:$B$40,2,FALSE)</f>
        <v>5032-Poplatky ČF</v>
      </c>
      <c r="M1056" s="32" t="str">
        <f>VLOOKUP(Zdroj!$I1056,Střediska!$A$1:$B$41,2,FALSE)</f>
        <v>Poplatky ČF</v>
      </c>
    </row>
    <row r="1057" spans="1:13" hidden="1" x14ac:dyDescent="0.2">
      <c r="A1057" s="33" t="s">
        <v>399</v>
      </c>
      <c r="B1057" s="34" t="s">
        <v>2230</v>
      </c>
      <c r="C1057" s="34" t="s">
        <v>64</v>
      </c>
      <c r="D1057" s="34"/>
      <c r="E1057" s="34" t="s">
        <v>2229</v>
      </c>
      <c r="F1057" s="34">
        <v>300</v>
      </c>
      <c r="G1057" s="34">
        <v>0</v>
      </c>
      <c r="H1057" s="34">
        <f t="shared" si="32"/>
        <v>-300</v>
      </c>
      <c r="I1057" s="34">
        <v>5032</v>
      </c>
      <c r="J1057" s="34">
        <f t="shared" si="33"/>
        <v>5</v>
      </c>
      <c r="K1057" s="34" t="s">
        <v>2742</v>
      </c>
      <c r="L1057" s="34" t="str">
        <f>I1057 &amp; "-" &amp;VLOOKUP(I1057,Střediska!$A$1:$B$40,2,FALSE)</f>
        <v>5032-Poplatky ČF</v>
      </c>
      <c r="M1057" s="35" t="str">
        <f>VLOOKUP(Zdroj!$I1057,Střediska!$A$1:$B$41,2,FALSE)</f>
        <v>Poplatky ČF</v>
      </c>
    </row>
    <row r="1058" spans="1:13" hidden="1" x14ac:dyDescent="0.2">
      <c r="A1058" s="36" t="s">
        <v>784</v>
      </c>
      <c r="B1058" s="31" t="s">
        <v>2231</v>
      </c>
      <c r="C1058" s="31" t="s">
        <v>64</v>
      </c>
      <c r="D1058" s="31"/>
      <c r="E1058" s="31" t="s">
        <v>162</v>
      </c>
      <c r="F1058" s="31">
        <v>250</v>
      </c>
      <c r="G1058" s="31">
        <v>0</v>
      </c>
      <c r="H1058" s="31">
        <f t="shared" si="32"/>
        <v>-250</v>
      </c>
      <c r="I1058" s="31">
        <v>5032</v>
      </c>
      <c r="J1058" s="31">
        <f t="shared" si="33"/>
        <v>5</v>
      </c>
      <c r="K1058" s="31" t="s">
        <v>2742</v>
      </c>
      <c r="L1058" s="31" t="str">
        <f>I1058 &amp; "-" &amp;VLOOKUP(I1058,Střediska!$A$1:$B$40,2,FALSE)</f>
        <v>5032-Poplatky ČF</v>
      </c>
      <c r="M1058" s="32" t="str">
        <f>VLOOKUP(Zdroj!$I1058,Střediska!$A$1:$B$41,2,FALSE)</f>
        <v>Poplatky ČF</v>
      </c>
    </row>
    <row r="1059" spans="1:13" hidden="1" x14ac:dyDescent="0.2">
      <c r="A1059" s="33" t="s">
        <v>784</v>
      </c>
      <c r="B1059" s="34" t="s">
        <v>2232</v>
      </c>
      <c r="C1059" s="34" t="s">
        <v>64</v>
      </c>
      <c r="D1059" s="34"/>
      <c r="E1059" s="34" t="s">
        <v>2233</v>
      </c>
      <c r="F1059" s="34">
        <v>750</v>
      </c>
      <c r="G1059" s="34">
        <v>0</v>
      </c>
      <c r="H1059" s="34">
        <f t="shared" si="32"/>
        <v>-750</v>
      </c>
      <c r="I1059" s="34">
        <v>5032</v>
      </c>
      <c r="J1059" s="34">
        <f t="shared" si="33"/>
        <v>5</v>
      </c>
      <c r="K1059" s="34" t="s">
        <v>2742</v>
      </c>
      <c r="L1059" s="34" t="str">
        <f>I1059 &amp; "-" &amp;VLOOKUP(I1059,Střediska!$A$1:$B$40,2,FALSE)</f>
        <v>5032-Poplatky ČF</v>
      </c>
      <c r="M1059" s="35" t="str">
        <f>VLOOKUP(Zdroj!$I1059,Střediska!$A$1:$B$41,2,FALSE)</f>
        <v>Poplatky ČF</v>
      </c>
    </row>
    <row r="1060" spans="1:13" hidden="1" x14ac:dyDescent="0.2">
      <c r="A1060" s="36" t="s">
        <v>811</v>
      </c>
      <c r="B1060" s="31" t="s">
        <v>2234</v>
      </c>
      <c r="C1060" s="31" t="s">
        <v>64</v>
      </c>
      <c r="D1060" s="31"/>
      <c r="E1060" s="31" t="s">
        <v>2235</v>
      </c>
      <c r="F1060" s="31">
        <v>250</v>
      </c>
      <c r="G1060" s="31">
        <v>0</v>
      </c>
      <c r="H1060" s="31">
        <f t="shared" si="32"/>
        <v>-250</v>
      </c>
      <c r="I1060" s="31">
        <v>5032</v>
      </c>
      <c r="J1060" s="31">
        <f t="shared" si="33"/>
        <v>5</v>
      </c>
      <c r="K1060" s="31" t="s">
        <v>2742</v>
      </c>
      <c r="L1060" s="31" t="str">
        <f>I1060 &amp; "-" &amp;VLOOKUP(I1060,Střediska!$A$1:$B$40,2,FALSE)</f>
        <v>5032-Poplatky ČF</v>
      </c>
      <c r="M1060" s="32" t="str">
        <f>VLOOKUP(Zdroj!$I1060,Střediska!$A$1:$B$41,2,FALSE)</f>
        <v>Poplatky ČF</v>
      </c>
    </row>
    <row r="1061" spans="1:13" hidden="1" x14ac:dyDescent="0.2">
      <c r="A1061" s="33" t="s">
        <v>1525</v>
      </c>
      <c r="B1061" s="34" t="s">
        <v>2236</v>
      </c>
      <c r="C1061" s="34" t="s">
        <v>64</v>
      </c>
      <c r="D1061" s="34"/>
      <c r="E1061" s="34" t="s">
        <v>2237</v>
      </c>
      <c r="F1061" s="34">
        <v>200</v>
      </c>
      <c r="G1061" s="34">
        <v>0</v>
      </c>
      <c r="H1061" s="34">
        <f t="shared" si="32"/>
        <v>-200</v>
      </c>
      <c r="I1061" s="34">
        <v>5032</v>
      </c>
      <c r="J1061" s="34">
        <f t="shared" si="33"/>
        <v>5</v>
      </c>
      <c r="K1061" s="34" t="s">
        <v>2742</v>
      </c>
      <c r="L1061" s="34" t="str">
        <f>I1061 &amp; "-" &amp;VLOOKUP(I1061,Střediska!$A$1:$B$40,2,FALSE)</f>
        <v>5032-Poplatky ČF</v>
      </c>
      <c r="M1061" s="35" t="str">
        <f>VLOOKUP(Zdroj!$I1061,Střediska!$A$1:$B$41,2,FALSE)</f>
        <v>Poplatky ČF</v>
      </c>
    </row>
    <row r="1062" spans="1:13" hidden="1" x14ac:dyDescent="0.2">
      <c r="A1062" s="36" t="s">
        <v>2239</v>
      </c>
      <c r="B1062" s="31" t="s">
        <v>2238</v>
      </c>
      <c r="C1062" s="31" t="s">
        <v>64</v>
      </c>
      <c r="D1062" s="31"/>
      <c r="E1062" s="31" t="s">
        <v>2240</v>
      </c>
      <c r="F1062" s="31">
        <v>300</v>
      </c>
      <c r="G1062" s="31">
        <v>0</v>
      </c>
      <c r="H1062" s="31">
        <f t="shared" si="32"/>
        <v>-300</v>
      </c>
      <c r="I1062" s="31">
        <v>5032</v>
      </c>
      <c r="J1062" s="31">
        <f t="shared" si="33"/>
        <v>5</v>
      </c>
      <c r="K1062" s="31" t="s">
        <v>2742</v>
      </c>
      <c r="L1062" s="31" t="str">
        <f>I1062 &amp; "-" &amp;VLOOKUP(I1062,Střediska!$A$1:$B$40,2,FALSE)</f>
        <v>5032-Poplatky ČF</v>
      </c>
      <c r="M1062" s="32" t="str">
        <f>VLOOKUP(Zdroj!$I1062,Střediska!$A$1:$B$41,2,FALSE)</f>
        <v>Poplatky ČF</v>
      </c>
    </row>
    <row r="1063" spans="1:13" hidden="1" x14ac:dyDescent="0.2">
      <c r="A1063" s="33" t="s">
        <v>2242</v>
      </c>
      <c r="B1063" s="34" t="s">
        <v>2241</v>
      </c>
      <c r="C1063" s="34" t="s">
        <v>64</v>
      </c>
      <c r="D1063" s="34"/>
      <c r="E1063" s="34" t="s">
        <v>2243</v>
      </c>
      <c r="F1063" s="34">
        <v>200</v>
      </c>
      <c r="G1063" s="34">
        <v>0</v>
      </c>
      <c r="H1063" s="34">
        <f t="shared" si="32"/>
        <v>-200</v>
      </c>
      <c r="I1063" s="34">
        <v>5032</v>
      </c>
      <c r="J1063" s="34">
        <f t="shared" si="33"/>
        <v>5</v>
      </c>
      <c r="K1063" s="34" t="s">
        <v>2742</v>
      </c>
      <c r="L1063" s="34" t="str">
        <f>I1063 &amp; "-" &amp;VLOOKUP(I1063,Střediska!$A$1:$B$40,2,FALSE)</f>
        <v>5032-Poplatky ČF</v>
      </c>
      <c r="M1063" s="35" t="str">
        <f>VLOOKUP(Zdroj!$I1063,Střediska!$A$1:$B$41,2,FALSE)</f>
        <v>Poplatky ČF</v>
      </c>
    </row>
    <row r="1064" spans="1:13" hidden="1" x14ac:dyDescent="0.2">
      <c r="A1064" s="36" t="s">
        <v>2245</v>
      </c>
      <c r="B1064" s="31" t="s">
        <v>2244</v>
      </c>
      <c r="C1064" s="31" t="s">
        <v>64</v>
      </c>
      <c r="D1064" s="31"/>
      <c r="E1064" s="31" t="s">
        <v>2229</v>
      </c>
      <c r="F1064" s="31">
        <v>150</v>
      </c>
      <c r="G1064" s="31">
        <v>0</v>
      </c>
      <c r="H1064" s="31">
        <f t="shared" si="32"/>
        <v>-150</v>
      </c>
      <c r="I1064" s="31">
        <v>5032</v>
      </c>
      <c r="J1064" s="31">
        <f t="shared" si="33"/>
        <v>5</v>
      </c>
      <c r="K1064" s="31" t="s">
        <v>2742</v>
      </c>
      <c r="L1064" s="31" t="str">
        <f>I1064 &amp; "-" &amp;VLOOKUP(I1064,Střediska!$A$1:$B$40,2,FALSE)</f>
        <v>5032-Poplatky ČF</v>
      </c>
      <c r="M1064" s="32" t="str">
        <f>VLOOKUP(Zdroj!$I1064,Střediska!$A$1:$B$41,2,FALSE)</f>
        <v>Poplatky ČF</v>
      </c>
    </row>
    <row r="1065" spans="1:13" hidden="1" x14ac:dyDescent="0.2">
      <c r="A1065" s="33" t="s">
        <v>2247</v>
      </c>
      <c r="B1065" s="34" t="s">
        <v>2246</v>
      </c>
      <c r="C1065" s="34" t="s">
        <v>64</v>
      </c>
      <c r="D1065" s="34"/>
      <c r="E1065" s="34" t="s">
        <v>2248</v>
      </c>
      <c r="F1065" s="34">
        <v>400</v>
      </c>
      <c r="G1065" s="34">
        <v>0</v>
      </c>
      <c r="H1065" s="34">
        <f t="shared" si="32"/>
        <v>-400</v>
      </c>
      <c r="I1065" s="34">
        <v>5032</v>
      </c>
      <c r="J1065" s="34">
        <f t="shared" si="33"/>
        <v>5</v>
      </c>
      <c r="K1065" s="34" t="s">
        <v>2742</v>
      </c>
      <c r="L1065" s="34" t="str">
        <f>I1065 &amp; "-" &amp;VLOOKUP(I1065,Střediska!$A$1:$B$40,2,FALSE)</f>
        <v>5032-Poplatky ČF</v>
      </c>
      <c r="M1065" s="35" t="str">
        <f>VLOOKUP(Zdroj!$I1065,Střediska!$A$1:$B$41,2,FALSE)</f>
        <v>Poplatky ČF</v>
      </c>
    </row>
    <row r="1066" spans="1:13" hidden="1" x14ac:dyDescent="0.2">
      <c r="A1066" s="36" t="s">
        <v>2250</v>
      </c>
      <c r="B1066" s="31" t="s">
        <v>2249</v>
      </c>
      <c r="C1066" s="31" t="s">
        <v>64</v>
      </c>
      <c r="D1066" s="31"/>
      <c r="E1066" s="31" t="s">
        <v>2251</v>
      </c>
      <c r="F1066" s="31">
        <v>500</v>
      </c>
      <c r="G1066" s="31">
        <v>0</v>
      </c>
      <c r="H1066" s="31">
        <f t="shared" si="32"/>
        <v>-500</v>
      </c>
      <c r="I1066" s="31">
        <v>5032</v>
      </c>
      <c r="J1066" s="31">
        <f t="shared" si="33"/>
        <v>5</v>
      </c>
      <c r="K1066" s="31" t="s">
        <v>2742</v>
      </c>
      <c r="L1066" s="31" t="str">
        <f>I1066 &amp; "-" &amp;VLOOKUP(I1066,Střediska!$A$1:$B$40,2,FALSE)</f>
        <v>5032-Poplatky ČF</v>
      </c>
      <c r="M1066" s="32" t="str">
        <f>VLOOKUP(Zdroj!$I1066,Střediska!$A$1:$B$41,2,FALSE)</f>
        <v>Poplatky ČF</v>
      </c>
    </row>
    <row r="1067" spans="1:13" hidden="1" x14ac:dyDescent="0.2">
      <c r="A1067" s="33" t="s">
        <v>2253</v>
      </c>
      <c r="B1067" s="34" t="s">
        <v>2252</v>
      </c>
      <c r="C1067" s="34" t="s">
        <v>64</v>
      </c>
      <c r="D1067" s="34"/>
      <c r="E1067" s="34" t="s">
        <v>2254</v>
      </c>
      <c r="F1067" s="34">
        <v>400</v>
      </c>
      <c r="G1067" s="34">
        <v>0</v>
      </c>
      <c r="H1067" s="34">
        <f t="shared" si="32"/>
        <v>-400</v>
      </c>
      <c r="I1067" s="34">
        <v>5032</v>
      </c>
      <c r="J1067" s="34">
        <f t="shared" si="33"/>
        <v>5</v>
      </c>
      <c r="K1067" s="34" t="s">
        <v>2742</v>
      </c>
      <c r="L1067" s="34" t="str">
        <f>I1067 &amp; "-" &amp;VLOOKUP(I1067,Střediska!$A$1:$B$40,2,FALSE)</f>
        <v>5032-Poplatky ČF</v>
      </c>
      <c r="M1067" s="35" t="str">
        <f>VLOOKUP(Zdroj!$I1067,Střediska!$A$1:$B$41,2,FALSE)</f>
        <v>Poplatky ČF</v>
      </c>
    </row>
    <row r="1068" spans="1:13" hidden="1" x14ac:dyDescent="0.2">
      <c r="A1068" s="36" t="s">
        <v>1836</v>
      </c>
      <c r="B1068" s="31" t="s">
        <v>2255</v>
      </c>
      <c r="C1068" s="31" t="s">
        <v>64</v>
      </c>
      <c r="D1068" s="31"/>
      <c r="E1068" s="31" t="s">
        <v>2256</v>
      </c>
      <c r="F1068" s="31">
        <v>650</v>
      </c>
      <c r="G1068" s="31">
        <v>0</v>
      </c>
      <c r="H1068" s="31">
        <f t="shared" si="32"/>
        <v>-650</v>
      </c>
      <c r="I1068" s="31">
        <v>5032</v>
      </c>
      <c r="J1068" s="31">
        <f t="shared" si="33"/>
        <v>5</v>
      </c>
      <c r="K1068" s="31" t="s">
        <v>2742</v>
      </c>
      <c r="L1068" s="31" t="str">
        <f>I1068 &amp; "-" &amp;VLOOKUP(I1068,Střediska!$A$1:$B$40,2,FALSE)</f>
        <v>5032-Poplatky ČF</v>
      </c>
      <c r="M1068" s="32" t="str">
        <f>VLOOKUP(Zdroj!$I1068,Střediska!$A$1:$B$41,2,FALSE)</f>
        <v>Poplatky ČF</v>
      </c>
    </row>
    <row r="1069" spans="1:13" hidden="1" x14ac:dyDescent="0.2">
      <c r="A1069" s="33" t="s">
        <v>1850</v>
      </c>
      <c r="B1069" s="34" t="s">
        <v>2257</v>
      </c>
      <c r="C1069" s="34" t="s">
        <v>64</v>
      </c>
      <c r="D1069" s="34"/>
      <c r="E1069" s="34" t="s">
        <v>2229</v>
      </c>
      <c r="F1069" s="34">
        <v>150</v>
      </c>
      <c r="G1069" s="34">
        <v>0</v>
      </c>
      <c r="H1069" s="34">
        <f t="shared" si="32"/>
        <v>-150</v>
      </c>
      <c r="I1069" s="34">
        <v>5032</v>
      </c>
      <c r="J1069" s="34">
        <f t="shared" si="33"/>
        <v>5</v>
      </c>
      <c r="K1069" s="34" t="s">
        <v>2742</v>
      </c>
      <c r="L1069" s="34" t="str">
        <f>I1069 &amp; "-" &amp;VLOOKUP(I1069,Střediska!$A$1:$B$40,2,FALSE)</f>
        <v>5032-Poplatky ČF</v>
      </c>
      <c r="M1069" s="35" t="str">
        <f>VLOOKUP(Zdroj!$I1069,Střediska!$A$1:$B$41,2,FALSE)</f>
        <v>Poplatky ČF</v>
      </c>
    </row>
    <row r="1070" spans="1:13" hidden="1" x14ac:dyDescent="0.2">
      <c r="A1070" s="36" t="s">
        <v>2259</v>
      </c>
      <c r="B1070" s="31" t="s">
        <v>2258</v>
      </c>
      <c r="C1070" s="31" t="s">
        <v>64</v>
      </c>
      <c r="D1070" s="31"/>
      <c r="E1070" s="31" t="s">
        <v>2260</v>
      </c>
      <c r="F1070" s="31">
        <v>1800</v>
      </c>
      <c r="G1070" s="31">
        <v>0</v>
      </c>
      <c r="H1070" s="31">
        <f t="shared" si="32"/>
        <v>-1800</v>
      </c>
      <c r="I1070" s="31">
        <v>5032</v>
      </c>
      <c r="J1070" s="31">
        <f t="shared" si="33"/>
        <v>5</v>
      </c>
      <c r="K1070" s="31" t="s">
        <v>2742</v>
      </c>
      <c r="L1070" s="31" t="str">
        <f>I1070 &amp; "-" &amp;VLOOKUP(I1070,Střediska!$A$1:$B$40,2,FALSE)</f>
        <v>5032-Poplatky ČF</v>
      </c>
      <c r="M1070" s="32" t="str">
        <f>VLOOKUP(Zdroj!$I1070,Střediska!$A$1:$B$41,2,FALSE)</f>
        <v>Poplatky ČF</v>
      </c>
    </row>
    <row r="1071" spans="1:13" hidden="1" x14ac:dyDescent="0.2">
      <c r="A1071" s="33" t="s">
        <v>2262</v>
      </c>
      <c r="B1071" s="34" t="s">
        <v>2261</v>
      </c>
      <c r="C1071" s="34" t="s">
        <v>64</v>
      </c>
      <c r="D1071" s="34"/>
      <c r="E1071" s="34" t="s">
        <v>2263</v>
      </c>
      <c r="F1071" s="34">
        <v>7500</v>
      </c>
      <c r="G1071" s="34">
        <v>0</v>
      </c>
      <c r="H1071" s="34">
        <f t="shared" si="32"/>
        <v>-7500</v>
      </c>
      <c r="I1071" s="34">
        <v>5032</v>
      </c>
      <c r="J1071" s="34">
        <f t="shared" si="33"/>
        <v>5</v>
      </c>
      <c r="K1071" s="34" t="s">
        <v>2742</v>
      </c>
      <c r="L1071" s="34" t="str">
        <f>I1071 &amp; "-" &amp;VLOOKUP(I1071,Střediska!$A$1:$B$40,2,FALSE)</f>
        <v>5032-Poplatky ČF</v>
      </c>
      <c r="M1071" s="35" t="str">
        <f>VLOOKUP(Zdroj!$I1071,Střediska!$A$1:$B$41,2,FALSE)</f>
        <v>Poplatky ČF</v>
      </c>
    </row>
    <row r="1072" spans="1:13" hidden="1" x14ac:dyDescent="0.2">
      <c r="A1072" s="36" t="s">
        <v>1342</v>
      </c>
      <c r="B1072" s="31" t="s">
        <v>2264</v>
      </c>
      <c r="C1072" s="31" t="s">
        <v>64</v>
      </c>
      <c r="D1072" s="31"/>
      <c r="E1072" s="31" t="s">
        <v>2265</v>
      </c>
      <c r="F1072" s="31">
        <v>500</v>
      </c>
      <c r="G1072" s="31">
        <v>0</v>
      </c>
      <c r="H1072" s="31">
        <f t="shared" si="32"/>
        <v>-500</v>
      </c>
      <c r="I1072" s="31">
        <v>5032</v>
      </c>
      <c r="J1072" s="31">
        <f t="shared" si="33"/>
        <v>5</v>
      </c>
      <c r="K1072" s="31" t="s">
        <v>2742</v>
      </c>
      <c r="L1072" s="31" t="str">
        <f>I1072 &amp; "-" &amp;VLOOKUP(I1072,Střediska!$A$1:$B$40,2,FALSE)</f>
        <v>5032-Poplatky ČF</v>
      </c>
      <c r="M1072" s="32" t="str">
        <f>VLOOKUP(Zdroj!$I1072,Střediska!$A$1:$B$41,2,FALSE)</f>
        <v>Poplatky ČF</v>
      </c>
    </row>
    <row r="1073" spans="1:13" hidden="1" x14ac:dyDescent="0.2">
      <c r="A1073" s="33" t="s">
        <v>2160</v>
      </c>
      <c r="B1073" s="34" t="s">
        <v>2266</v>
      </c>
      <c r="C1073" s="34" t="s">
        <v>64</v>
      </c>
      <c r="D1073" s="34"/>
      <c r="E1073" s="34" t="s">
        <v>2267</v>
      </c>
      <c r="F1073" s="34">
        <v>9750</v>
      </c>
      <c r="G1073" s="34">
        <v>0</v>
      </c>
      <c r="H1073" s="34">
        <f t="shared" si="32"/>
        <v>-9750</v>
      </c>
      <c r="I1073" s="34">
        <v>5032</v>
      </c>
      <c r="J1073" s="34">
        <f t="shared" si="33"/>
        <v>5</v>
      </c>
      <c r="K1073" s="34" t="s">
        <v>2742</v>
      </c>
      <c r="L1073" s="34" t="str">
        <f>I1073 &amp; "-" &amp;VLOOKUP(I1073,Střediska!$A$1:$B$40,2,FALSE)</f>
        <v>5032-Poplatky ČF</v>
      </c>
      <c r="M1073" s="35" t="str">
        <f>VLOOKUP(Zdroj!$I1073,Střediska!$A$1:$B$41,2,FALSE)</f>
        <v>Poplatky ČF</v>
      </c>
    </row>
    <row r="1074" spans="1:13" hidden="1" x14ac:dyDescent="0.2">
      <c r="A1074" s="36" t="s">
        <v>2269</v>
      </c>
      <c r="B1074" s="31" t="s">
        <v>2268</v>
      </c>
      <c r="C1074" s="31" t="s">
        <v>64</v>
      </c>
      <c r="D1074" s="31"/>
      <c r="E1074" s="31" t="s">
        <v>2270</v>
      </c>
      <c r="F1074" s="31">
        <v>250</v>
      </c>
      <c r="G1074" s="31">
        <v>0</v>
      </c>
      <c r="H1074" s="31">
        <f t="shared" si="32"/>
        <v>-250</v>
      </c>
      <c r="I1074" s="31">
        <v>5032</v>
      </c>
      <c r="J1074" s="31">
        <f t="shared" si="33"/>
        <v>5</v>
      </c>
      <c r="K1074" s="31" t="s">
        <v>2742</v>
      </c>
      <c r="L1074" s="31" t="str">
        <f>I1074 &amp; "-" &amp;VLOOKUP(I1074,Střediska!$A$1:$B$40,2,FALSE)</f>
        <v>5032-Poplatky ČF</v>
      </c>
      <c r="M1074" s="32" t="str">
        <f>VLOOKUP(Zdroj!$I1074,Střediska!$A$1:$B$41,2,FALSE)</f>
        <v>Poplatky ČF</v>
      </c>
    </row>
    <row r="1075" spans="1:13" hidden="1" x14ac:dyDescent="0.2">
      <c r="A1075" s="33" t="s">
        <v>253</v>
      </c>
      <c r="B1075" s="34" t="s">
        <v>2271</v>
      </c>
      <c r="C1075" s="34" t="s">
        <v>64</v>
      </c>
      <c r="D1075" s="34"/>
      <c r="E1075" s="34" t="s">
        <v>2272</v>
      </c>
      <c r="F1075" s="34">
        <v>2000</v>
      </c>
      <c r="G1075" s="34">
        <v>0</v>
      </c>
      <c r="H1075" s="34">
        <f t="shared" si="32"/>
        <v>-2000</v>
      </c>
      <c r="I1075" s="34">
        <v>5032</v>
      </c>
      <c r="J1075" s="34">
        <f t="shared" si="33"/>
        <v>5</v>
      </c>
      <c r="K1075" s="34" t="s">
        <v>2742</v>
      </c>
      <c r="L1075" s="34" t="str">
        <f>I1075 &amp; "-" &amp;VLOOKUP(I1075,Střediska!$A$1:$B$40,2,FALSE)</f>
        <v>5032-Poplatky ČF</v>
      </c>
      <c r="M1075" s="35" t="str">
        <f>VLOOKUP(Zdroj!$I1075,Střediska!$A$1:$B$41,2,FALSE)</f>
        <v>Poplatky ČF</v>
      </c>
    </row>
    <row r="1076" spans="1:13" hidden="1" x14ac:dyDescent="0.2">
      <c r="A1076" s="36" t="s">
        <v>1291</v>
      </c>
      <c r="B1076" s="31" t="s">
        <v>2273</v>
      </c>
      <c r="C1076" s="31" t="s">
        <v>64</v>
      </c>
      <c r="D1076" s="31"/>
      <c r="E1076" s="31" t="s">
        <v>2274</v>
      </c>
      <c r="F1076" s="31">
        <v>2850</v>
      </c>
      <c r="G1076" s="31">
        <v>0</v>
      </c>
      <c r="H1076" s="31">
        <f t="shared" si="32"/>
        <v>-2850</v>
      </c>
      <c r="I1076" s="31">
        <v>5032</v>
      </c>
      <c r="J1076" s="31">
        <f t="shared" si="33"/>
        <v>5</v>
      </c>
      <c r="K1076" s="31" t="s">
        <v>2742</v>
      </c>
      <c r="L1076" s="31" t="str">
        <f>I1076 &amp; "-" &amp;VLOOKUP(I1076,Střediska!$A$1:$B$40,2,FALSE)</f>
        <v>5032-Poplatky ČF</v>
      </c>
      <c r="M1076" s="32" t="str">
        <f>VLOOKUP(Zdroj!$I1076,Střediska!$A$1:$B$41,2,FALSE)</f>
        <v>Poplatky ČF</v>
      </c>
    </row>
    <row r="1077" spans="1:13" hidden="1" x14ac:dyDescent="0.2">
      <c r="A1077" s="33" t="s">
        <v>1769</v>
      </c>
      <c r="B1077" s="34" t="s">
        <v>2275</v>
      </c>
      <c r="C1077" s="34" t="s">
        <v>64</v>
      </c>
      <c r="D1077" s="34"/>
      <c r="E1077" s="34" t="s">
        <v>2276</v>
      </c>
      <c r="F1077" s="34">
        <v>750</v>
      </c>
      <c r="G1077" s="34">
        <v>0</v>
      </c>
      <c r="H1077" s="34">
        <f t="shared" si="32"/>
        <v>-750</v>
      </c>
      <c r="I1077" s="34">
        <v>5032</v>
      </c>
      <c r="J1077" s="34">
        <f t="shared" si="33"/>
        <v>5</v>
      </c>
      <c r="K1077" s="34" t="s">
        <v>2742</v>
      </c>
      <c r="L1077" s="34" t="str">
        <f>I1077 &amp; "-" &amp;VLOOKUP(I1077,Střediska!$A$1:$B$40,2,FALSE)</f>
        <v>5032-Poplatky ČF</v>
      </c>
      <c r="M1077" s="35" t="str">
        <f>VLOOKUP(Zdroj!$I1077,Střediska!$A$1:$B$41,2,FALSE)</f>
        <v>Poplatky ČF</v>
      </c>
    </row>
    <row r="1078" spans="1:13" hidden="1" x14ac:dyDescent="0.2">
      <c r="A1078" s="36" t="s">
        <v>2278</v>
      </c>
      <c r="B1078" s="31" t="s">
        <v>2277</v>
      </c>
      <c r="C1078" s="31" t="s">
        <v>64</v>
      </c>
      <c r="D1078" s="31"/>
      <c r="E1078" s="31" t="s">
        <v>2279</v>
      </c>
      <c r="F1078" s="31">
        <v>15000</v>
      </c>
      <c r="G1078" s="31">
        <v>0</v>
      </c>
      <c r="H1078" s="31">
        <f t="shared" si="32"/>
        <v>-15000</v>
      </c>
      <c r="I1078" s="31">
        <v>5032</v>
      </c>
      <c r="J1078" s="31">
        <f t="shared" si="33"/>
        <v>5</v>
      </c>
      <c r="K1078" s="31" t="s">
        <v>2742</v>
      </c>
      <c r="L1078" s="31" t="str">
        <f>I1078 &amp; "-" &amp;VLOOKUP(I1078,Střediska!$A$1:$B$40,2,FALSE)</f>
        <v>5032-Poplatky ČF</v>
      </c>
      <c r="M1078" s="32" t="str">
        <f>VLOOKUP(Zdroj!$I1078,Střediska!$A$1:$B$41,2,FALSE)</f>
        <v>Poplatky ČF</v>
      </c>
    </row>
    <row r="1079" spans="1:13" hidden="1" x14ac:dyDescent="0.2">
      <c r="A1079" s="33" t="s">
        <v>2278</v>
      </c>
      <c r="B1079" s="34" t="s">
        <v>2280</v>
      </c>
      <c r="C1079" s="34" t="s">
        <v>64</v>
      </c>
      <c r="D1079" s="34"/>
      <c r="E1079" s="34" t="s">
        <v>2237</v>
      </c>
      <c r="F1079" s="34">
        <v>13500</v>
      </c>
      <c r="G1079" s="34">
        <v>0</v>
      </c>
      <c r="H1079" s="34">
        <f t="shared" ref="H1079:H1095" si="34">-F1079+G1079</f>
        <v>-13500</v>
      </c>
      <c r="I1079" s="34">
        <v>5032</v>
      </c>
      <c r="J1079" s="34">
        <f t="shared" ref="J1079:J1095" si="35">VALUE(LEFT(I1079,1))</f>
        <v>5</v>
      </c>
      <c r="K1079" s="34" t="s">
        <v>2742</v>
      </c>
      <c r="L1079" s="34" t="str">
        <f>I1079 &amp; "-" &amp;VLOOKUP(I1079,Střediska!$A$1:$B$40,2,FALSE)</f>
        <v>5032-Poplatky ČF</v>
      </c>
      <c r="M1079" s="35" t="str">
        <f>VLOOKUP(Zdroj!$I1079,Střediska!$A$1:$B$41,2,FALSE)</f>
        <v>Poplatky ČF</v>
      </c>
    </row>
    <row r="1080" spans="1:13" hidden="1" x14ac:dyDescent="0.2">
      <c r="A1080" s="36" t="s">
        <v>1813</v>
      </c>
      <c r="B1080" s="31" t="s">
        <v>2281</v>
      </c>
      <c r="C1080" s="31" t="s">
        <v>64</v>
      </c>
      <c r="D1080" s="31"/>
      <c r="E1080" s="31" t="s">
        <v>2265</v>
      </c>
      <c r="F1080" s="31">
        <v>500</v>
      </c>
      <c r="G1080" s="31">
        <v>0</v>
      </c>
      <c r="H1080" s="31">
        <f t="shared" si="34"/>
        <v>-500</v>
      </c>
      <c r="I1080" s="31">
        <v>5032</v>
      </c>
      <c r="J1080" s="31">
        <f t="shared" si="35"/>
        <v>5</v>
      </c>
      <c r="K1080" s="31" t="s">
        <v>2742</v>
      </c>
      <c r="L1080" s="31" t="str">
        <f>I1080 &amp; "-" &amp;VLOOKUP(I1080,Střediska!$A$1:$B$40,2,FALSE)</f>
        <v>5032-Poplatky ČF</v>
      </c>
      <c r="M1080" s="32" t="str">
        <f>VLOOKUP(Zdroj!$I1080,Střediska!$A$1:$B$41,2,FALSE)</f>
        <v>Poplatky ČF</v>
      </c>
    </row>
    <row r="1081" spans="1:13" hidden="1" x14ac:dyDescent="0.2">
      <c r="A1081" s="33" t="s">
        <v>2283</v>
      </c>
      <c r="B1081" s="34" t="s">
        <v>2282</v>
      </c>
      <c r="C1081" s="34" t="s">
        <v>64</v>
      </c>
      <c r="D1081" s="34"/>
      <c r="E1081" s="34" t="s">
        <v>2270</v>
      </c>
      <c r="F1081" s="34">
        <v>300</v>
      </c>
      <c r="G1081" s="34">
        <v>0</v>
      </c>
      <c r="H1081" s="34">
        <f t="shared" si="34"/>
        <v>-300</v>
      </c>
      <c r="I1081" s="34">
        <v>5032</v>
      </c>
      <c r="J1081" s="34">
        <f t="shared" si="35"/>
        <v>5</v>
      </c>
      <c r="K1081" s="34" t="s">
        <v>2742</v>
      </c>
      <c r="L1081" s="34" t="str">
        <f>I1081 &amp; "-" &amp;VLOOKUP(I1081,Střediska!$A$1:$B$40,2,FALSE)</f>
        <v>5032-Poplatky ČF</v>
      </c>
      <c r="M1081" s="35" t="str">
        <f>VLOOKUP(Zdroj!$I1081,Střediska!$A$1:$B$41,2,FALSE)</f>
        <v>Poplatky ČF</v>
      </c>
    </row>
    <row r="1082" spans="1:13" hidden="1" x14ac:dyDescent="0.2">
      <c r="A1082" s="36" t="s">
        <v>2283</v>
      </c>
      <c r="B1082" s="31" t="s">
        <v>2284</v>
      </c>
      <c r="C1082" s="31" t="s">
        <v>64</v>
      </c>
      <c r="D1082" s="31"/>
      <c r="E1082" s="31" t="s">
        <v>2279</v>
      </c>
      <c r="F1082" s="31">
        <v>3000</v>
      </c>
      <c r="G1082" s="31">
        <v>0</v>
      </c>
      <c r="H1082" s="31">
        <f t="shared" si="34"/>
        <v>-3000</v>
      </c>
      <c r="I1082" s="31">
        <v>5032</v>
      </c>
      <c r="J1082" s="31">
        <f t="shared" si="35"/>
        <v>5</v>
      </c>
      <c r="K1082" s="31" t="s">
        <v>2742</v>
      </c>
      <c r="L1082" s="31" t="str">
        <f>I1082 &amp; "-" &amp;VLOOKUP(I1082,Střediska!$A$1:$B$40,2,FALSE)</f>
        <v>5032-Poplatky ČF</v>
      </c>
      <c r="M1082" s="32" t="str">
        <f>VLOOKUP(Zdroj!$I1082,Střediska!$A$1:$B$41,2,FALSE)</f>
        <v>Poplatky ČF</v>
      </c>
    </row>
    <row r="1083" spans="1:13" hidden="1" x14ac:dyDescent="0.2">
      <c r="A1083" s="33" t="s">
        <v>2286</v>
      </c>
      <c r="B1083" s="34" t="s">
        <v>2285</v>
      </c>
      <c r="C1083" s="34" t="s">
        <v>64</v>
      </c>
      <c r="D1083" s="34"/>
      <c r="E1083" s="34" t="s">
        <v>2287</v>
      </c>
      <c r="F1083" s="34">
        <v>2250</v>
      </c>
      <c r="G1083" s="34">
        <v>0</v>
      </c>
      <c r="H1083" s="34">
        <f t="shared" si="34"/>
        <v>-2250</v>
      </c>
      <c r="I1083" s="34">
        <v>5032</v>
      </c>
      <c r="J1083" s="34">
        <f t="shared" si="35"/>
        <v>5</v>
      </c>
      <c r="K1083" s="34" t="s">
        <v>2742</v>
      </c>
      <c r="L1083" s="34" t="str">
        <f>I1083 &amp; "-" &amp;VLOOKUP(I1083,Střediska!$A$1:$B$40,2,FALSE)</f>
        <v>5032-Poplatky ČF</v>
      </c>
      <c r="M1083" s="35" t="str">
        <f>VLOOKUP(Zdroj!$I1083,Střediska!$A$1:$B$41,2,FALSE)</f>
        <v>Poplatky ČF</v>
      </c>
    </row>
    <row r="1084" spans="1:13" hidden="1" x14ac:dyDescent="0.2">
      <c r="A1084" s="36" t="s">
        <v>2286</v>
      </c>
      <c r="B1084" s="31" t="s">
        <v>2288</v>
      </c>
      <c r="C1084" s="31" t="s">
        <v>64</v>
      </c>
      <c r="D1084" s="31"/>
      <c r="E1084" s="31" t="s">
        <v>2289</v>
      </c>
      <c r="F1084" s="31">
        <v>1300</v>
      </c>
      <c r="G1084" s="31">
        <v>0</v>
      </c>
      <c r="H1084" s="31">
        <f t="shared" si="34"/>
        <v>-1300</v>
      </c>
      <c r="I1084" s="31">
        <v>5032</v>
      </c>
      <c r="J1084" s="31">
        <f t="shared" si="35"/>
        <v>5</v>
      </c>
      <c r="K1084" s="31" t="s">
        <v>2742</v>
      </c>
      <c r="L1084" s="31" t="str">
        <f>I1084 &amp; "-" &amp;VLOOKUP(I1084,Střediska!$A$1:$B$40,2,FALSE)</f>
        <v>5032-Poplatky ČF</v>
      </c>
      <c r="M1084" s="32" t="str">
        <f>VLOOKUP(Zdroj!$I1084,Střediska!$A$1:$B$41,2,FALSE)</f>
        <v>Poplatky ČF</v>
      </c>
    </row>
    <row r="1085" spans="1:13" hidden="1" x14ac:dyDescent="0.2">
      <c r="A1085" s="33" t="s">
        <v>2291</v>
      </c>
      <c r="B1085" s="34" t="s">
        <v>2290</v>
      </c>
      <c r="C1085" s="34" t="s">
        <v>64</v>
      </c>
      <c r="D1085" s="34"/>
      <c r="E1085" s="37" t="s">
        <v>2237</v>
      </c>
      <c r="F1085" s="34">
        <v>9300</v>
      </c>
      <c r="G1085" s="34">
        <v>0</v>
      </c>
      <c r="H1085" s="34">
        <f t="shared" si="34"/>
        <v>-9300</v>
      </c>
      <c r="I1085" s="34">
        <v>5032</v>
      </c>
      <c r="J1085" s="34">
        <f t="shared" si="35"/>
        <v>5</v>
      </c>
      <c r="K1085" s="34" t="s">
        <v>2742</v>
      </c>
      <c r="L1085" s="34" t="str">
        <f>I1085 &amp; "-" &amp;VLOOKUP(I1085,Střediska!$A$1:$B$40,2,FALSE)</f>
        <v>5032-Poplatky ČF</v>
      </c>
      <c r="M1085" s="35" t="str">
        <f>VLOOKUP(Zdroj!$I1085,Střediska!$A$1:$B$41,2,FALSE)</f>
        <v>Poplatky ČF</v>
      </c>
    </row>
    <row r="1086" spans="1:13" hidden="1" x14ac:dyDescent="0.2">
      <c r="A1086" s="36" t="s">
        <v>2291</v>
      </c>
      <c r="B1086" s="31" t="s">
        <v>2292</v>
      </c>
      <c r="C1086" s="31" t="s">
        <v>64</v>
      </c>
      <c r="D1086" s="31"/>
      <c r="E1086" s="31" t="s">
        <v>2279</v>
      </c>
      <c r="F1086" s="31">
        <v>1000</v>
      </c>
      <c r="G1086" s="31">
        <v>0</v>
      </c>
      <c r="H1086" s="31">
        <f t="shared" si="34"/>
        <v>-1000</v>
      </c>
      <c r="I1086" s="31">
        <v>5032</v>
      </c>
      <c r="J1086" s="31">
        <f t="shared" si="35"/>
        <v>5</v>
      </c>
      <c r="K1086" s="31" t="s">
        <v>2742</v>
      </c>
      <c r="L1086" s="31" t="str">
        <f>I1086 &amp; "-" &amp;VLOOKUP(I1086,Střediska!$A$1:$B$40,2,FALSE)</f>
        <v>5032-Poplatky ČF</v>
      </c>
      <c r="M1086" s="32" t="str">
        <f>VLOOKUP(Zdroj!$I1086,Střediska!$A$1:$B$41,2,FALSE)</f>
        <v>Poplatky ČF</v>
      </c>
    </row>
    <row r="1087" spans="1:13" hidden="1" x14ac:dyDescent="0.2">
      <c r="A1087" s="33" t="s">
        <v>2291</v>
      </c>
      <c r="B1087" s="34" t="s">
        <v>2293</v>
      </c>
      <c r="C1087" s="34" t="s">
        <v>64</v>
      </c>
      <c r="D1087" s="34"/>
      <c r="E1087" s="34" t="s">
        <v>2270</v>
      </c>
      <c r="F1087" s="34">
        <v>250</v>
      </c>
      <c r="G1087" s="34">
        <v>0</v>
      </c>
      <c r="H1087" s="34">
        <f t="shared" si="34"/>
        <v>-250</v>
      </c>
      <c r="I1087" s="34">
        <v>5032</v>
      </c>
      <c r="J1087" s="34">
        <f t="shared" si="35"/>
        <v>5</v>
      </c>
      <c r="K1087" s="34" t="s">
        <v>2742</v>
      </c>
      <c r="L1087" s="34" t="str">
        <f>I1087 &amp; "-" &amp;VLOOKUP(I1087,Střediska!$A$1:$B$40,2,FALSE)</f>
        <v>5032-Poplatky ČF</v>
      </c>
      <c r="M1087" s="35" t="str">
        <f>VLOOKUP(Zdroj!$I1087,Střediska!$A$1:$B$41,2,FALSE)</f>
        <v>Poplatky ČF</v>
      </c>
    </row>
    <row r="1088" spans="1:13" hidden="1" x14ac:dyDescent="0.2">
      <c r="A1088" s="36" t="s">
        <v>2295</v>
      </c>
      <c r="B1088" s="31" t="s">
        <v>2294</v>
      </c>
      <c r="C1088" s="31" t="s">
        <v>64</v>
      </c>
      <c r="D1088" s="31"/>
      <c r="E1088" s="31" t="s">
        <v>2235</v>
      </c>
      <c r="F1088" s="31">
        <v>250</v>
      </c>
      <c r="G1088" s="31">
        <v>0</v>
      </c>
      <c r="H1088" s="31">
        <f t="shared" si="34"/>
        <v>-250</v>
      </c>
      <c r="I1088" s="31">
        <v>5032</v>
      </c>
      <c r="J1088" s="31">
        <f t="shared" si="35"/>
        <v>5</v>
      </c>
      <c r="K1088" s="31" t="s">
        <v>2742</v>
      </c>
      <c r="L1088" s="31" t="str">
        <f>I1088 &amp; "-" &amp;VLOOKUP(I1088,Střediska!$A$1:$B$40,2,FALSE)</f>
        <v>5032-Poplatky ČF</v>
      </c>
      <c r="M1088" s="32" t="str">
        <f>VLOOKUP(Zdroj!$I1088,Střediska!$A$1:$B$41,2,FALSE)</f>
        <v>Poplatky ČF</v>
      </c>
    </row>
    <row r="1089" spans="1:13" hidden="1" x14ac:dyDescent="0.2">
      <c r="A1089" s="33" t="s">
        <v>1416</v>
      </c>
      <c r="B1089" s="34" t="s">
        <v>2296</v>
      </c>
      <c r="C1089" s="34" t="s">
        <v>64</v>
      </c>
      <c r="D1089" s="34"/>
      <c r="E1089" s="34" t="s">
        <v>2237</v>
      </c>
      <c r="F1089" s="34">
        <v>1500</v>
      </c>
      <c r="G1089" s="34">
        <v>0</v>
      </c>
      <c r="H1089" s="34">
        <f t="shared" si="34"/>
        <v>-1500</v>
      </c>
      <c r="I1089" s="34">
        <v>5032</v>
      </c>
      <c r="J1089" s="34">
        <f t="shared" si="35"/>
        <v>5</v>
      </c>
      <c r="K1089" s="34" t="s">
        <v>2742</v>
      </c>
      <c r="L1089" s="34" t="str">
        <f>I1089 &amp; "-" &amp;VLOOKUP(I1089,Střediska!$A$1:$B$40,2,FALSE)</f>
        <v>5032-Poplatky ČF</v>
      </c>
      <c r="M1089" s="35" t="str">
        <f>VLOOKUP(Zdroj!$I1089,Střediska!$A$1:$B$41,2,FALSE)</f>
        <v>Poplatky ČF</v>
      </c>
    </row>
    <row r="1090" spans="1:13" hidden="1" x14ac:dyDescent="0.2">
      <c r="A1090" s="36" t="s">
        <v>2221</v>
      </c>
      <c r="B1090" s="31" t="s">
        <v>2220</v>
      </c>
      <c r="C1090" s="31" t="s">
        <v>106</v>
      </c>
      <c r="D1090" s="31" t="s">
        <v>2218</v>
      </c>
      <c r="E1090" s="31" t="s">
        <v>2222</v>
      </c>
      <c r="F1090" s="31">
        <v>5000</v>
      </c>
      <c r="G1090" s="31">
        <v>0</v>
      </c>
      <c r="H1090" s="31">
        <f t="shared" si="34"/>
        <v>-5000</v>
      </c>
      <c r="I1090" s="31">
        <v>5032</v>
      </c>
      <c r="J1090" s="31">
        <f t="shared" si="35"/>
        <v>5</v>
      </c>
      <c r="K1090" s="31" t="s">
        <v>2742</v>
      </c>
      <c r="L1090" s="31" t="str">
        <f>I1090 &amp; "-" &amp;VLOOKUP(I1090,Střediska!$A$1:$B$40,2,FALSE)</f>
        <v>5032-Poplatky ČF</v>
      </c>
      <c r="M1090" s="32" t="str">
        <f>VLOOKUP(Zdroj!$I1090,Střediska!$A$1:$B$41,2,FALSE)</f>
        <v>Poplatky ČF</v>
      </c>
    </row>
    <row r="1091" spans="1:13" hidden="1" x14ac:dyDescent="0.2">
      <c r="A1091" s="33" t="s">
        <v>531</v>
      </c>
      <c r="B1091" s="34" t="s">
        <v>2297</v>
      </c>
      <c r="C1091" s="34" t="s">
        <v>64</v>
      </c>
      <c r="D1091" s="34"/>
      <c r="E1091" s="34" t="s">
        <v>2298</v>
      </c>
      <c r="F1091" s="34">
        <v>900</v>
      </c>
      <c r="G1091" s="34">
        <v>0</v>
      </c>
      <c r="H1091" s="34">
        <f t="shared" si="34"/>
        <v>-900</v>
      </c>
      <c r="I1091" s="34">
        <v>5032</v>
      </c>
      <c r="J1091" s="34">
        <f t="shared" si="35"/>
        <v>5</v>
      </c>
      <c r="K1091" s="34" t="s">
        <v>2742</v>
      </c>
      <c r="L1091" s="34" t="str">
        <f>I1091 &amp; "-" &amp;VLOOKUP(I1091,Střediska!$A$1:$B$40,2,FALSE)</f>
        <v>5032-Poplatky ČF</v>
      </c>
      <c r="M1091" s="35" t="str">
        <f>VLOOKUP(Zdroj!$I1091,Střediska!$A$1:$B$41,2,FALSE)</f>
        <v>Poplatky ČF</v>
      </c>
    </row>
    <row r="1092" spans="1:13" hidden="1" x14ac:dyDescent="0.2">
      <c r="A1092" s="36" t="s">
        <v>544</v>
      </c>
      <c r="B1092" s="31" t="s">
        <v>2299</v>
      </c>
      <c r="C1092" s="31" t="s">
        <v>64</v>
      </c>
      <c r="D1092" s="31"/>
      <c r="E1092" s="31" t="s">
        <v>2300</v>
      </c>
      <c r="F1092" s="31">
        <v>900</v>
      </c>
      <c r="G1092" s="31">
        <v>0</v>
      </c>
      <c r="H1092" s="31">
        <f t="shared" si="34"/>
        <v>-900</v>
      </c>
      <c r="I1092" s="31">
        <v>5032</v>
      </c>
      <c r="J1092" s="31">
        <f t="shared" si="35"/>
        <v>5</v>
      </c>
      <c r="K1092" s="31" t="s">
        <v>2742</v>
      </c>
      <c r="L1092" s="31" t="str">
        <f>I1092 &amp; "-" &amp;VLOOKUP(I1092,Střediska!$A$1:$B$40,2,FALSE)</f>
        <v>5032-Poplatky ČF</v>
      </c>
      <c r="M1092" s="32" t="str">
        <f>VLOOKUP(Zdroj!$I1092,Střediska!$A$1:$B$41,2,FALSE)</f>
        <v>Poplatky ČF</v>
      </c>
    </row>
    <row r="1093" spans="1:13" hidden="1" x14ac:dyDescent="0.2">
      <c r="A1093" s="33" t="s">
        <v>433</v>
      </c>
      <c r="B1093" s="34" t="s">
        <v>2301</v>
      </c>
      <c r="C1093" s="34" t="s">
        <v>64</v>
      </c>
      <c r="D1093" s="34"/>
      <c r="E1093" s="34" t="s">
        <v>2300</v>
      </c>
      <c r="F1093" s="34">
        <v>2500</v>
      </c>
      <c r="G1093" s="34">
        <v>0</v>
      </c>
      <c r="H1093" s="34">
        <f t="shared" si="34"/>
        <v>-2500</v>
      </c>
      <c r="I1093" s="34">
        <v>5032</v>
      </c>
      <c r="J1093" s="34">
        <f t="shared" si="35"/>
        <v>5</v>
      </c>
      <c r="K1093" s="34" t="s">
        <v>2742</v>
      </c>
      <c r="L1093" s="34" t="str">
        <f>I1093 &amp; "-" &amp;VLOOKUP(I1093,Střediska!$A$1:$B$40,2,FALSE)</f>
        <v>5032-Poplatky ČF</v>
      </c>
      <c r="M1093" s="35" t="str">
        <f>VLOOKUP(Zdroj!$I1093,Střediska!$A$1:$B$41,2,FALSE)</f>
        <v>Poplatky ČF</v>
      </c>
    </row>
    <row r="1094" spans="1:13" hidden="1" x14ac:dyDescent="0.2">
      <c r="A1094" s="36" t="s">
        <v>267</v>
      </c>
      <c r="B1094" s="31" t="s">
        <v>2302</v>
      </c>
      <c r="C1094" s="31" t="s">
        <v>64</v>
      </c>
      <c r="D1094" s="31"/>
      <c r="E1094" s="31" t="s">
        <v>2235</v>
      </c>
      <c r="F1094" s="31">
        <v>250</v>
      </c>
      <c r="G1094" s="31">
        <v>0</v>
      </c>
      <c r="H1094" s="31">
        <f t="shared" si="34"/>
        <v>-250</v>
      </c>
      <c r="I1094" s="31">
        <v>5032</v>
      </c>
      <c r="J1094" s="31">
        <f t="shared" si="35"/>
        <v>5</v>
      </c>
      <c r="K1094" s="31" t="s">
        <v>2742</v>
      </c>
      <c r="L1094" s="31" t="str">
        <f>I1094 &amp; "-" &amp;VLOOKUP(I1094,Střediska!$A$1:$B$40,2,FALSE)</f>
        <v>5032-Poplatky ČF</v>
      </c>
      <c r="M1094" s="32" t="str">
        <f>VLOOKUP(Zdroj!$I1094,Střediska!$A$1:$B$41,2,FALSE)</f>
        <v>Poplatky ČF</v>
      </c>
    </row>
    <row r="1095" spans="1:13" hidden="1" x14ac:dyDescent="0.2">
      <c r="A1095" s="33" t="s">
        <v>49</v>
      </c>
      <c r="B1095" s="34" t="s">
        <v>2303</v>
      </c>
      <c r="C1095" s="34" t="s">
        <v>64</v>
      </c>
      <c r="D1095" s="34"/>
      <c r="E1095" s="34" t="s">
        <v>2274</v>
      </c>
      <c r="F1095" s="34">
        <v>800</v>
      </c>
      <c r="G1095" s="34">
        <v>0</v>
      </c>
      <c r="H1095" s="34">
        <f t="shared" si="34"/>
        <v>-800</v>
      </c>
      <c r="I1095" s="34">
        <v>5032</v>
      </c>
      <c r="J1095" s="34">
        <f t="shared" si="35"/>
        <v>5</v>
      </c>
      <c r="K1095" s="34" t="s">
        <v>2742</v>
      </c>
      <c r="L1095" s="34" t="str">
        <f>I1095 &amp; "-" &amp;VLOOKUP(I1095,Střediska!$A$1:$B$40,2,FALSE)</f>
        <v>5032-Poplatky ČF</v>
      </c>
      <c r="M1095" s="35" t="str">
        <f>VLOOKUP(Zdroj!$I1095,Střediska!$A$1:$B$41,2,FALSE)</f>
        <v>Poplatky ČF</v>
      </c>
    </row>
    <row r="1096" spans="1:13" hidden="1" x14ac:dyDescent="0.2">
      <c r="A1096" s="36" t="s">
        <v>176</v>
      </c>
      <c r="B1096" s="31" t="s">
        <v>2304</v>
      </c>
      <c r="C1096" s="31" t="s">
        <v>64</v>
      </c>
      <c r="D1096" s="31"/>
      <c r="E1096" s="31" t="s">
        <v>2276</v>
      </c>
      <c r="F1096" s="31">
        <v>1250</v>
      </c>
      <c r="G1096" s="31">
        <v>0</v>
      </c>
      <c r="H1096" s="31">
        <f t="shared" ref="H1096:H1159" si="36">-F1096+G1096</f>
        <v>-1250</v>
      </c>
      <c r="I1096" s="31">
        <v>5032</v>
      </c>
      <c r="J1096" s="31">
        <f t="shared" ref="J1096:J1159" si="37">VALUE(LEFT(I1096,1))</f>
        <v>5</v>
      </c>
      <c r="K1096" s="31" t="s">
        <v>2742</v>
      </c>
      <c r="L1096" s="31" t="str">
        <f>I1096 &amp; "-" &amp;VLOOKUP(I1096,Střediska!$A$1:$B$40,2,FALSE)</f>
        <v>5032-Poplatky ČF</v>
      </c>
      <c r="M1096" s="32" t="str">
        <f>VLOOKUP(Zdroj!$I1096,Střediska!$A$1:$B$41,2,FALSE)</f>
        <v>Poplatky ČF</v>
      </c>
    </row>
    <row r="1097" spans="1:13" hidden="1" x14ac:dyDescent="0.2">
      <c r="A1097" s="33" t="s">
        <v>352</v>
      </c>
      <c r="B1097" s="34" t="s">
        <v>2305</v>
      </c>
      <c r="C1097" s="34" t="s">
        <v>64</v>
      </c>
      <c r="D1097" s="34"/>
      <c r="E1097" s="34" t="s">
        <v>2306</v>
      </c>
      <c r="F1097" s="34">
        <v>150</v>
      </c>
      <c r="G1097" s="34">
        <v>0</v>
      </c>
      <c r="H1097" s="34">
        <f t="shared" si="36"/>
        <v>-150</v>
      </c>
      <c r="I1097" s="34">
        <v>5032</v>
      </c>
      <c r="J1097" s="34">
        <f t="shared" si="37"/>
        <v>5</v>
      </c>
      <c r="K1097" s="34" t="s">
        <v>2742</v>
      </c>
      <c r="L1097" s="34" t="str">
        <f>I1097 &amp; "-" &amp;VLOOKUP(I1097,Střediska!$A$1:$B$40,2,FALSE)</f>
        <v>5032-Poplatky ČF</v>
      </c>
      <c r="M1097" s="35" t="str">
        <f>VLOOKUP(Zdroj!$I1097,Střediska!$A$1:$B$41,2,FALSE)</f>
        <v>Poplatky ČF</v>
      </c>
    </row>
    <row r="1098" spans="1:13" hidden="1" x14ac:dyDescent="0.2">
      <c r="A1098" s="36" t="s">
        <v>792</v>
      </c>
      <c r="B1098" s="31" t="s">
        <v>2307</v>
      </c>
      <c r="C1098" s="31" t="s">
        <v>64</v>
      </c>
      <c r="D1098" s="31"/>
      <c r="E1098" s="31" t="s">
        <v>2276</v>
      </c>
      <c r="F1098" s="31">
        <v>1250</v>
      </c>
      <c r="G1098" s="31">
        <v>0</v>
      </c>
      <c r="H1098" s="31">
        <f t="shared" si="36"/>
        <v>-1250</v>
      </c>
      <c r="I1098" s="31">
        <v>5032</v>
      </c>
      <c r="J1098" s="31">
        <f t="shared" si="37"/>
        <v>5</v>
      </c>
      <c r="K1098" s="31" t="s">
        <v>2742</v>
      </c>
      <c r="L1098" s="31" t="str">
        <f>I1098 &amp; "-" &amp;VLOOKUP(I1098,Střediska!$A$1:$B$40,2,FALSE)</f>
        <v>5032-Poplatky ČF</v>
      </c>
      <c r="M1098" s="32" t="str">
        <f>VLOOKUP(Zdroj!$I1098,Střediska!$A$1:$B$41,2,FALSE)</f>
        <v>Poplatky ČF</v>
      </c>
    </row>
    <row r="1099" spans="1:13" hidden="1" x14ac:dyDescent="0.2">
      <c r="A1099" s="33" t="s">
        <v>451</v>
      </c>
      <c r="B1099" s="34" t="s">
        <v>2308</v>
      </c>
      <c r="C1099" s="34" t="s">
        <v>64</v>
      </c>
      <c r="D1099" s="34"/>
      <c r="E1099" s="34" t="s">
        <v>2265</v>
      </c>
      <c r="F1099" s="34">
        <v>250</v>
      </c>
      <c r="G1099" s="34">
        <v>0</v>
      </c>
      <c r="H1099" s="34">
        <f t="shared" si="36"/>
        <v>-250</v>
      </c>
      <c r="I1099" s="34">
        <v>5032</v>
      </c>
      <c r="J1099" s="34">
        <f t="shared" si="37"/>
        <v>5</v>
      </c>
      <c r="K1099" s="34" t="s">
        <v>2742</v>
      </c>
      <c r="L1099" s="34" t="str">
        <f>I1099 &amp; "-" &amp;VLOOKUP(I1099,Střediska!$A$1:$B$40,2,FALSE)</f>
        <v>5032-Poplatky ČF</v>
      </c>
      <c r="M1099" s="35" t="str">
        <f>VLOOKUP(Zdroj!$I1099,Střediska!$A$1:$B$41,2,FALSE)</f>
        <v>Poplatky ČF</v>
      </c>
    </row>
    <row r="1100" spans="1:13" hidden="1" x14ac:dyDescent="0.2">
      <c r="A1100" s="36" t="s">
        <v>277</v>
      </c>
      <c r="B1100" s="31" t="s">
        <v>2309</v>
      </c>
      <c r="C1100" s="31" t="s">
        <v>64</v>
      </c>
      <c r="D1100" s="31"/>
      <c r="E1100" s="31"/>
      <c r="F1100" s="31">
        <v>300</v>
      </c>
      <c r="G1100" s="31">
        <v>0</v>
      </c>
      <c r="H1100" s="31">
        <f t="shared" si="36"/>
        <v>-300</v>
      </c>
      <c r="I1100" s="31">
        <v>5032</v>
      </c>
      <c r="J1100" s="31">
        <f t="shared" si="37"/>
        <v>5</v>
      </c>
      <c r="K1100" s="31" t="s">
        <v>2742</v>
      </c>
      <c r="L1100" s="31" t="str">
        <f>I1100 &amp; "-" &amp;VLOOKUP(I1100,Střediska!$A$1:$B$40,2,FALSE)</f>
        <v>5032-Poplatky ČF</v>
      </c>
      <c r="M1100" s="32" t="str">
        <f>VLOOKUP(Zdroj!$I1100,Střediska!$A$1:$B$41,2,FALSE)</f>
        <v>Poplatky ČF</v>
      </c>
    </row>
    <row r="1101" spans="1:13" hidden="1" x14ac:dyDescent="0.2">
      <c r="A1101" s="33" t="s">
        <v>1323</v>
      </c>
      <c r="B1101" s="34" t="s">
        <v>2310</v>
      </c>
      <c r="C1101" s="34" t="s">
        <v>64</v>
      </c>
      <c r="D1101" s="34"/>
      <c r="E1101" s="34" t="s">
        <v>2263</v>
      </c>
      <c r="F1101" s="34">
        <v>500</v>
      </c>
      <c r="G1101" s="34">
        <v>0</v>
      </c>
      <c r="H1101" s="34">
        <f t="shared" si="36"/>
        <v>-500</v>
      </c>
      <c r="I1101" s="34">
        <v>5032</v>
      </c>
      <c r="J1101" s="34">
        <f t="shared" si="37"/>
        <v>5</v>
      </c>
      <c r="K1101" s="34" t="s">
        <v>2742</v>
      </c>
      <c r="L1101" s="34" t="str">
        <f>I1101 &amp; "-" &amp;VLOOKUP(I1101,Střediska!$A$1:$B$40,2,FALSE)</f>
        <v>5032-Poplatky ČF</v>
      </c>
      <c r="M1101" s="35" t="str">
        <f>VLOOKUP(Zdroj!$I1101,Střediska!$A$1:$B$41,2,FALSE)</f>
        <v>Poplatky ČF</v>
      </c>
    </row>
    <row r="1102" spans="1:13" hidden="1" x14ac:dyDescent="0.2">
      <c r="A1102" s="36" t="s">
        <v>2311</v>
      </c>
      <c r="B1102" s="31" t="s">
        <v>331</v>
      </c>
      <c r="C1102" s="31" t="s">
        <v>64</v>
      </c>
      <c r="D1102" s="31"/>
      <c r="E1102" s="31" t="s">
        <v>2229</v>
      </c>
      <c r="F1102" s="31">
        <v>300</v>
      </c>
      <c r="G1102" s="31">
        <v>0</v>
      </c>
      <c r="H1102" s="31">
        <f t="shared" si="36"/>
        <v>-300</v>
      </c>
      <c r="I1102" s="31">
        <v>5032</v>
      </c>
      <c r="J1102" s="31">
        <f t="shared" si="37"/>
        <v>5</v>
      </c>
      <c r="K1102" s="31" t="s">
        <v>2742</v>
      </c>
      <c r="L1102" s="31" t="str">
        <f>I1102 &amp; "-" &amp;VLOOKUP(I1102,Střediska!$A$1:$B$40,2,FALSE)</f>
        <v>5032-Poplatky ČF</v>
      </c>
      <c r="M1102" s="32" t="str">
        <f>VLOOKUP(Zdroj!$I1102,Střediska!$A$1:$B$41,2,FALSE)</f>
        <v>Poplatky ČF</v>
      </c>
    </row>
    <row r="1103" spans="1:13" hidden="1" x14ac:dyDescent="0.2">
      <c r="A1103" s="33" t="s">
        <v>2038</v>
      </c>
      <c r="B1103" s="34" t="s">
        <v>75</v>
      </c>
      <c r="C1103" s="34" t="s">
        <v>64</v>
      </c>
      <c r="D1103" s="34"/>
      <c r="E1103" s="34" t="s">
        <v>2233</v>
      </c>
      <c r="F1103" s="34">
        <v>750</v>
      </c>
      <c r="G1103" s="34">
        <v>0</v>
      </c>
      <c r="H1103" s="34">
        <f t="shared" si="36"/>
        <v>-750</v>
      </c>
      <c r="I1103" s="34">
        <v>5032</v>
      </c>
      <c r="J1103" s="34">
        <f t="shared" si="37"/>
        <v>5</v>
      </c>
      <c r="K1103" s="34" t="s">
        <v>2742</v>
      </c>
      <c r="L1103" s="34" t="str">
        <f>I1103 &amp; "-" &amp;VLOOKUP(I1103,Střediska!$A$1:$B$40,2,FALSE)</f>
        <v>5032-Poplatky ČF</v>
      </c>
      <c r="M1103" s="35" t="str">
        <f>VLOOKUP(Zdroj!$I1103,Střediska!$A$1:$B$41,2,FALSE)</f>
        <v>Poplatky ČF</v>
      </c>
    </row>
    <row r="1104" spans="1:13" hidden="1" x14ac:dyDescent="0.2">
      <c r="A1104" s="36" t="s">
        <v>1339</v>
      </c>
      <c r="B1104" s="31" t="s">
        <v>2312</v>
      </c>
      <c r="C1104" s="31" t="s">
        <v>64</v>
      </c>
      <c r="D1104" s="31"/>
      <c r="E1104" s="31" t="s">
        <v>2229</v>
      </c>
      <c r="F1104" s="31">
        <v>150</v>
      </c>
      <c r="G1104" s="31">
        <v>0</v>
      </c>
      <c r="H1104" s="31">
        <f t="shared" si="36"/>
        <v>-150</v>
      </c>
      <c r="I1104" s="31">
        <v>5032</v>
      </c>
      <c r="J1104" s="31">
        <f t="shared" si="37"/>
        <v>5</v>
      </c>
      <c r="K1104" s="31" t="s">
        <v>2742</v>
      </c>
      <c r="L1104" s="31" t="str">
        <f>I1104 &amp; "-" &amp;VLOOKUP(I1104,Střediska!$A$1:$B$40,2,FALSE)</f>
        <v>5032-Poplatky ČF</v>
      </c>
      <c r="M1104" s="32" t="str">
        <f>VLOOKUP(Zdroj!$I1104,Střediska!$A$1:$B$41,2,FALSE)</f>
        <v>Poplatky ČF</v>
      </c>
    </row>
    <row r="1105" spans="1:13" hidden="1" x14ac:dyDescent="0.2">
      <c r="A1105" s="33" t="s">
        <v>459</v>
      </c>
      <c r="B1105" s="34" t="s">
        <v>2314</v>
      </c>
      <c r="C1105" s="34" t="s">
        <v>64</v>
      </c>
      <c r="D1105" s="34"/>
      <c r="E1105" s="34" t="s">
        <v>2233</v>
      </c>
      <c r="F1105" s="34">
        <v>750</v>
      </c>
      <c r="G1105" s="34">
        <v>0</v>
      </c>
      <c r="H1105" s="34">
        <f t="shared" si="36"/>
        <v>-750</v>
      </c>
      <c r="I1105" s="34">
        <v>5032</v>
      </c>
      <c r="J1105" s="34">
        <f t="shared" si="37"/>
        <v>5</v>
      </c>
      <c r="K1105" s="34" t="s">
        <v>2742</v>
      </c>
      <c r="L1105" s="34" t="str">
        <f>I1105 &amp; "-" &amp;VLOOKUP(I1105,Střediska!$A$1:$B$40,2,FALSE)</f>
        <v>5032-Poplatky ČF</v>
      </c>
      <c r="M1105" s="35" t="str">
        <f>VLOOKUP(Zdroj!$I1105,Střediska!$A$1:$B$41,2,FALSE)</f>
        <v>Poplatky ČF</v>
      </c>
    </row>
    <row r="1106" spans="1:13" hidden="1" x14ac:dyDescent="0.2">
      <c r="A1106" s="36" t="s">
        <v>2087</v>
      </c>
      <c r="B1106" s="31" t="s">
        <v>2315</v>
      </c>
      <c r="C1106" s="31" t="s">
        <v>64</v>
      </c>
      <c r="D1106" s="31"/>
      <c r="E1106" s="31" t="s">
        <v>2316</v>
      </c>
      <c r="F1106" s="31">
        <v>250</v>
      </c>
      <c r="G1106" s="31">
        <v>0</v>
      </c>
      <c r="H1106" s="31">
        <f t="shared" si="36"/>
        <v>-250</v>
      </c>
      <c r="I1106" s="31">
        <v>5032</v>
      </c>
      <c r="J1106" s="31">
        <f t="shared" si="37"/>
        <v>5</v>
      </c>
      <c r="K1106" s="31" t="s">
        <v>2742</v>
      </c>
      <c r="L1106" s="31" t="str">
        <f>I1106 &amp; "-" &amp;VLOOKUP(I1106,Střediska!$A$1:$B$40,2,FALSE)</f>
        <v>5032-Poplatky ČF</v>
      </c>
      <c r="M1106" s="32" t="str">
        <f>VLOOKUP(Zdroj!$I1106,Střediska!$A$1:$B$41,2,FALSE)</f>
        <v>Poplatky ČF</v>
      </c>
    </row>
    <row r="1107" spans="1:13" hidden="1" x14ac:dyDescent="0.2">
      <c r="A1107" s="33" t="s">
        <v>2318</v>
      </c>
      <c r="B1107" s="34" t="s">
        <v>2317</v>
      </c>
      <c r="C1107" s="34" t="s">
        <v>64</v>
      </c>
      <c r="D1107" s="34"/>
      <c r="E1107" s="34" t="s">
        <v>2276</v>
      </c>
      <c r="F1107" s="34">
        <v>750</v>
      </c>
      <c r="G1107" s="34">
        <v>0</v>
      </c>
      <c r="H1107" s="34">
        <f t="shared" si="36"/>
        <v>-750</v>
      </c>
      <c r="I1107" s="34">
        <v>5032</v>
      </c>
      <c r="J1107" s="34">
        <f t="shared" si="37"/>
        <v>5</v>
      </c>
      <c r="K1107" s="34" t="s">
        <v>2742</v>
      </c>
      <c r="L1107" s="34" t="str">
        <f>I1107 &amp; "-" &amp;VLOOKUP(I1107,Střediska!$A$1:$B$40,2,FALSE)</f>
        <v>5032-Poplatky ČF</v>
      </c>
      <c r="M1107" s="35" t="str">
        <f>VLOOKUP(Zdroj!$I1107,Střediska!$A$1:$B$41,2,FALSE)</f>
        <v>Poplatky ČF</v>
      </c>
    </row>
    <row r="1108" spans="1:13" hidden="1" x14ac:dyDescent="0.2">
      <c r="A1108" s="36" t="s">
        <v>2320</v>
      </c>
      <c r="B1108" s="31" t="s">
        <v>2319</v>
      </c>
      <c r="C1108" s="31" t="s">
        <v>64</v>
      </c>
      <c r="D1108" s="31"/>
      <c r="E1108" s="31" t="s">
        <v>95</v>
      </c>
      <c r="F1108" s="31">
        <v>250</v>
      </c>
      <c r="G1108" s="31">
        <v>0</v>
      </c>
      <c r="H1108" s="31">
        <f t="shared" si="36"/>
        <v>-250</v>
      </c>
      <c r="I1108" s="31">
        <v>5032</v>
      </c>
      <c r="J1108" s="31">
        <f t="shared" si="37"/>
        <v>5</v>
      </c>
      <c r="K1108" s="31" t="s">
        <v>2742</v>
      </c>
      <c r="L1108" s="31" t="str">
        <f>I1108 &amp; "-" &amp;VLOOKUP(I1108,Střediska!$A$1:$B$40,2,FALSE)</f>
        <v>5032-Poplatky ČF</v>
      </c>
      <c r="M1108" s="32" t="str">
        <f>VLOOKUP(Zdroj!$I1108,Střediska!$A$1:$B$41,2,FALSE)</f>
        <v>Poplatky ČF</v>
      </c>
    </row>
    <row r="1109" spans="1:13" hidden="1" x14ac:dyDescent="0.2">
      <c r="A1109" s="33" t="s">
        <v>2322</v>
      </c>
      <c r="B1109" s="34" t="s">
        <v>2321</v>
      </c>
      <c r="C1109" s="34" t="s">
        <v>64</v>
      </c>
      <c r="D1109" s="34"/>
      <c r="E1109" s="34" t="s">
        <v>95</v>
      </c>
      <c r="F1109" s="34">
        <v>750</v>
      </c>
      <c r="G1109" s="34">
        <v>0</v>
      </c>
      <c r="H1109" s="34">
        <f t="shared" si="36"/>
        <v>-750</v>
      </c>
      <c r="I1109" s="34">
        <v>5032</v>
      </c>
      <c r="J1109" s="34">
        <f t="shared" si="37"/>
        <v>5</v>
      </c>
      <c r="K1109" s="34" t="s">
        <v>2742</v>
      </c>
      <c r="L1109" s="34" t="str">
        <f>I1109 &amp; "-" &amp;VLOOKUP(I1109,Střediska!$A$1:$B$40,2,FALSE)</f>
        <v>5032-Poplatky ČF</v>
      </c>
      <c r="M1109" s="35" t="str">
        <f>VLOOKUP(Zdroj!$I1109,Střediska!$A$1:$B$41,2,FALSE)</f>
        <v>Poplatky ČF</v>
      </c>
    </row>
    <row r="1110" spans="1:13" hidden="1" x14ac:dyDescent="0.2">
      <c r="A1110" s="36" t="s">
        <v>92</v>
      </c>
      <c r="B1110" s="31" t="s">
        <v>2328</v>
      </c>
      <c r="C1110" s="31" t="s">
        <v>19</v>
      </c>
      <c r="D1110" s="31"/>
      <c r="E1110" s="31" t="s">
        <v>2329</v>
      </c>
      <c r="F1110" s="31">
        <v>37956.880000000005</v>
      </c>
      <c r="G1110" s="31">
        <v>0</v>
      </c>
      <c r="H1110" s="31">
        <f t="shared" si="36"/>
        <v>-37956.880000000005</v>
      </c>
      <c r="I1110" s="31">
        <v>5051</v>
      </c>
      <c r="J1110" s="31">
        <f t="shared" si="37"/>
        <v>5</v>
      </c>
      <c r="K1110" s="31" t="s">
        <v>1966</v>
      </c>
      <c r="L1110" s="31" t="str">
        <f>I1110 &amp; "-" &amp;VLOOKUP(I1110,Střediska!$A$1:$B$40,2,FALSE)</f>
        <v>5051-Platby EOS</v>
      </c>
      <c r="M1110" s="32" t="str">
        <f>VLOOKUP(Zdroj!$I1110,Střediska!$A$1:$B$41,2,FALSE)</f>
        <v>Platby EOS</v>
      </c>
    </row>
    <row r="1111" spans="1:13" hidden="1" x14ac:dyDescent="0.2">
      <c r="A1111" s="33" t="s">
        <v>92</v>
      </c>
      <c r="B1111" s="34" t="s">
        <v>2330</v>
      </c>
      <c r="C1111" s="34" t="s">
        <v>106</v>
      </c>
      <c r="D1111" s="34" t="s">
        <v>2326</v>
      </c>
      <c r="E1111" s="34" t="s">
        <v>2331</v>
      </c>
      <c r="F1111" s="34">
        <v>938.55</v>
      </c>
      <c r="G1111" s="34">
        <v>0</v>
      </c>
      <c r="H1111" s="34">
        <f t="shared" si="36"/>
        <v>-938.55</v>
      </c>
      <c r="I1111" s="34">
        <v>5051</v>
      </c>
      <c r="J1111" s="34">
        <f t="shared" si="37"/>
        <v>5</v>
      </c>
      <c r="K1111" s="34" t="s">
        <v>1966</v>
      </c>
      <c r="L1111" s="34" t="str">
        <f>I1111 &amp; "-" &amp;VLOOKUP(I1111,Střediska!$A$1:$B$40,2,FALSE)</f>
        <v>5051-Platby EOS</v>
      </c>
      <c r="M1111" s="35" t="str">
        <f>VLOOKUP(Zdroj!$I1111,Střediska!$A$1:$B$41,2,FALSE)</f>
        <v>Platby EOS</v>
      </c>
    </row>
    <row r="1112" spans="1:13" hidden="1" x14ac:dyDescent="0.2">
      <c r="A1112" s="36" t="s">
        <v>1307</v>
      </c>
      <c r="B1112" s="31" t="s">
        <v>2325</v>
      </c>
      <c r="C1112" s="31" t="s">
        <v>106</v>
      </c>
      <c r="D1112" s="31" t="s">
        <v>2326</v>
      </c>
      <c r="E1112" s="31" t="s">
        <v>2327</v>
      </c>
      <c r="F1112" s="31">
        <v>4788</v>
      </c>
      <c r="G1112" s="31">
        <v>0</v>
      </c>
      <c r="H1112" s="31">
        <f t="shared" si="36"/>
        <v>-4788</v>
      </c>
      <c r="I1112" s="31">
        <v>5051</v>
      </c>
      <c r="J1112" s="31">
        <f t="shared" si="37"/>
        <v>5</v>
      </c>
      <c r="K1112" s="31" t="s">
        <v>1966</v>
      </c>
      <c r="L1112" s="31" t="str">
        <f>I1112 &amp; "-" &amp;VLOOKUP(I1112,Střediska!$A$1:$B$40,2,FALSE)</f>
        <v>5051-Platby EOS</v>
      </c>
      <c r="M1112" s="32" t="str">
        <f>VLOOKUP(Zdroj!$I1112,Střediska!$A$1:$B$41,2,FALSE)</f>
        <v>Platby EOS</v>
      </c>
    </row>
    <row r="1113" spans="1:13" hidden="1" x14ac:dyDescent="0.2">
      <c r="A1113" s="33" t="s">
        <v>967</v>
      </c>
      <c r="B1113" s="34" t="s">
        <v>2332</v>
      </c>
      <c r="C1113" s="34" t="s">
        <v>106</v>
      </c>
      <c r="D1113" s="34" t="s">
        <v>2333</v>
      </c>
      <c r="E1113" s="34" t="s">
        <v>2334</v>
      </c>
      <c r="F1113" s="34">
        <v>3812.7799999999997</v>
      </c>
      <c r="G1113" s="34">
        <v>0</v>
      </c>
      <c r="H1113" s="34">
        <f t="shared" si="36"/>
        <v>-3812.7799999999997</v>
      </c>
      <c r="I1113" s="34">
        <v>5051</v>
      </c>
      <c r="J1113" s="34">
        <f t="shared" si="37"/>
        <v>5</v>
      </c>
      <c r="K1113" s="34" t="s">
        <v>1966</v>
      </c>
      <c r="L1113" s="34" t="str">
        <f>I1113 &amp; "-" &amp;VLOOKUP(I1113,Střediska!$A$1:$B$40,2,FALSE)</f>
        <v>5051-Platby EOS</v>
      </c>
      <c r="M1113" s="35" t="str">
        <f>VLOOKUP(Zdroj!$I1113,Střediska!$A$1:$B$41,2,FALSE)</f>
        <v>Platby EOS</v>
      </c>
    </row>
    <row r="1114" spans="1:13" hidden="1" x14ac:dyDescent="0.2">
      <c r="A1114" s="36" t="s">
        <v>46</v>
      </c>
      <c r="B1114" s="31" t="s">
        <v>2335</v>
      </c>
      <c r="C1114" s="31" t="s">
        <v>106</v>
      </c>
      <c r="D1114" s="31" t="s">
        <v>2333</v>
      </c>
      <c r="E1114" s="31" t="s">
        <v>2334</v>
      </c>
      <c r="F1114" s="31">
        <v>8349</v>
      </c>
      <c r="G1114" s="31">
        <v>0</v>
      </c>
      <c r="H1114" s="31">
        <f t="shared" si="36"/>
        <v>-8349</v>
      </c>
      <c r="I1114" s="31">
        <v>5051</v>
      </c>
      <c r="J1114" s="31">
        <f t="shared" si="37"/>
        <v>5</v>
      </c>
      <c r="K1114" s="31" t="s">
        <v>1966</v>
      </c>
      <c r="L1114" s="31" t="str">
        <f>I1114 &amp; "-" &amp;VLOOKUP(I1114,Střediska!$A$1:$B$40,2,FALSE)</f>
        <v>5051-Platby EOS</v>
      </c>
      <c r="M1114" s="32" t="str">
        <f>VLOOKUP(Zdroj!$I1114,Střediska!$A$1:$B$41,2,FALSE)</f>
        <v>Platby EOS</v>
      </c>
    </row>
    <row r="1115" spans="1:13" hidden="1" x14ac:dyDescent="0.2">
      <c r="A1115" s="33" t="s">
        <v>958</v>
      </c>
      <c r="B1115" s="34" t="s">
        <v>2338</v>
      </c>
      <c r="C1115" s="34" t="s">
        <v>209</v>
      </c>
      <c r="D1115" s="34"/>
      <c r="E1115" s="34" t="s">
        <v>2184</v>
      </c>
      <c r="F1115" s="34">
        <v>288</v>
      </c>
      <c r="G1115" s="34">
        <v>0</v>
      </c>
      <c r="H1115" s="34">
        <f t="shared" si="36"/>
        <v>-288</v>
      </c>
      <c r="I1115" s="34">
        <v>5061</v>
      </c>
      <c r="J1115" s="34">
        <f t="shared" si="37"/>
        <v>5</v>
      </c>
      <c r="K1115" s="34" t="s">
        <v>1759</v>
      </c>
      <c r="L1115" s="34" t="str">
        <f>I1115 &amp; "-" &amp;VLOOKUP(I1115,Střediska!$A$1:$B$40,2,FALSE)</f>
        <v>5061-Haly</v>
      </c>
      <c r="M1115" s="35" t="str">
        <f>VLOOKUP(Zdroj!$I1115,Střediska!$A$1:$B$41,2,FALSE)</f>
        <v>Haly</v>
      </c>
    </row>
    <row r="1116" spans="1:13" hidden="1" x14ac:dyDescent="0.2">
      <c r="A1116" s="36" t="s">
        <v>2340</v>
      </c>
      <c r="B1116" s="31" t="s">
        <v>2339</v>
      </c>
      <c r="C1116" s="31" t="s">
        <v>106</v>
      </c>
      <c r="D1116" s="31" t="s">
        <v>2187</v>
      </c>
      <c r="E1116" s="31" t="s">
        <v>2341</v>
      </c>
      <c r="F1116" s="31">
        <v>1460</v>
      </c>
      <c r="G1116" s="31">
        <v>0</v>
      </c>
      <c r="H1116" s="31">
        <f t="shared" si="36"/>
        <v>-1460</v>
      </c>
      <c r="I1116" s="31">
        <v>5061</v>
      </c>
      <c r="J1116" s="31">
        <f t="shared" si="37"/>
        <v>5</v>
      </c>
      <c r="K1116" s="31" t="s">
        <v>748</v>
      </c>
      <c r="L1116" s="31" t="str">
        <f>I1116 &amp; "-" &amp;VLOOKUP(I1116,Střediska!$A$1:$B$40,2,FALSE)</f>
        <v>5061-Haly</v>
      </c>
      <c r="M1116" s="32" t="str">
        <f>VLOOKUP(Zdroj!$I1116,Střediska!$A$1:$B$41,2,FALSE)</f>
        <v>Haly</v>
      </c>
    </row>
    <row r="1117" spans="1:13" hidden="1" x14ac:dyDescent="0.2">
      <c r="A1117" s="33" t="s">
        <v>25</v>
      </c>
      <c r="B1117" s="34" t="s">
        <v>2342</v>
      </c>
      <c r="C1117" s="34" t="s">
        <v>106</v>
      </c>
      <c r="D1117" s="34" t="s">
        <v>2061</v>
      </c>
      <c r="E1117" s="34" t="s">
        <v>2343</v>
      </c>
      <c r="F1117" s="34">
        <v>46875</v>
      </c>
      <c r="G1117" s="34">
        <v>0</v>
      </c>
      <c r="H1117" s="34">
        <f t="shared" si="36"/>
        <v>-46875</v>
      </c>
      <c r="I1117" s="34">
        <v>5061</v>
      </c>
      <c r="J1117" s="34">
        <f t="shared" si="37"/>
        <v>5</v>
      </c>
      <c r="K1117" s="34" t="s">
        <v>17</v>
      </c>
      <c r="L1117" s="34" t="str">
        <f>I1117 &amp; "-" &amp;VLOOKUP(I1117,Střediska!$A$1:$B$40,2,FALSE)</f>
        <v>5061-Haly</v>
      </c>
      <c r="M1117" s="35" t="str">
        <f>VLOOKUP(Zdroj!$I1117,Střediska!$A$1:$B$41,2,FALSE)</f>
        <v>Haly</v>
      </c>
    </row>
    <row r="1118" spans="1:13" hidden="1" x14ac:dyDescent="0.2">
      <c r="A1118" s="36" t="s">
        <v>25</v>
      </c>
      <c r="B1118" s="31" t="s">
        <v>2344</v>
      </c>
      <c r="C1118" s="31" t="s">
        <v>106</v>
      </c>
      <c r="D1118" s="31" t="s">
        <v>2345</v>
      </c>
      <c r="E1118" s="31" t="s">
        <v>2346</v>
      </c>
      <c r="F1118" s="31">
        <v>14880</v>
      </c>
      <c r="G1118" s="31">
        <v>0</v>
      </c>
      <c r="H1118" s="31">
        <f t="shared" si="36"/>
        <v>-14880</v>
      </c>
      <c r="I1118" s="31">
        <v>5061</v>
      </c>
      <c r="J1118" s="31">
        <f t="shared" si="37"/>
        <v>5</v>
      </c>
      <c r="K1118" s="31" t="s">
        <v>17</v>
      </c>
      <c r="L1118" s="31" t="str">
        <f>I1118 &amp; "-" &amp;VLOOKUP(I1118,Střediska!$A$1:$B$40,2,FALSE)</f>
        <v>5061-Haly</v>
      </c>
      <c r="M1118" s="32" t="str">
        <f>VLOOKUP(Zdroj!$I1118,Střediska!$A$1:$B$41,2,FALSE)</f>
        <v>Haly</v>
      </c>
    </row>
    <row r="1119" spans="1:13" hidden="1" x14ac:dyDescent="0.2">
      <c r="A1119" s="33" t="s">
        <v>25</v>
      </c>
      <c r="B1119" s="34" t="s">
        <v>2347</v>
      </c>
      <c r="C1119" s="34" t="s">
        <v>106</v>
      </c>
      <c r="D1119" s="34" t="s">
        <v>2348</v>
      </c>
      <c r="E1119" s="34" t="s">
        <v>2346</v>
      </c>
      <c r="F1119" s="34">
        <v>3500</v>
      </c>
      <c r="G1119" s="34">
        <v>0</v>
      </c>
      <c r="H1119" s="34">
        <f t="shared" si="36"/>
        <v>-3500</v>
      </c>
      <c r="I1119" s="34">
        <v>5061</v>
      </c>
      <c r="J1119" s="34">
        <f t="shared" si="37"/>
        <v>5</v>
      </c>
      <c r="K1119" s="34" t="s">
        <v>17</v>
      </c>
      <c r="L1119" s="34" t="str">
        <f>I1119 &amp; "-" &amp;VLOOKUP(I1119,Střediska!$A$1:$B$40,2,FALSE)</f>
        <v>5061-Haly</v>
      </c>
      <c r="M1119" s="35" t="str">
        <f>VLOOKUP(Zdroj!$I1119,Střediska!$A$1:$B$41,2,FALSE)</f>
        <v>Haly</v>
      </c>
    </row>
    <row r="1120" spans="1:13" hidden="1" x14ac:dyDescent="0.2">
      <c r="A1120" s="36" t="s">
        <v>25</v>
      </c>
      <c r="B1120" s="31" t="s">
        <v>2349</v>
      </c>
      <c r="C1120" s="31" t="s">
        <v>106</v>
      </c>
      <c r="D1120" s="31" t="s">
        <v>2350</v>
      </c>
      <c r="E1120" s="31" t="s">
        <v>2351</v>
      </c>
      <c r="F1120" s="31">
        <v>25025</v>
      </c>
      <c r="G1120" s="31">
        <v>0</v>
      </c>
      <c r="H1120" s="31">
        <f t="shared" si="36"/>
        <v>-25025</v>
      </c>
      <c r="I1120" s="31">
        <v>5061</v>
      </c>
      <c r="J1120" s="31">
        <f t="shared" si="37"/>
        <v>5</v>
      </c>
      <c r="K1120" s="31" t="s">
        <v>17</v>
      </c>
      <c r="L1120" s="31" t="str">
        <f>I1120 &amp; "-" &amp;VLOOKUP(I1120,Střediska!$A$1:$B$40,2,FALSE)</f>
        <v>5061-Haly</v>
      </c>
      <c r="M1120" s="32" t="str">
        <f>VLOOKUP(Zdroj!$I1120,Střediska!$A$1:$B$41,2,FALSE)</f>
        <v>Haly</v>
      </c>
    </row>
    <row r="1121" spans="1:13" hidden="1" x14ac:dyDescent="0.2">
      <c r="A1121" s="33" t="s">
        <v>25</v>
      </c>
      <c r="B1121" s="34" t="s">
        <v>2352</v>
      </c>
      <c r="C1121" s="34" t="s">
        <v>106</v>
      </c>
      <c r="D1121" s="34" t="s">
        <v>2353</v>
      </c>
      <c r="E1121" s="34" t="s">
        <v>2346</v>
      </c>
      <c r="F1121" s="34">
        <v>8400</v>
      </c>
      <c r="G1121" s="34">
        <v>0</v>
      </c>
      <c r="H1121" s="34">
        <f t="shared" si="36"/>
        <v>-8400</v>
      </c>
      <c r="I1121" s="34">
        <v>5061</v>
      </c>
      <c r="J1121" s="34">
        <f t="shared" si="37"/>
        <v>5</v>
      </c>
      <c r="K1121" s="34" t="s">
        <v>17</v>
      </c>
      <c r="L1121" s="34" t="str">
        <f>I1121 &amp; "-" &amp;VLOOKUP(I1121,Střediska!$A$1:$B$40,2,FALSE)</f>
        <v>5061-Haly</v>
      </c>
      <c r="M1121" s="35" t="str">
        <f>VLOOKUP(Zdroj!$I1121,Střediska!$A$1:$B$41,2,FALSE)</f>
        <v>Haly</v>
      </c>
    </row>
    <row r="1122" spans="1:13" hidden="1" x14ac:dyDescent="0.2">
      <c r="A1122" s="36" t="s">
        <v>25</v>
      </c>
      <c r="B1122" s="31" t="s">
        <v>2354</v>
      </c>
      <c r="C1122" s="31" t="s">
        <v>106</v>
      </c>
      <c r="D1122" s="31" t="s">
        <v>2355</v>
      </c>
      <c r="E1122" s="31" t="s">
        <v>2356</v>
      </c>
      <c r="F1122" s="31">
        <v>61400</v>
      </c>
      <c r="G1122" s="31">
        <v>0</v>
      </c>
      <c r="H1122" s="31">
        <f t="shared" si="36"/>
        <v>-61400</v>
      </c>
      <c r="I1122" s="31">
        <v>5061</v>
      </c>
      <c r="J1122" s="31">
        <f t="shared" si="37"/>
        <v>5</v>
      </c>
      <c r="K1122" s="31" t="s">
        <v>17</v>
      </c>
      <c r="L1122" s="31" t="str">
        <f>I1122 &amp; "-" &amp;VLOOKUP(I1122,Střediska!$A$1:$B$40,2,FALSE)</f>
        <v>5061-Haly</v>
      </c>
      <c r="M1122" s="32" t="str">
        <f>VLOOKUP(Zdroj!$I1122,Střediska!$A$1:$B$41,2,FALSE)</f>
        <v>Haly</v>
      </c>
    </row>
    <row r="1123" spans="1:13" hidden="1" x14ac:dyDescent="0.2">
      <c r="A1123" s="33" t="s">
        <v>2358</v>
      </c>
      <c r="B1123" s="34" t="s">
        <v>2357</v>
      </c>
      <c r="C1123" s="34" t="s">
        <v>106</v>
      </c>
      <c r="D1123" s="34" t="s">
        <v>2345</v>
      </c>
      <c r="E1123" s="34" t="s">
        <v>2359</v>
      </c>
      <c r="F1123" s="34">
        <v>13440</v>
      </c>
      <c r="G1123" s="34">
        <v>0</v>
      </c>
      <c r="H1123" s="34">
        <f t="shared" si="36"/>
        <v>-13440</v>
      </c>
      <c r="I1123" s="34">
        <v>5061</v>
      </c>
      <c r="J1123" s="34">
        <f t="shared" si="37"/>
        <v>5</v>
      </c>
      <c r="K1123" s="34" t="s">
        <v>17</v>
      </c>
      <c r="L1123" s="34" t="str">
        <f>I1123 &amp; "-" &amp;VLOOKUP(I1123,Střediska!$A$1:$B$40,2,FALSE)</f>
        <v>5061-Haly</v>
      </c>
      <c r="M1123" s="35" t="str">
        <f>VLOOKUP(Zdroj!$I1123,Střediska!$A$1:$B$41,2,FALSE)</f>
        <v>Haly</v>
      </c>
    </row>
    <row r="1124" spans="1:13" hidden="1" x14ac:dyDescent="0.2">
      <c r="A1124" s="36" t="s">
        <v>28</v>
      </c>
      <c r="B1124" s="31" t="s">
        <v>2360</v>
      </c>
      <c r="C1124" s="31" t="s">
        <v>106</v>
      </c>
      <c r="D1124" s="31" t="s">
        <v>2348</v>
      </c>
      <c r="E1124" s="31" t="s">
        <v>2359</v>
      </c>
      <c r="F1124" s="31">
        <v>2625</v>
      </c>
      <c r="G1124" s="31">
        <v>0</v>
      </c>
      <c r="H1124" s="31">
        <f t="shared" si="36"/>
        <v>-2625</v>
      </c>
      <c r="I1124" s="31">
        <v>5061</v>
      </c>
      <c r="J1124" s="31">
        <f t="shared" si="37"/>
        <v>5</v>
      </c>
      <c r="K1124" s="31" t="s">
        <v>17</v>
      </c>
      <c r="L1124" s="31" t="str">
        <f>I1124 &amp; "-" &amp;VLOOKUP(I1124,Střediska!$A$1:$B$40,2,FALSE)</f>
        <v>5061-Haly</v>
      </c>
      <c r="M1124" s="32" t="str">
        <f>VLOOKUP(Zdroj!$I1124,Střediska!$A$1:$B$41,2,FALSE)</f>
        <v>Haly</v>
      </c>
    </row>
    <row r="1125" spans="1:13" hidden="1" x14ac:dyDescent="0.2">
      <c r="A1125" s="33" t="s">
        <v>28</v>
      </c>
      <c r="B1125" s="34" t="s">
        <v>2361</v>
      </c>
      <c r="C1125" s="34" t="s">
        <v>106</v>
      </c>
      <c r="D1125" s="34" t="s">
        <v>2061</v>
      </c>
      <c r="E1125" s="34" t="s">
        <v>2362</v>
      </c>
      <c r="F1125" s="34">
        <v>51375</v>
      </c>
      <c r="G1125" s="34">
        <v>0</v>
      </c>
      <c r="H1125" s="34">
        <f t="shared" si="36"/>
        <v>-51375</v>
      </c>
      <c r="I1125" s="34">
        <v>5061</v>
      </c>
      <c r="J1125" s="34">
        <f t="shared" si="37"/>
        <v>5</v>
      </c>
      <c r="K1125" s="34" t="s">
        <v>17</v>
      </c>
      <c r="L1125" s="34" t="str">
        <f>I1125 &amp; "-" &amp;VLOOKUP(I1125,Střediska!$A$1:$B$40,2,FALSE)</f>
        <v>5061-Haly</v>
      </c>
      <c r="M1125" s="35" t="str">
        <f>VLOOKUP(Zdroj!$I1125,Střediska!$A$1:$B$41,2,FALSE)</f>
        <v>Haly</v>
      </c>
    </row>
    <row r="1126" spans="1:13" hidden="1" x14ac:dyDescent="0.2">
      <c r="A1126" s="36" t="s">
        <v>28</v>
      </c>
      <c r="B1126" s="31" t="s">
        <v>2363</v>
      </c>
      <c r="C1126" s="31" t="s">
        <v>106</v>
      </c>
      <c r="D1126" s="31" t="s">
        <v>2353</v>
      </c>
      <c r="E1126" s="31" t="s">
        <v>2359</v>
      </c>
      <c r="F1126" s="31">
        <v>7200</v>
      </c>
      <c r="G1126" s="31">
        <v>0</v>
      </c>
      <c r="H1126" s="31">
        <f t="shared" si="36"/>
        <v>-7200</v>
      </c>
      <c r="I1126" s="31">
        <v>5061</v>
      </c>
      <c r="J1126" s="31">
        <f t="shared" si="37"/>
        <v>5</v>
      </c>
      <c r="K1126" s="31" t="s">
        <v>17</v>
      </c>
      <c r="L1126" s="31" t="str">
        <f>I1126 &amp; "-" &amp;VLOOKUP(I1126,Střediska!$A$1:$B$40,2,FALSE)</f>
        <v>5061-Haly</v>
      </c>
      <c r="M1126" s="32" t="str">
        <f>VLOOKUP(Zdroj!$I1126,Střediska!$A$1:$B$41,2,FALSE)</f>
        <v>Haly</v>
      </c>
    </row>
    <row r="1127" spans="1:13" hidden="1" x14ac:dyDescent="0.2">
      <c r="A1127" s="33" t="s">
        <v>28</v>
      </c>
      <c r="B1127" s="34" t="s">
        <v>2364</v>
      </c>
      <c r="C1127" s="34" t="s">
        <v>106</v>
      </c>
      <c r="D1127" s="34" t="s">
        <v>2355</v>
      </c>
      <c r="E1127" s="34" t="s">
        <v>2365</v>
      </c>
      <c r="F1127" s="34">
        <v>47200</v>
      </c>
      <c r="G1127" s="34">
        <v>0</v>
      </c>
      <c r="H1127" s="34">
        <f t="shared" si="36"/>
        <v>-47200</v>
      </c>
      <c r="I1127" s="34">
        <v>5061</v>
      </c>
      <c r="J1127" s="34">
        <f t="shared" si="37"/>
        <v>5</v>
      </c>
      <c r="K1127" s="34" t="s">
        <v>17</v>
      </c>
      <c r="L1127" s="34" t="str">
        <f>I1127 &amp; "-" &amp;VLOOKUP(I1127,Střediska!$A$1:$B$40,2,FALSE)</f>
        <v>5061-Haly</v>
      </c>
      <c r="M1127" s="35" t="str">
        <f>VLOOKUP(Zdroj!$I1127,Střediska!$A$1:$B$41,2,FALSE)</f>
        <v>Haly</v>
      </c>
    </row>
    <row r="1128" spans="1:13" hidden="1" x14ac:dyDescent="0.2">
      <c r="A1128" s="36" t="s">
        <v>28</v>
      </c>
      <c r="B1128" s="31" t="s">
        <v>2366</v>
      </c>
      <c r="C1128" s="31" t="s">
        <v>106</v>
      </c>
      <c r="D1128" s="31" t="s">
        <v>2350</v>
      </c>
      <c r="E1128" s="31" t="s">
        <v>2367</v>
      </c>
      <c r="F1128" s="31">
        <v>19987.5</v>
      </c>
      <c r="G1128" s="31">
        <v>0</v>
      </c>
      <c r="H1128" s="31">
        <f t="shared" si="36"/>
        <v>-19987.5</v>
      </c>
      <c r="I1128" s="31">
        <v>5061</v>
      </c>
      <c r="J1128" s="31">
        <f t="shared" si="37"/>
        <v>5</v>
      </c>
      <c r="K1128" s="31" t="s">
        <v>17</v>
      </c>
      <c r="L1128" s="31" t="str">
        <f>I1128 &amp; "-" &amp;VLOOKUP(I1128,Střediska!$A$1:$B$40,2,FALSE)</f>
        <v>5061-Haly</v>
      </c>
      <c r="M1128" s="32" t="str">
        <f>VLOOKUP(Zdroj!$I1128,Střediska!$A$1:$B$41,2,FALSE)</f>
        <v>Haly</v>
      </c>
    </row>
    <row r="1129" spans="1:13" hidden="1" x14ac:dyDescent="0.2">
      <c r="A1129" s="33" t="s">
        <v>31</v>
      </c>
      <c r="B1129" s="34" t="s">
        <v>2368</v>
      </c>
      <c r="C1129" s="34" t="s">
        <v>106</v>
      </c>
      <c r="D1129" s="34" t="s">
        <v>2348</v>
      </c>
      <c r="E1129" s="34" t="s">
        <v>2369</v>
      </c>
      <c r="F1129" s="34">
        <v>3500</v>
      </c>
      <c r="G1129" s="34">
        <v>0</v>
      </c>
      <c r="H1129" s="34">
        <f t="shared" si="36"/>
        <v>-3500</v>
      </c>
      <c r="I1129" s="34">
        <v>5061</v>
      </c>
      <c r="J1129" s="34">
        <f t="shared" si="37"/>
        <v>5</v>
      </c>
      <c r="K1129" s="34" t="s">
        <v>17</v>
      </c>
      <c r="L1129" s="34" t="str">
        <f>I1129 &amp; "-" &amp;VLOOKUP(I1129,Střediska!$A$1:$B$40,2,FALSE)</f>
        <v>5061-Haly</v>
      </c>
      <c r="M1129" s="35" t="str">
        <f>VLOOKUP(Zdroj!$I1129,Střediska!$A$1:$B$41,2,FALSE)</f>
        <v>Haly</v>
      </c>
    </row>
    <row r="1130" spans="1:13" hidden="1" x14ac:dyDescent="0.2">
      <c r="A1130" s="36" t="s">
        <v>31</v>
      </c>
      <c r="B1130" s="31" t="s">
        <v>2370</v>
      </c>
      <c r="C1130" s="31" t="s">
        <v>106</v>
      </c>
      <c r="D1130" s="31" t="s">
        <v>2355</v>
      </c>
      <c r="E1130" s="31" t="s">
        <v>2371</v>
      </c>
      <c r="F1130" s="31">
        <v>51900</v>
      </c>
      <c r="G1130" s="31">
        <v>0</v>
      </c>
      <c r="H1130" s="31">
        <f t="shared" si="36"/>
        <v>-51900</v>
      </c>
      <c r="I1130" s="31">
        <v>5061</v>
      </c>
      <c r="J1130" s="31">
        <f t="shared" si="37"/>
        <v>5</v>
      </c>
      <c r="K1130" s="31" t="s">
        <v>17</v>
      </c>
      <c r="L1130" s="31" t="str">
        <f>I1130 &amp; "-" &amp;VLOOKUP(I1130,Střediska!$A$1:$B$40,2,FALSE)</f>
        <v>5061-Haly</v>
      </c>
      <c r="M1130" s="32" t="str">
        <f>VLOOKUP(Zdroj!$I1130,Střediska!$A$1:$B$41,2,FALSE)</f>
        <v>Haly</v>
      </c>
    </row>
    <row r="1131" spans="1:13" hidden="1" x14ac:dyDescent="0.2">
      <c r="A1131" s="33" t="s">
        <v>31</v>
      </c>
      <c r="B1131" s="34" t="s">
        <v>2372</v>
      </c>
      <c r="C1131" s="34" t="s">
        <v>106</v>
      </c>
      <c r="D1131" s="34" t="s">
        <v>2353</v>
      </c>
      <c r="E1131" s="34" t="s">
        <v>2369</v>
      </c>
      <c r="F1131" s="34">
        <v>8400</v>
      </c>
      <c r="G1131" s="34">
        <v>0</v>
      </c>
      <c r="H1131" s="34">
        <f t="shared" si="36"/>
        <v>-8400</v>
      </c>
      <c r="I1131" s="34">
        <v>5061</v>
      </c>
      <c r="J1131" s="34">
        <f t="shared" si="37"/>
        <v>5</v>
      </c>
      <c r="K1131" s="34" t="s">
        <v>17</v>
      </c>
      <c r="L1131" s="34" t="str">
        <f>I1131 &amp; "-" &amp;VLOOKUP(I1131,Střediska!$A$1:$B$40,2,FALSE)</f>
        <v>5061-Haly</v>
      </c>
      <c r="M1131" s="35" t="str">
        <f>VLOOKUP(Zdroj!$I1131,Střediska!$A$1:$B$41,2,FALSE)</f>
        <v>Haly</v>
      </c>
    </row>
    <row r="1132" spans="1:13" hidden="1" x14ac:dyDescent="0.2">
      <c r="A1132" s="36" t="s">
        <v>31</v>
      </c>
      <c r="B1132" s="31" t="s">
        <v>2373</v>
      </c>
      <c r="C1132" s="31" t="s">
        <v>106</v>
      </c>
      <c r="D1132" s="31" t="s">
        <v>2345</v>
      </c>
      <c r="E1132" s="31" t="s">
        <v>2369</v>
      </c>
      <c r="F1132" s="31">
        <v>15360</v>
      </c>
      <c r="G1132" s="31">
        <v>0</v>
      </c>
      <c r="H1132" s="31">
        <f t="shared" si="36"/>
        <v>-15360</v>
      </c>
      <c r="I1132" s="31">
        <v>5061</v>
      </c>
      <c r="J1132" s="31">
        <f t="shared" si="37"/>
        <v>5</v>
      </c>
      <c r="K1132" s="31" t="s">
        <v>17</v>
      </c>
      <c r="L1132" s="31" t="str">
        <f>I1132 &amp; "-" &amp;VLOOKUP(I1132,Střediska!$A$1:$B$40,2,FALSE)</f>
        <v>5061-Haly</v>
      </c>
      <c r="M1132" s="32" t="str">
        <f>VLOOKUP(Zdroj!$I1132,Střediska!$A$1:$B$41,2,FALSE)</f>
        <v>Haly</v>
      </c>
    </row>
    <row r="1133" spans="1:13" hidden="1" x14ac:dyDescent="0.2">
      <c r="A1133" s="33" t="s">
        <v>31</v>
      </c>
      <c r="B1133" s="34" t="s">
        <v>2374</v>
      </c>
      <c r="C1133" s="34" t="s">
        <v>106</v>
      </c>
      <c r="D1133" s="34" t="s">
        <v>2350</v>
      </c>
      <c r="E1133" s="34" t="s">
        <v>2375</v>
      </c>
      <c r="F1133" s="34">
        <v>24050</v>
      </c>
      <c r="G1133" s="34">
        <v>0</v>
      </c>
      <c r="H1133" s="34">
        <f t="shared" si="36"/>
        <v>-24050</v>
      </c>
      <c r="I1133" s="34">
        <v>5061</v>
      </c>
      <c r="J1133" s="34">
        <f t="shared" si="37"/>
        <v>5</v>
      </c>
      <c r="K1133" s="34" t="s">
        <v>17</v>
      </c>
      <c r="L1133" s="34" t="str">
        <f>I1133 &amp; "-" &amp;VLOOKUP(I1133,Střediska!$A$1:$B$40,2,FALSE)</f>
        <v>5061-Haly</v>
      </c>
      <c r="M1133" s="35" t="str">
        <f>VLOOKUP(Zdroj!$I1133,Střediska!$A$1:$B$41,2,FALSE)</f>
        <v>Haly</v>
      </c>
    </row>
    <row r="1134" spans="1:13" hidden="1" x14ac:dyDescent="0.2">
      <c r="A1134" s="36" t="s">
        <v>31</v>
      </c>
      <c r="B1134" s="31" t="s">
        <v>2376</v>
      </c>
      <c r="C1134" s="31" t="s">
        <v>106</v>
      </c>
      <c r="D1134" s="31" t="s">
        <v>2061</v>
      </c>
      <c r="E1134" s="31" t="s">
        <v>2377</v>
      </c>
      <c r="F1134" s="31">
        <v>37500</v>
      </c>
      <c r="G1134" s="31">
        <v>0</v>
      </c>
      <c r="H1134" s="31">
        <f t="shared" si="36"/>
        <v>-37500</v>
      </c>
      <c r="I1134" s="31">
        <v>5061</v>
      </c>
      <c r="J1134" s="31">
        <f t="shared" si="37"/>
        <v>5</v>
      </c>
      <c r="K1134" s="31" t="s">
        <v>17</v>
      </c>
      <c r="L1134" s="31" t="str">
        <f>I1134 &amp; "-" &amp;VLOOKUP(I1134,Střediska!$A$1:$B$40,2,FALSE)</f>
        <v>5061-Haly</v>
      </c>
      <c r="M1134" s="32" t="str">
        <f>VLOOKUP(Zdroj!$I1134,Střediska!$A$1:$B$41,2,FALSE)</f>
        <v>Haly</v>
      </c>
    </row>
    <row r="1135" spans="1:13" hidden="1" x14ac:dyDescent="0.2">
      <c r="A1135" s="33" t="s">
        <v>601</v>
      </c>
      <c r="B1135" s="34" t="s">
        <v>2378</v>
      </c>
      <c r="C1135" s="34" t="s">
        <v>106</v>
      </c>
      <c r="D1135" s="34" t="s">
        <v>2350</v>
      </c>
      <c r="E1135" s="34" t="s">
        <v>2379</v>
      </c>
      <c r="F1135" s="34">
        <v>17062.5</v>
      </c>
      <c r="G1135" s="34">
        <v>0</v>
      </c>
      <c r="H1135" s="34">
        <f t="shared" si="36"/>
        <v>-17062.5</v>
      </c>
      <c r="I1135" s="34">
        <v>5061</v>
      </c>
      <c r="J1135" s="34">
        <f t="shared" si="37"/>
        <v>5</v>
      </c>
      <c r="K1135" s="34" t="s">
        <v>17</v>
      </c>
      <c r="L1135" s="34" t="str">
        <f>I1135 &amp; "-" &amp;VLOOKUP(I1135,Střediska!$A$1:$B$40,2,FALSE)</f>
        <v>5061-Haly</v>
      </c>
      <c r="M1135" s="35" t="str">
        <f>VLOOKUP(Zdroj!$I1135,Střediska!$A$1:$B$41,2,FALSE)</f>
        <v>Haly</v>
      </c>
    </row>
    <row r="1136" spans="1:13" hidden="1" x14ac:dyDescent="0.2">
      <c r="A1136" s="36" t="s">
        <v>601</v>
      </c>
      <c r="B1136" s="31" t="s">
        <v>2380</v>
      </c>
      <c r="C1136" s="31" t="s">
        <v>106</v>
      </c>
      <c r="D1136" s="31" t="s">
        <v>2345</v>
      </c>
      <c r="E1136" s="31" t="s">
        <v>2381</v>
      </c>
      <c r="F1136" s="31">
        <v>11040</v>
      </c>
      <c r="G1136" s="31">
        <v>0</v>
      </c>
      <c r="H1136" s="31">
        <f t="shared" si="36"/>
        <v>-11040</v>
      </c>
      <c r="I1136" s="31">
        <v>5061</v>
      </c>
      <c r="J1136" s="31">
        <f t="shared" si="37"/>
        <v>5</v>
      </c>
      <c r="K1136" s="31" t="s">
        <v>17</v>
      </c>
      <c r="L1136" s="31" t="str">
        <f>I1136 &amp; "-" &amp;VLOOKUP(I1136,Střediska!$A$1:$B$40,2,FALSE)</f>
        <v>5061-Haly</v>
      </c>
      <c r="M1136" s="32" t="str">
        <f>VLOOKUP(Zdroj!$I1136,Střediska!$A$1:$B$41,2,FALSE)</f>
        <v>Haly</v>
      </c>
    </row>
    <row r="1137" spans="1:13" hidden="1" x14ac:dyDescent="0.2">
      <c r="A1137" s="33" t="s">
        <v>34</v>
      </c>
      <c r="B1137" s="34" t="s">
        <v>2382</v>
      </c>
      <c r="C1137" s="34" t="s">
        <v>106</v>
      </c>
      <c r="D1137" s="34" t="s">
        <v>2353</v>
      </c>
      <c r="E1137" s="34" t="s">
        <v>2381</v>
      </c>
      <c r="F1137" s="34">
        <v>7400</v>
      </c>
      <c r="G1137" s="34">
        <v>0</v>
      </c>
      <c r="H1137" s="34">
        <f t="shared" si="36"/>
        <v>-7400</v>
      </c>
      <c r="I1137" s="34">
        <v>5061</v>
      </c>
      <c r="J1137" s="34">
        <f t="shared" si="37"/>
        <v>5</v>
      </c>
      <c r="K1137" s="34" t="s">
        <v>17</v>
      </c>
      <c r="L1137" s="34" t="str">
        <f>I1137 &amp; "-" &amp;VLOOKUP(I1137,Střediska!$A$1:$B$40,2,FALSE)</f>
        <v>5061-Haly</v>
      </c>
      <c r="M1137" s="35" t="str">
        <f>VLOOKUP(Zdroj!$I1137,Střediska!$A$1:$B$41,2,FALSE)</f>
        <v>Haly</v>
      </c>
    </row>
    <row r="1138" spans="1:13" hidden="1" x14ac:dyDescent="0.2">
      <c r="A1138" s="36" t="s">
        <v>34</v>
      </c>
      <c r="B1138" s="31" t="s">
        <v>2383</v>
      </c>
      <c r="C1138" s="31" t="s">
        <v>106</v>
      </c>
      <c r="D1138" s="31" t="s">
        <v>2061</v>
      </c>
      <c r="E1138" s="31" t="s">
        <v>2384</v>
      </c>
      <c r="F1138" s="31">
        <v>55875</v>
      </c>
      <c r="G1138" s="31">
        <v>0</v>
      </c>
      <c r="H1138" s="31">
        <f t="shared" si="36"/>
        <v>-55875</v>
      </c>
      <c r="I1138" s="31">
        <v>5061</v>
      </c>
      <c r="J1138" s="31">
        <f t="shared" si="37"/>
        <v>5</v>
      </c>
      <c r="K1138" s="31" t="s">
        <v>17</v>
      </c>
      <c r="L1138" s="31" t="str">
        <f>I1138 &amp; "-" &amp;VLOOKUP(I1138,Střediska!$A$1:$B$40,2,FALSE)</f>
        <v>5061-Haly</v>
      </c>
      <c r="M1138" s="32" t="str">
        <f>VLOOKUP(Zdroj!$I1138,Střediska!$A$1:$B$41,2,FALSE)</f>
        <v>Haly</v>
      </c>
    </row>
    <row r="1139" spans="1:13" hidden="1" x14ac:dyDescent="0.2">
      <c r="A1139" s="33" t="s">
        <v>34</v>
      </c>
      <c r="B1139" s="34" t="s">
        <v>2385</v>
      </c>
      <c r="C1139" s="34" t="s">
        <v>106</v>
      </c>
      <c r="D1139" s="34" t="s">
        <v>2348</v>
      </c>
      <c r="E1139" s="34" t="s">
        <v>2381</v>
      </c>
      <c r="F1139" s="34">
        <v>2625</v>
      </c>
      <c r="G1139" s="34">
        <v>0</v>
      </c>
      <c r="H1139" s="34">
        <f t="shared" si="36"/>
        <v>-2625</v>
      </c>
      <c r="I1139" s="34">
        <v>5061</v>
      </c>
      <c r="J1139" s="34">
        <f t="shared" si="37"/>
        <v>5</v>
      </c>
      <c r="K1139" s="34" t="s">
        <v>17</v>
      </c>
      <c r="L1139" s="34" t="str">
        <f>I1139 &amp; "-" &amp;VLOOKUP(I1139,Střediska!$A$1:$B$40,2,FALSE)</f>
        <v>5061-Haly</v>
      </c>
      <c r="M1139" s="35" t="str">
        <f>VLOOKUP(Zdroj!$I1139,Střediska!$A$1:$B$41,2,FALSE)</f>
        <v>Haly</v>
      </c>
    </row>
    <row r="1140" spans="1:13" hidden="1" x14ac:dyDescent="0.2">
      <c r="A1140" s="36" t="s">
        <v>34</v>
      </c>
      <c r="B1140" s="31" t="s">
        <v>2386</v>
      </c>
      <c r="C1140" s="31" t="s">
        <v>106</v>
      </c>
      <c r="D1140" s="31" t="s">
        <v>2355</v>
      </c>
      <c r="E1140" s="31" t="s">
        <v>2387</v>
      </c>
      <c r="F1140" s="31">
        <v>9000</v>
      </c>
      <c r="G1140" s="31">
        <v>0</v>
      </c>
      <c r="H1140" s="31">
        <f t="shared" si="36"/>
        <v>-9000</v>
      </c>
      <c r="I1140" s="31">
        <v>5061</v>
      </c>
      <c r="J1140" s="31">
        <f t="shared" si="37"/>
        <v>5</v>
      </c>
      <c r="K1140" s="31" t="s">
        <v>17</v>
      </c>
      <c r="L1140" s="31" t="str">
        <f>I1140 &amp; "-" &amp;VLOOKUP(I1140,Střediska!$A$1:$B$40,2,FALSE)</f>
        <v>5061-Haly</v>
      </c>
      <c r="M1140" s="32" t="str">
        <f>VLOOKUP(Zdroj!$I1140,Střediska!$A$1:$B$41,2,FALSE)</f>
        <v>Haly</v>
      </c>
    </row>
    <row r="1141" spans="1:13" hidden="1" x14ac:dyDescent="0.2">
      <c r="A1141" s="33" t="s">
        <v>1167</v>
      </c>
      <c r="B1141" s="34" t="s">
        <v>2388</v>
      </c>
      <c r="C1141" s="34" t="s">
        <v>106</v>
      </c>
      <c r="D1141" s="34" t="s">
        <v>2345</v>
      </c>
      <c r="E1141" s="34" t="s">
        <v>2389</v>
      </c>
      <c r="F1141" s="34">
        <v>10080</v>
      </c>
      <c r="G1141" s="34">
        <v>0</v>
      </c>
      <c r="H1141" s="34">
        <f t="shared" si="36"/>
        <v>-10080</v>
      </c>
      <c r="I1141" s="34">
        <v>5061</v>
      </c>
      <c r="J1141" s="34">
        <f t="shared" si="37"/>
        <v>5</v>
      </c>
      <c r="K1141" s="34" t="s">
        <v>17</v>
      </c>
      <c r="L1141" s="34" t="str">
        <f>I1141 &amp; "-" &amp;VLOOKUP(I1141,Střediska!$A$1:$B$40,2,FALSE)</f>
        <v>5061-Haly</v>
      </c>
      <c r="M1141" s="35" t="str">
        <f>VLOOKUP(Zdroj!$I1141,Střediska!$A$1:$B$41,2,FALSE)</f>
        <v>Haly</v>
      </c>
    </row>
    <row r="1142" spans="1:13" hidden="1" x14ac:dyDescent="0.2">
      <c r="A1142" s="36" t="s">
        <v>37</v>
      </c>
      <c r="B1142" s="31" t="s">
        <v>2390</v>
      </c>
      <c r="C1142" s="31" t="s">
        <v>106</v>
      </c>
      <c r="D1142" s="31" t="s">
        <v>2353</v>
      </c>
      <c r="E1142" s="31" t="s">
        <v>2389</v>
      </c>
      <c r="F1142" s="31">
        <v>6600</v>
      </c>
      <c r="G1142" s="31">
        <v>0</v>
      </c>
      <c r="H1142" s="31">
        <f t="shared" si="36"/>
        <v>-6600</v>
      </c>
      <c r="I1142" s="31">
        <v>5061</v>
      </c>
      <c r="J1142" s="31">
        <f t="shared" si="37"/>
        <v>5</v>
      </c>
      <c r="K1142" s="31" t="s">
        <v>17</v>
      </c>
      <c r="L1142" s="31" t="str">
        <f>I1142 &amp; "-" &amp;VLOOKUP(I1142,Střediska!$A$1:$B$40,2,FALSE)</f>
        <v>5061-Haly</v>
      </c>
      <c r="M1142" s="32" t="str">
        <f>VLOOKUP(Zdroj!$I1142,Střediska!$A$1:$B$41,2,FALSE)</f>
        <v>Haly</v>
      </c>
    </row>
    <row r="1143" spans="1:13" hidden="1" x14ac:dyDescent="0.2">
      <c r="A1143" s="33" t="s">
        <v>37</v>
      </c>
      <c r="B1143" s="34" t="s">
        <v>2391</v>
      </c>
      <c r="C1143" s="34" t="s">
        <v>106</v>
      </c>
      <c r="D1143" s="34" t="s">
        <v>2355</v>
      </c>
      <c r="E1143" s="34" t="s">
        <v>2392</v>
      </c>
      <c r="F1143" s="34">
        <v>15575</v>
      </c>
      <c r="G1143" s="34">
        <v>0</v>
      </c>
      <c r="H1143" s="34">
        <f t="shared" si="36"/>
        <v>-15575</v>
      </c>
      <c r="I1143" s="34">
        <v>5061</v>
      </c>
      <c r="J1143" s="34">
        <f t="shared" si="37"/>
        <v>5</v>
      </c>
      <c r="K1143" s="34" t="s">
        <v>17</v>
      </c>
      <c r="L1143" s="34" t="str">
        <f>I1143 &amp; "-" &amp;VLOOKUP(I1143,Střediska!$A$1:$B$40,2,FALSE)</f>
        <v>5061-Haly</v>
      </c>
      <c r="M1143" s="35" t="str">
        <f>VLOOKUP(Zdroj!$I1143,Střediska!$A$1:$B$41,2,FALSE)</f>
        <v>Haly</v>
      </c>
    </row>
    <row r="1144" spans="1:13" hidden="1" x14ac:dyDescent="0.2">
      <c r="A1144" s="36" t="s">
        <v>37</v>
      </c>
      <c r="B1144" s="31" t="s">
        <v>2393</v>
      </c>
      <c r="C1144" s="31" t="s">
        <v>106</v>
      </c>
      <c r="D1144" s="31" t="s">
        <v>2061</v>
      </c>
      <c r="E1144" s="31" t="s">
        <v>2394</v>
      </c>
      <c r="F1144" s="31">
        <v>16875</v>
      </c>
      <c r="G1144" s="31">
        <v>0</v>
      </c>
      <c r="H1144" s="31">
        <f t="shared" si="36"/>
        <v>-16875</v>
      </c>
      <c r="I1144" s="31">
        <v>5061</v>
      </c>
      <c r="J1144" s="31">
        <f t="shared" si="37"/>
        <v>5</v>
      </c>
      <c r="K1144" s="31" t="s">
        <v>17</v>
      </c>
      <c r="L1144" s="31" t="str">
        <f>I1144 &amp; "-" &amp;VLOOKUP(I1144,Střediska!$A$1:$B$40,2,FALSE)</f>
        <v>5061-Haly</v>
      </c>
      <c r="M1144" s="32" t="str">
        <f>VLOOKUP(Zdroj!$I1144,Střediska!$A$1:$B$41,2,FALSE)</f>
        <v>Haly</v>
      </c>
    </row>
    <row r="1145" spans="1:13" hidden="1" x14ac:dyDescent="0.2">
      <c r="A1145" s="33" t="s">
        <v>2224</v>
      </c>
      <c r="B1145" s="34" t="s">
        <v>2395</v>
      </c>
      <c r="C1145" s="34" t="s">
        <v>106</v>
      </c>
      <c r="D1145" s="34" t="s">
        <v>2345</v>
      </c>
      <c r="E1145" s="34" t="s">
        <v>2396</v>
      </c>
      <c r="F1145" s="34">
        <v>5760</v>
      </c>
      <c r="G1145" s="34">
        <v>0</v>
      </c>
      <c r="H1145" s="34">
        <f t="shared" si="36"/>
        <v>-5760</v>
      </c>
      <c r="I1145" s="34">
        <v>5061</v>
      </c>
      <c r="J1145" s="34">
        <f t="shared" si="37"/>
        <v>5</v>
      </c>
      <c r="K1145" s="34" t="s">
        <v>17</v>
      </c>
      <c r="L1145" s="34" t="str">
        <f>I1145 &amp; "-" &amp;VLOOKUP(I1145,Střediska!$A$1:$B$40,2,FALSE)</f>
        <v>5061-Haly</v>
      </c>
      <c r="M1145" s="35" t="str">
        <f>VLOOKUP(Zdroj!$I1145,Střediska!$A$1:$B$41,2,FALSE)</f>
        <v>Haly</v>
      </c>
    </row>
    <row r="1146" spans="1:13" hidden="1" x14ac:dyDescent="0.2">
      <c r="A1146" s="36" t="s">
        <v>40</v>
      </c>
      <c r="B1146" s="31" t="s">
        <v>2397</v>
      </c>
      <c r="C1146" s="31" t="s">
        <v>106</v>
      </c>
      <c r="D1146" s="31" t="s">
        <v>2355</v>
      </c>
      <c r="E1146" s="31" t="s">
        <v>2398</v>
      </c>
      <c r="F1146" s="31">
        <v>12000</v>
      </c>
      <c r="G1146" s="31">
        <v>0</v>
      </c>
      <c r="H1146" s="31">
        <f t="shared" si="36"/>
        <v>-12000</v>
      </c>
      <c r="I1146" s="31">
        <v>5061</v>
      </c>
      <c r="J1146" s="31">
        <f t="shared" si="37"/>
        <v>5</v>
      </c>
      <c r="K1146" s="31" t="s">
        <v>17</v>
      </c>
      <c r="L1146" s="31" t="str">
        <f>I1146 &amp; "-" &amp;VLOOKUP(I1146,Střediska!$A$1:$B$40,2,FALSE)</f>
        <v>5061-Haly</v>
      </c>
      <c r="M1146" s="32" t="str">
        <f>VLOOKUP(Zdroj!$I1146,Střediska!$A$1:$B$41,2,FALSE)</f>
        <v>Haly</v>
      </c>
    </row>
    <row r="1147" spans="1:13" hidden="1" x14ac:dyDescent="0.2">
      <c r="A1147" s="33" t="s">
        <v>40</v>
      </c>
      <c r="B1147" s="34" t="s">
        <v>2399</v>
      </c>
      <c r="C1147" s="34" t="s">
        <v>106</v>
      </c>
      <c r="D1147" s="34" t="s">
        <v>2061</v>
      </c>
      <c r="E1147" s="34" t="s">
        <v>2400</v>
      </c>
      <c r="F1147" s="34">
        <v>18000</v>
      </c>
      <c r="G1147" s="34">
        <v>0</v>
      </c>
      <c r="H1147" s="34">
        <f t="shared" si="36"/>
        <v>-18000</v>
      </c>
      <c r="I1147" s="34">
        <v>5061</v>
      </c>
      <c r="J1147" s="34">
        <f t="shared" si="37"/>
        <v>5</v>
      </c>
      <c r="K1147" s="34" t="s">
        <v>17</v>
      </c>
      <c r="L1147" s="34" t="str">
        <f>I1147 &amp; "-" &amp;VLOOKUP(I1147,Střediska!$A$1:$B$40,2,FALSE)</f>
        <v>5061-Haly</v>
      </c>
      <c r="M1147" s="35" t="str">
        <f>VLOOKUP(Zdroj!$I1147,Střediska!$A$1:$B$41,2,FALSE)</f>
        <v>Haly</v>
      </c>
    </row>
    <row r="1148" spans="1:13" hidden="1" x14ac:dyDescent="0.2">
      <c r="A1148" s="36" t="s">
        <v>40</v>
      </c>
      <c r="B1148" s="31" t="s">
        <v>2401</v>
      </c>
      <c r="C1148" s="31" t="s">
        <v>106</v>
      </c>
      <c r="D1148" s="31" t="s">
        <v>2353</v>
      </c>
      <c r="E1148" s="31" t="s">
        <v>2396</v>
      </c>
      <c r="F1148" s="31">
        <v>3600</v>
      </c>
      <c r="G1148" s="31">
        <v>0</v>
      </c>
      <c r="H1148" s="31">
        <f t="shared" si="36"/>
        <v>-3600</v>
      </c>
      <c r="I1148" s="31">
        <v>5061</v>
      </c>
      <c r="J1148" s="31">
        <f t="shared" si="37"/>
        <v>5</v>
      </c>
      <c r="K1148" s="31" t="s">
        <v>17</v>
      </c>
      <c r="L1148" s="31" t="str">
        <f>I1148 &amp; "-" &amp;VLOOKUP(I1148,Střediska!$A$1:$B$40,2,FALSE)</f>
        <v>5061-Haly</v>
      </c>
      <c r="M1148" s="32" t="str">
        <f>VLOOKUP(Zdroj!$I1148,Střediska!$A$1:$B$41,2,FALSE)</f>
        <v>Haly</v>
      </c>
    </row>
    <row r="1149" spans="1:13" hidden="1" x14ac:dyDescent="0.2">
      <c r="A1149" s="33" t="s">
        <v>46</v>
      </c>
      <c r="B1149" s="34" t="s">
        <v>2402</v>
      </c>
      <c r="C1149" s="34" t="s">
        <v>106</v>
      </c>
      <c r="D1149" s="34" t="s">
        <v>2355</v>
      </c>
      <c r="E1149" s="34" t="s">
        <v>2403</v>
      </c>
      <c r="F1149" s="34">
        <v>16500</v>
      </c>
      <c r="G1149" s="34">
        <v>0</v>
      </c>
      <c r="H1149" s="34">
        <f t="shared" si="36"/>
        <v>-16500</v>
      </c>
      <c r="I1149" s="34">
        <v>5061</v>
      </c>
      <c r="J1149" s="34">
        <f t="shared" si="37"/>
        <v>5</v>
      </c>
      <c r="K1149" s="34" t="s">
        <v>17</v>
      </c>
      <c r="L1149" s="34" t="str">
        <f>I1149 &amp; "-" &amp;VLOOKUP(I1149,Střediska!$A$1:$B$40,2,FALSE)</f>
        <v>5061-Haly</v>
      </c>
      <c r="M1149" s="35" t="str">
        <f>VLOOKUP(Zdroj!$I1149,Střediska!$A$1:$B$41,2,FALSE)</f>
        <v>Haly</v>
      </c>
    </row>
    <row r="1150" spans="1:13" hidden="1" x14ac:dyDescent="0.2">
      <c r="A1150" s="36" t="s">
        <v>46</v>
      </c>
      <c r="B1150" s="31" t="s">
        <v>2404</v>
      </c>
      <c r="C1150" s="31" t="s">
        <v>106</v>
      </c>
      <c r="D1150" s="31" t="s">
        <v>2355</v>
      </c>
      <c r="E1150" s="31" t="s">
        <v>2405</v>
      </c>
      <c r="F1150" s="31">
        <v>9000</v>
      </c>
      <c r="G1150" s="31">
        <v>0</v>
      </c>
      <c r="H1150" s="31">
        <f t="shared" si="36"/>
        <v>-9000</v>
      </c>
      <c r="I1150" s="31">
        <v>5061</v>
      </c>
      <c r="J1150" s="31">
        <f t="shared" si="37"/>
        <v>5</v>
      </c>
      <c r="K1150" s="31" t="s">
        <v>17</v>
      </c>
      <c r="L1150" s="31" t="str">
        <f>I1150 &amp; "-" &amp;VLOOKUP(I1150,Střediska!$A$1:$B$40,2,FALSE)</f>
        <v>5061-Haly</v>
      </c>
      <c r="M1150" s="32" t="str">
        <f>VLOOKUP(Zdroj!$I1150,Střediska!$A$1:$B$41,2,FALSE)</f>
        <v>Haly</v>
      </c>
    </row>
    <row r="1151" spans="1:13" hidden="1" x14ac:dyDescent="0.2">
      <c r="A1151" s="33" t="s">
        <v>481</v>
      </c>
      <c r="B1151" s="34" t="s">
        <v>2406</v>
      </c>
      <c r="C1151" s="34" t="s">
        <v>106</v>
      </c>
      <c r="D1151" s="34" t="s">
        <v>2350</v>
      </c>
      <c r="E1151" s="34" t="s">
        <v>2407</v>
      </c>
      <c r="F1151" s="34">
        <v>35425</v>
      </c>
      <c r="G1151" s="34">
        <v>0</v>
      </c>
      <c r="H1151" s="34">
        <f t="shared" si="36"/>
        <v>-35425</v>
      </c>
      <c r="I1151" s="34">
        <v>5061</v>
      </c>
      <c r="J1151" s="34">
        <f t="shared" si="37"/>
        <v>5</v>
      </c>
      <c r="K1151" s="34" t="s">
        <v>17</v>
      </c>
      <c r="L1151" s="34" t="str">
        <f>I1151 &amp; "-" &amp;VLOOKUP(I1151,Střediska!$A$1:$B$40,2,FALSE)</f>
        <v>5061-Haly</v>
      </c>
      <c r="M1151" s="35" t="str">
        <f>VLOOKUP(Zdroj!$I1151,Střediska!$A$1:$B$41,2,FALSE)</f>
        <v>Haly</v>
      </c>
    </row>
    <row r="1152" spans="1:13" hidden="1" x14ac:dyDescent="0.2">
      <c r="A1152" s="36" t="s">
        <v>49</v>
      </c>
      <c r="B1152" s="31" t="s">
        <v>2408</v>
      </c>
      <c r="C1152" s="31" t="s">
        <v>106</v>
      </c>
      <c r="D1152" s="31" t="s">
        <v>2345</v>
      </c>
      <c r="E1152" s="31" t="s">
        <v>2409</v>
      </c>
      <c r="F1152" s="31">
        <v>8640</v>
      </c>
      <c r="G1152" s="31">
        <v>0</v>
      </c>
      <c r="H1152" s="31">
        <f t="shared" si="36"/>
        <v>-8640</v>
      </c>
      <c r="I1152" s="31">
        <v>5061</v>
      </c>
      <c r="J1152" s="31">
        <f t="shared" si="37"/>
        <v>5</v>
      </c>
      <c r="K1152" s="31" t="s">
        <v>17</v>
      </c>
      <c r="L1152" s="31" t="str">
        <f>I1152 &amp; "-" &amp;VLOOKUP(I1152,Střediska!$A$1:$B$40,2,FALSE)</f>
        <v>5061-Haly</v>
      </c>
      <c r="M1152" s="32" t="str">
        <f>VLOOKUP(Zdroj!$I1152,Střediska!$A$1:$B$41,2,FALSE)</f>
        <v>Haly</v>
      </c>
    </row>
    <row r="1153" spans="1:13" hidden="1" x14ac:dyDescent="0.2">
      <c r="A1153" s="33" t="s">
        <v>49</v>
      </c>
      <c r="B1153" s="34" t="s">
        <v>2410</v>
      </c>
      <c r="C1153" s="34" t="s">
        <v>106</v>
      </c>
      <c r="D1153" s="34" t="s">
        <v>2353</v>
      </c>
      <c r="E1153" s="34" t="s">
        <v>2409</v>
      </c>
      <c r="F1153" s="34">
        <v>6720</v>
      </c>
      <c r="G1153" s="34">
        <v>0</v>
      </c>
      <c r="H1153" s="34">
        <f t="shared" si="36"/>
        <v>-6720</v>
      </c>
      <c r="I1153" s="34">
        <v>5061</v>
      </c>
      <c r="J1153" s="34">
        <f t="shared" si="37"/>
        <v>5</v>
      </c>
      <c r="K1153" s="34" t="s">
        <v>17</v>
      </c>
      <c r="L1153" s="34" t="str">
        <f>I1153 &amp; "-" &amp;VLOOKUP(I1153,Střediska!$A$1:$B$40,2,FALSE)</f>
        <v>5061-Haly</v>
      </c>
      <c r="M1153" s="35" t="str">
        <f>VLOOKUP(Zdroj!$I1153,Střediska!$A$1:$B$41,2,FALSE)</f>
        <v>Haly</v>
      </c>
    </row>
    <row r="1154" spans="1:13" hidden="1" x14ac:dyDescent="0.2">
      <c r="A1154" s="36" t="s">
        <v>49</v>
      </c>
      <c r="B1154" s="31" t="s">
        <v>2411</v>
      </c>
      <c r="C1154" s="31" t="s">
        <v>106</v>
      </c>
      <c r="D1154" s="31" t="s">
        <v>2061</v>
      </c>
      <c r="E1154" s="31" t="s">
        <v>2412</v>
      </c>
      <c r="F1154" s="31">
        <v>62250</v>
      </c>
      <c r="G1154" s="31">
        <v>0</v>
      </c>
      <c r="H1154" s="31">
        <f t="shared" si="36"/>
        <v>-62250</v>
      </c>
      <c r="I1154" s="31">
        <v>5061</v>
      </c>
      <c r="J1154" s="31">
        <f t="shared" si="37"/>
        <v>5</v>
      </c>
      <c r="K1154" s="31" t="s">
        <v>17</v>
      </c>
      <c r="L1154" s="31" t="str">
        <f>I1154 &amp; "-" &amp;VLOOKUP(I1154,Střediska!$A$1:$B$40,2,FALSE)</f>
        <v>5061-Haly</v>
      </c>
      <c r="M1154" s="32" t="str">
        <f>VLOOKUP(Zdroj!$I1154,Střediska!$A$1:$B$41,2,FALSE)</f>
        <v>Haly</v>
      </c>
    </row>
    <row r="1155" spans="1:13" hidden="1" x14ac:dyDescent="0.2">
      <c r="A1155" s="33" t="s">
        <v>49</v>
      </c>
      <c r="B1155" s="34" t="s">
        <v>2413</v>
      </c>
      <c r="C1155" s="34" t="s">
        <v>106</v>
      </c>
      <c r="D1155" s="34" t="s">
        <v>2355</v>
      </c>
      <c r="E1155" s="34" t="s">
        <v>2414</v>
      </c>
      <c r="F1155" s="34">
        <v>47700</v>
      </c>
      <c r="G1155" s="34">
        <v>0</v>
      </c>
      <c r="H1155" s="34">
        <f t="shared" si="36"/>
        <v>-47700</v>
      </c>
      <c r="I1155" s="34">
        <v>5061</v>
      </c>
      <c r="J1155" s="34">
        <f t="shared" si="37"/>
        <v>5</v>
      </c>
      <c r="K1155" s="34" t="s">
        <v>17</v>
      </c>
      <c r="L1155" s="34" t="str">
        <f>I1155 &amp; "-" &amp;VLOOKUP(I1155,Střediska!$A$1:$B$40,2,FALSE)</f>
        <v>5061-Haly</v>
      </c>
      <c r="M1155" s="35" t="str">
        <f>VLOOKUP(Zdroj!$I1155,Střediska!$A$1:$B$41,2,FALSE)</f>
        <v>Haly</v>
      </c>
    </row>
    <row r="1156" spans="1:13" hidden="1" x14ac:dyDescent="0.2">
      <c r="A1156" s="36" t="s">
        <v>49</v>
      </c>
      <c r="B1156" s="31" t="s">
        <v>2415</v>
      </c>
      <c r="C1156" s="31" t="s">
        <v>106</v>
      </c>
      <c r="D1156" s="31" t="s">
        <v>2348</v>
      </c>
      <c r="E1156" s="31" t="s">
        <v>2409</v>
      </c>
      <c r="F1156" s="31">
        <v>6425</v>
      </c>
      <c r="G1156" s="31">
        <v>0</v>
      </c>
      <c r="H1156" s="31">
        <f t="shared" si="36"/>
        <v>-6425</v>
      </c>
      <c r="I1156" s="31">
        <v>5061</v>
      </c>
      <c r="J1156" s="31">
        <f t="shared" si="37"/>
        <v>5</v>
      </c>
      <c r="K1156" s="31" t="s">
        <v>17</v>
      </c>
      <c r="L1156" s="31" t="str">
        <f>I1156 &amp; "-" &amp;VLOOKUP(I1156,Střediska!$A$1:$B$40,2,FALSE)</f>
        <v>5061-Haly</v>
      </c>
      <c r="M1156" s="32" t="str">
        <f>VLOOKUP(Zdroj!$I1156,Střediska!$A$1:$B$41,2,FALSE)</f>
        <v>Haly</v>
      </c>
    </row>
    <row r="1157" spans="1:13" hidden="1" x14ac:dyDescent="0.2">
      <c r="A1157" s="33" t="s">
        <v>52</v>
      </c>
      <c r="B1157" s="34" t="s">
        <v>2416</v>
      </c>
      <c r="C1157" s="34" t="s">
        <v>106</v>
      </c>
      <c r="D1157" s="34" t="s">
        <v>2350</v>
      </c>
      <c r="E1157" s="34" t="s">
        <v>2417</v>
      </c>
      <c r="F1157" s="34">
        <v>35587.5</v>
      </c>
      <c r="G1157" s="34">
        <v>0</v>
      </c>
      <c r="H1157" s="34">
        <f t="shared" si="36"/>
        <v>-35587.5</v>
      </c>
      <c r="I1157" s="34">
        <v>5061</v>
      </c>
      <c r="J1157" s="34">
        <f t="shared" si="37"/>
        <v>5</v>
      </c>
      <c r="K1157" s="34" t="s">
        <v>17</v>
      </c>
      <c r="L1157" s="34" t="str">
        <f>I1157 &amp; "-" &amp;VLOOKUP(I1157,Střediska!$A$1:$B$40,2,FALSE)</f>
        <v>5061-Haly</v>
      </c>
      <c r="M1157" s="35" t="str">
        <f>VLOOKUP(Zdroj!$I1157,Střediska!$A$1:$B$41,2,FALSE)</f>
        <v>Haly</v>
      </c>
    </row>
    <row r="1158" spans="1:13" hidden="1" x14ac:dyDescent="0.2">
      <c r="A1158" s="36" t="s">
        <v>52</v>
      </c>
      <c r="B1158" s="31" t="s">
        <v>2418</v>
      </c>
      <c r="C1158" s="31" t="s">
        <v>106</v>
      </c>
      <c r="D1158" s="31" t="s">
        <v>2345</v>
      </c>
      <c r="E1158" s="31" t="s">
        <v>2419</v>
      </c>
      <c r="F1158" s="31">
        <v>10560</v>
      </c>
      <c r="G1158" s="31">
        <v>0</v>
      </c>
      <c r="H1158" s="31">
        <f t="shared" si="36"/>
        <v>-10560</v>
      </c>
      <c r="I1158" s="31">
        <v>5061</v>
      </c>
      <c r="J1158" s="31">
        <f t="shared" si="37"/>
        <v>5</v>
      </c>
      <c r="K1158" s="31" t="s">
        <v>17</v>
      </c>
      <c r="L1158" s="31" t="str">
        <f>I1158 &amp; "-" &amp;VLOOKUP(I1158,Střediska!$A$1:$B$40,2,FALSE)</f>
        <v>5061-Haly</v>
      </c>
      <c r="M1158" s="32" t="str">
        <f>VLOOKUP(Zdroj!$I1158,Střediska!$A$1:$B$41,2,FALSE)</f>
        <v>Haly</v>
      </c>
    </row>
    <row r="1159" spans="1:13" hidden="1" x14ac:dyDescent="0.2">
      <c r="A1159" s="33" t="s">
        <v>52</v>
      </c>
      <c r="B1159" s="34" t="s">
        <v>2420</v>
      </c>
      <c r="C1159" s="34" t="s">
        <v>106</v>
      </c>
      <c r="D1159" s="34" t="s">
        <v>2061</v>
      </c>
      <c r="E1159" s="34" t="s">
        <v>2421</v>
      </c>
      <c r="F1159" s="34">
        <v>48750</v>
      </c>
      <c r="G1159" s="34">
        <v>0</v>
      </c>
      <c r="H1159" s="34">
        <f t="shared" si="36"/>
        <v>-48750</v>
      </c>
      <c r="I1159" s="34">
        <v>5061</v>
      </c>
      <c r="J1159" s="34">
        <f t="shared" si="37"/>
        <v>5</v>
      </c>
      <c r="K1159" s="34" t="s">
        <v>17</v>
      </c>
      <c r="L1159" s="34" t="str">
        <f>I1159 &amp; "-" &amp;VLOOKUP(I1159,Střediska!$A$1:$B$40,2,FALSE)</f>
        <v>5061-Haly</v>
      </c>
      <c r="M1159" s="35" t="str">
        <f>VLOOKUP(Zdroj!$I1159,Střediska!$A$1:$B$41,2,FALSE)</f>
        <v>Haly</v>
      </c>
    </row>
    <row r="1160" spans="1:13" hidden="1" x14ac:dyDescent="0.2">
      <c r="A1160" s="36" t="s">
        <v>52</v>
      </c>
      <c r="B1160" s="31" t="s">
        <v>2422</v>
      </c>
      <c r="C1160" s="31" t="s">
        <v>106</v>
      </c>
      <c r="D1160" s="31" t="s">
        <v>2353</v>
      </c>
      <c r="E1160" s="31" t="s">
        <v>2419</v>
      </c>
      <c r="F1160" s="31">
        <v>7350</v>
      </c>
      <c r="G1160" s="31">
        <v>0</v>
      </c>
      <c r="H1160" s="31">
        <f t="shared" ref="H1160:H1210" si="38">-F1160+G1160</f>
        <v>-7350</v>
      </c>
      <c r="I1160" s="31">
        <v>5061</v>
      </c>
      <c r="J1160" s="31">
        <f t="shared" ref="J1160:J1210" si="39">VALUE(LEFT(I1160,1))</f>
        <v>5</v>
      </c>
      <c r="K1160" s="31" t="s">
        <v>17</v>
      </c>
      <c r="L1160" s="31" t="str">
        <f>I1160 &amp; "-" &amp;VLOOKUP(I1160,Střediska!$A$1:$B$40,2,FALSE)</f>
        <v>5061-Haly</v>
      </c>
      <c r="M1160" s="32" t="str">
        <f>VLOOKUP(Zdroj!$I1160,Střediska!$A$1:$B$41,2,FALSE)</f>
        <v>Haly</v>
      </c>
    </row>
    <row r="1161" spans="1:13" hidden="1" x14ac:dyDescent="0.2">
      <c r="A1161" s="33" t="s">
        <v>52</v>
      </c>
      <c r="B1161" s="34" t="s">
        <v>2423</v>
      </c>
      <c r="C1161" s="34" t="s">
        <v>106</v>
      </c>
      <c r="D1161" s="34" t="s">
        <v>2348</v>
      </c>
      <c r="E1161" s="34" t="s">
        <v>2419</v>
      </c>
      <c r="F1161" s="34">
        <v>6625</v>
      </c>
      <c r="G1161" s="34">
        <v>0</v>
      </c>
      <c r="H1161" s="34">
        <f t="shared" si="38"/>
        <v>-6625</v>
      </c>
      <c r="I1161" s="34">
        <v>5061</v>
      </c>
      <c r="J1161" s="34">
        <f t="shared" si="39"/>
        <v>5</v>
      </c>
      <c r="K1161" s="34" t="s">
        <v>17</v>
      </c>
      <c r="L1161" s="34" t="str">
        <f>I1161 &amp; "-" &amp;VLOOKUP(I1161,Střediska!$A$1:$B$40,2,FALSE)</f>
        <v>5061-Haly</v>
      </c>
      <c r="M1161" s="35" t="str">
        <f>VLOOKUP(Zdroj!$I1161,Střediska!$A$1:$B$41,2,FALSE)</f>
        <v>Haly</v>
      </c>
    </row>
    <row r="1162" spans="1:13" hidden="1" x14ac:dyDescent="0.2">
      <c r="A1162" s="36" t="s">
        <v>52</v>
      </c>
      <c r="B1162" s="31" t="s">
        <v>2424</v>
      </c>
      <c r="C1162" s="31" t="s">
        <v>106</v>
      </c>
      <c r="D1162" s="31" t="s">
        <v>2355</v>
      </c>
      <c r="E1162" s="31" t="s">
        <v>2425</v>
      </c>
      <c r="F1162" s="31">
        <v>43500</v>
      </c>
      <c r="G1162" s="31">
        <v>0</v>
      </c>
      <c r="H1162" s="31">
        <f t="shared" si="38"/>
        <v>-43500</v>
      </c>
      <c r="I1162" s="31">
        <v>5061</v>
      </c>
      <c r="J1162" s="31">
        <f t="shared" si="39"/>
        <v>5</v>
      </c>
      <c r="K1162" s="31" t="s">
        <v>17</v>
      </c>
      <c r="L1162" s="31" t="str">
        <f>I1162 &amp; "-" &amp;VLOOKUP(I1162,Střediska!$A$1:$B$40,2,FALSE)</f>
        <v>5061-Haly</v>
      </c>
      <c r="M1162" s="32" t="str">
        <f>VLOOKUP(Zdroj!$I1162,Střediska!$A$1:$B$41,2,FALSE)</f>
        <v>Haly</v>
      </c>
    </row>
    <row r="1163" spans="1:13" hidden="1" x14ac:dyDescent="0.2">
      <c r="A1163" s="33" t="s">
        <v>55</v>
      </c>
      <c r="B1163" s="34" t="s">
        <v>2426</v>
      </c>
      <c r="C1163" s="34" t="s">
        <v>106</v>
      </c>
      <c r="D1163" s="34" t="s">
        <v>2061</v>
      </c>
      <c r="E1163" s="34" t="s">
        <v>2427</v>
      </c>
      <c r="F1163" s="34">
        <v>42750</v>
      </c>
      <c r="G1163" s="34">
        <v>0</v>
      </c>
      <c r="H1163" s="34">
        <f t="shared" si="38"/>
        <v>-42750</v>
      </c>
      <c r="I1163" s="34">
        <v>5061</v>
      </c>
      <c r="J1163" s="34">
        <f t="shared" si="39"/>
        <v>5</v>
      </c>
      <c r="K1163" s="34" t="s">
        <v>17</v>
      </c>
      <c r="L1163" s="34" t="str">
        <f>I1163 &amp; "-" &amp;VLOOKUP(I1163,Střediska!$A$1:$B$40,2,FALSE)</f>
        <v>5061-Haly</v>
      </c>
      <c r="M1163" s="35" t="str">
        <f>VLOOKUP(Zdroj!$I1163,Střediska!$A$1:$B$41,2,FALSE)</f>
        <v>Haly</v>
      </c>
    </row>
    <row r="1164" spans="1:13" hidden="1" x14ac:dyDescent="0.2">
      <c r="A1164" s="36" t="s">
        <v>55</v>
      </c>
      <c r="B1164" s="31" t="s">
        <v>2428</v>
      </c>
      <c r="C1164" s="31" t="s">
        <v>106</v>
      </c>
      <c r="D1164" s="31" t="s">
        <v>2348</v>
      </c>
      <c r="E1164" s="31" t="s">
        <v>2429</v>
      </c>
      <c r="F1164" s="31">
        <v>2250</v>
      </c>
      <c r="G1164" s="31">
        <v>0</v>
      </c>
      <c r="H1164" s="31">
        <f t="shared" si="38"/>
        <v>-2250</v>
      </c>
      <c r="I1164" s="31">
        <v>5061</v>
      </c>
      <c r="J1164" s="31">
        <f t="shared" si="39"/>
        <v>5</v>
      </c>
      <c r="K1164" s="31" t="s">
        <v>17</v>
      </c>
      <c r="L1164" s="31" t="str">
        <f>I1164 &amp; "-" &amp;VLOOKUP(I1164,Střediska!$A$1:$B$40,2,FALSE)</f>
        <v>5061-Haly</v>
      </c>
      <c r="M1164" s="32" t="str">
        <f>VLOOKUP(Zdroj!$I1164,Střediska!$A$1:$B$41,2,FALSE)</f>
        <v>Haly</v>
      </c>
    </row>
    <row r="1165" spans="1:13" hidden="1" x14ac:dyDescent="0.2">
      <c r="A1165" s="33" t="s">
        <v>55</v>
      </c>
      <c r="B1165" s="34" t="s">
        <v>2430</v>
      </c>
      <c r="C1165" s="34" t="s">
        <v>106</v>
      </c>
      <c r="D1165" s="34" t="s">
        <v>2353</v>
      </c>
      <c r="E1165" s="34" t="s">
        <v>2429</v>
      </c>
      <c r="F1165" s="34">
        <v>7770</v>
      </c>
      <c r="G1165" s="34">
        <v>0</v>
      </c>
      <c r="H1165" s="34">
        <f t="shared" si="38"/>
        <v>-7770</v>
      </c>
      <c r="I1165" s="34">
        <v>5061</v>
      </c>
      <c r="J1165" s="34">
        <f t="shared" si="39"/>
        <v>5</v>
      </c>
      <c r="K1165" s="34" t="s">
        <v>17</v>
      </c>
      <c r="L1165" s="34" t="str">
        <f>I1165 &amp; "-" &amp;VLOOKUP(I1165,Střediska!$A$1:$B$40,2,FALSE)</f>
        <v>5061-Haly</v>
      </c>
      <c r="M1165" s="35" t="str">
        <f>VLOOKUP(Zdroj!$I1165,Střediska!$A$1:$B$41,2,FALSE)</f>
        <v>Haly</v>
      </c>
    </row>
    <row r="1166" spans="1:13" hidden="1" x14ac:dyDescent="0.2">
      <c r="A1166" s="36" t="s">
        <v>55</v>
      </c>
      <c r="B1166" s="31" t="s">
        <v>2431</v>
      </c>
      <c r="C1166" s="31" t="s">
        <v>106</v>
      </c>
      <c r="D1166" s="31" t="s">
        <v>2350</v>
      </c>
      <c r="E1166" s="31" t="s">
        <v>2432</v>
      </c>
      <c r="F1166" s="31">
        <v>36562.5</v>
      </c>
      <c r="G1166" s="31">
        <v>0</v>
      </c>
      <c r="H1166" s="31">
        <f t="shared" si="38"/>
        <v>-36562.5</v>
      </c>
      <c r="I1166" s="31">
        <v>5061</v>
      </c>
      <c r="J1166" s="31">
        <f t="shared" si="39"/>
        <v>5</v>
      </c>
      <c r="K1166" s="31" t="s">
        <v>17</v>
      </c>
      <c r="L1166" s="31" t="str">
        <f>I1166 &amp; "-" &amp;VLOOKUP(I1166,Střediska!$A$1:$B$40,2,FALSE)</f>
        <v>5061-Haly</v>
      </c>
      <c r="M1166" s="32" t="str">
        <f>VLOOKUP(Zdroj!$I1166,Střediska!$A$1:$B$41,2,FALSE)</f>
        <v>Haly</v>
      </c>
    </row>
    <row r="1167" spans="1:13" hidden="1" x14ac:dyDescent="0.2">
      <c r="A1167" s="33" t="s">
        <v>55</v>
      </c>
      <c r="B1167" s="34" t="s">
        <v>2433</v>
      </c>
      <c r="C1167" s="34" t="s">
        <v>106</v>
      </c>
      <c r="D1167" s="34" t="s">
        <v>2345</v>
      </c>
      <c r="E1167" s="34" t="s">
        <v>2429</v>
      </c>
      <c r="F1167" s="34">
        <v>10080</v>
      </c>
      <c r="G1167" s="34">
        <v>0</v>
      </c>
      <c r="H1167" s="34">
        <f t="shared" si="38"/>
        <v>-10080</v>
      </c>
      <c r="I1167" s="34">
        <v>5061</v>
      </c>
      <c r="J1167" s="34">
        <f t="shared" si="39"/>
        <v>5</v>
      </c>
      <c r="K1167" s="34" t="s">
        <v>17</v>
      </c>
      <c r="L1167" s="34" t="str">
        <f>I1167 &amp; "-" &amp;VLOOKUP(I1167,Střediska!$A$1:$B$40,2,FALSE)</f>
        <v>5061-Haly</v>
      </c>
      <c r="M1167" s="35" t="str">
        <f>VLOOKUP(Zdroj!$I1167,Střediska!$A$1:$B$41,2,FALSE)</f>
        <v>Haly</v>
      </c>
    </row>
    <row r="1168" spans="1:13" hidden="1" x14ac:dyDescent="0.2">
      <c r="A1168" s="36" t="s">
        <v>55</v>
      </c>
      <c r="B1168" s="31" t="s">
        <v>2434</v>
      </c>
      <c r="C1168" s="31" t="s">
        <v>106</v>
      </c>
      <c r="D1168" s="31" t="s">
        <v>2355</v>
      </c>
      <c r="E1168" s="31" t="s">
        <v>2435</v>
      </c>
      <c r="F1168" s="31">
        <v>63600</v>
      </c>
      <c r="G1168" s="31">
        <v>0</v>
      </c>
      <c r="H1168" s="31">
        <f t="shared" si="38"/>
        <v>-63600</v>
      </c>
      <c r="I1168" s="31">
        <v>5061</v>
      </c>
      <c r="J1168" s="31">
        <f t="shared" si="39"/>
        <v>5</v>
      </c>
      <c r="K1168" s="31" t="s">
        <v>17</v>
      </c>
      <c r="L1168" s="31" t="str">
        <f>I1168 &amp; "-" &amp;VLOOKUP(I1168,Střediska!$A$1:$B$40,2,FALSE)</f>
        <v>5061-Haly</v>
      </c>
      <c r="M1168" s="32" t="str">
        <f>VLOOKUP(Zdroj!$I1168,Střediska!$A$1:$B$41,2,FALSE)</f>
        <v>Haly</v>
      </c>
    </row>
    <row r="1169" spans="1:13" hidden="1" x14ac:dyDescent="0.2">
      <c r="A1169" s="33" t="s">
        <v>2437</v>
      </c>
      <c r="B1169" s="34" t="s">
        <v>2436</v>
      </c>
      <c r="C1169" s="34" t="s">
        <v>106</v>
      </c>
      <c r="D1169" s="34" t="s">
        <v>2350</v>
      </c>
      <c r="E1169" s="34" t="s">
        <v>2438</v>
      </c>
      <c r="F1169" s="34">
        <v>24212.5</v>
      </c>
      <c r="G1169" s="34">
        <v>0</v>
      </c>
      <c r="H1169" s="34">
        <f t="shared" si="38"/>
        <v>-24212.5</v>
      </c>
      <c r="I1169" s="34">
        <v>5061</v>
      </c>
      <c r="J1169" s="34">
        <f t="shared" si="39"/>
        <v>5</v>
      </c>
      <c r="K1169" s="34" t="s">
        <v>17</v>
      </c>
      <c r="L1169" s="34" t="str">
        <f>I1169 &amp; "-" &amp;VLOOKUP(I1169,Střediska!$A$1:$B$40,2,FALSE)</f>
        <v>5061-Haly</v>
      </c>
      <c r="M1169" s="35" t="str">
        <f>VLOOKUP(Zdroj!$I1169,Střediska!$A$1:$B$41,2,FALSE)</f>
        <v>Haly</v>
      </c>
    </row>
    <row r="1170" spans="1:13" hidden="1" x14ac:dyDescent="0.2">
      <c r="A1170" s="36" t="s">
        <v>2440</v>
      </c>
      <c r="B1170" s="31" t="s">
        <v>2439</v>
      </c>
      <c r="C1170" s="31" t="s">
        <v>106</v>
      </c>
      <c r="D1170" s="31" t="s">
        <v>2345</v>
      </c>
      <c r="E1170" s="31" t="s">
        <v>2441</v>
      </c>
      <c r="F1170" s="31">
        <v>7680</v>
      </c>
      <c r="G1170" s="31">
        <v>0</v>
      </c>
      <c r="H1170" s="31">
        <f t="shared" si="38"/>
        <v>-7680</v>
      </c>
      <c r="I1170" s="31">
        <v>5061</v>
      </c>
      <c r="J1170" s="31">
        <f t="shared" si="39"/>
        <v>5</v>
      </c>
      <c r="K1170" s="31" t="s">
        <v>17</v>
      </c>
      <c r="L1170" s="31" t="str">
        <f>I1170 &amp; "-" &amp;VLOOKUP(I1170,Střediska!$A$1:$B$40,2,FALSE)</f>
        <v>5061-Haly</v>
      </c>
      <c r="M1170" s="32" t="str">
        <f>VLOOKUP(Zdroj!$I1170,Střediska!$A$1:$B$41,2,FALSE)</f>
        <v>Haly</v>
      </c>
    </row>
    <row r="1171" spans="1:13" hidden="1" x14ac:dyDescent="0.2">
      <c r="A1171" s="33" t="s">
        <v>2444</v>
      </c>
      <c r="B1171" s="34" t="s">
        <v>2443</v>
      </c>
      <c r="C1171" s="34" t="s">
        <v>106</v>
      </c>
      <c r="D1171" s="34" t="s">
        <v>2353</v>
      </c>
      <c r="E1171" s="34" t="s">
        <v>2441</v>
      </c>
      <c r="F1171" s="34">
        <v>5040</v>
      </c>
      <c r="G1171" s="34">
        <v>0</v>
      </c>
      <c r="H1171" s="34">
        <f t="shared" si="38"/>
        <v>-5040</v>
      </c>
      <c r="I1171" s="34">
        <v>5061</v>
      </c>
      <c r="J1171" s="34">
        <f t="shared" si="39"/>
        <v>5</v>
      </c>
      <c r="K1171" s="34" t="s">
        <v>17</v>
      </c>
      <c r="L1171" s="34" t="str">
        <f>I1171 &amp; "-" &amp;VLOOKUP(I1171,Střediska!$A$1:$B$40,2,FALSE)</f>
        <v>5061-Haly</v>
      </c>
      <c r="M1171" s="35" t="str">
        <f>VLOOKUP(Zdroj!$I1171,Střediska!$A$1:$B$41,2,FALSE)</f>
        <v>Haly</v>
      </c>
    </row>
    <row r="1172" spans="1:13" hidden="1" x14ac:dyDescent="0.2">
      <c r="A1172" s="36" t="s">
        <v>20</v>
      </c>
      <c r="B1172" s="31" t="s">
        <v>18</v>
      </c>
      <c r="C1172" s="31" t="s">
        <v>19</v>
      </c>
      <c r="D1172" s="31"/>
      <c r="E1172" s="31" t="s">
        <v>21</v>
      </c>
      <c r="F1172" s="31">
        <v>-1274962.53</v>
      </c>
      <c r="G1172" s="31">
        <v>0</v>
      </c>
      <c r="H1172" s="31">
        <f t="shared" si="38"/>
        <v>1274962.53</v>
      </c>
      <c r="I1172" s="31">
        <v>5061</v>
      </c>
      <c r="J1172" s="31">
        <f t="shared" si="39"/>
        <v>5</v>
      </c>
      <c r="K1172" s="31" t="s">
        <v>17</v>
      </c>
      <c r="L1172" s="31" t="str">
        <f>I1172 &amp; "-" &amp;VLOOKUP(I1172,Střediska!$A$1:$B$40,2,FALSE)</f>
        <v>5061-Haly</v>
      </c>
      <c r="M1172" s="32" t="str">
        <f>VLOOKUP(Zdroj!$I1172,Střediska!$A$1:$B$41,2,FALSE)</f>
        <v>Haly</v>
      </c>
    </row>
    <row r="1173" spans="1:13" hidden="1" x14ac:dyDescent="0.2">
      <c r="A1173" s="33" t="s">
        <v>20</v>
      </c>
      <c r="B1173" s="34" t="s">
        <v>2445</v>
      </c>
      <c r="C1173" s="34" t="s">
        <v>106</v>
      </c>
      <c r="D1173" s="34" t="s">
        <v>2348</v>
      </c>
      <c r="E1173" s="34" t="s">
        <v>2441</v>
      </c>
      <c r="F1173" s="34">
        <v>2250</v>
      </c>
      <c r="G1173" s="34">
        <v>0</v>
      </c>
      <c r="H1173" s="34">
        <f t="shared" si="38"/>
        <v>-2250</v>
      </c>
      <c r="I1173" s="34">
        <v>5061</v>
      </c>
      <c r="J1173" s="34">
        <f t="shared" si="39"/>
        <v>5</v>
      </c>
      <c r="K1173" s="34" t="s">
        <v>17</v>
      </c>
      <c r="L1173" s="34" t="str">
        <f>I1173 &amp; "-" &amp;VLOOKUP(I1173,Střediska!$A$1:$B$40,2,FALSE)</f>
        <v>5061-Haly</v>
      </c>
      <c r="M1173" s="35" t="str">
        <f>VLOOKUP(Zdroj!$I1173,Střediska!$A$1:$B$41,2,FALSE)</f>
        <v>Haly</v>
      </c>
    </row>
    <row r="1174" spans="1:13" hidden="1" x14ac:dyDescent="0.2">
      <c r="A1174" s="36" t="s">
        <v>20</v>
      </c>
      <c r="B1174" s="31" t="s">
        <v>2446</v>
      </c>
      <c r="C1174" s="31" t="s">
        <v>106</v>
      </c>
      <c r="D1174" s="31" t="s">
        <v>2355</v>
      </c>
      <c r="E1174" s="31" t="s">
        <v>2447</v>
      </c>
      <c r="F1174" s="31">
        <v>30600</v>
      </c>
      <c r="G1174" s="31">
        <v>0</v>
      </c>
      <c r="H1174" s="31">
        <f t="shared" si="38"/>
        <v>-30600</v>
      </c>
      <c r="I1174" s="31">
        <v>5061</v>
      </c>
      <c r="J1174" s="31">
        <f t="shared" si="39"/>
        <v>5</v>
      </c>
      <c r="K1174" s="31" t="s">
        <v>17</v>
      </c>
      <c r="L1174" s="31" t="str">
        <f>I1174 &amp; "-" &amp;VLOOKUP(I1174,Střediska!$A$1:$B$40,2,FALSE)</f>
        <v>5061-Haly</v>
      </c>
      <c r="M1174" s="32" t="str">
        <f>VLOOKUP(Zdroj!$I1174,Střediska!$A$1:$B$41,2,FALSE)</f>
        <v>Haly</v>
      </c>
    </row>
    <row r="1175" spans="1:13" hidden="1" x14ac:dyDescent="0.2">
      <c r="A1175" s="33" t="s">
        <v>20</v>
      </c>
      <c r="B1175" s="34" t="s">
        <v>2448</v>
      </c>
      <c r="C1175" s="34" t="s">
        <v>106</v>
      </c>
      <c r="D1175" s="34" t="s">
        <v>2061</v>
      </c>
      <c r="E1175" s="34" t="s">
        <v>2449</v>
      </c>
      <c r="F1175" s="34">
        <v>34125</v>
      </c>
      <c r="G1175" s="34">
        <v>0</v>
      </c>
      <c r="H1175" s="34">
        <f t="shared" si="38"/>
        <v>-34125</v>
      </c>
      <c r="I1175" s="34">
        <v>5061</v>
      </c>
      <c r="J1175" s="34">
        <f t="shared" si="39"/>
        <v>5</v>
      </c>
      <c r="K1175" s="34" t="s">
        <v>17</v>
      </c>
      <c r="L1175" s="34" t="str">
        <f>I1175 &amp; "-" &amp;VLOOKUP(I1175,Střediska!$A$1:$B$40,2,FALSE)</f>
        <v>5061-Haly</v>
      </c>
      <c r="M1175" s="35" t="str">
        <f>VLOOKUP(Zdroj!$I1175,Střediska!$A$1:$B$41,2,FALSE)</f>
        <v>Haly</v>
      </c>
    </row>
    <row r="1176" spans="1:13" hidden="1" x14ac:dyDescent="0.2">
      <c r="A1176" s="36" t="s">
        <v>944</v>
      </c>
      <c r="B1176" s="31" t="s">
        <v>2450</v>
      </c>
      <c r="C1176" s="31" t="s">
        <v>106</v>
      </c>
      <c r="D1176" s="31" t="s">
        <v>2061</v>
      </c>
      <c r="E1176" s="31" t="s">
        <v>2451</v>
      </c>
      <c r="F1176" s="31">
        <v>1480</v>
      </c>
      <c r="G1176" s="31">
        <v>0</v>
      </c>
      <c r="H1176" s="31">
        <f t="shared" si="38"/>
        <v>-1480</v>
      </c>
      <c r="I1176" s="31">
        <v>5061</v>
      </c>
      <c r="J1176" s="31">
        <f t="shared" si="39"/>
        <v>5</v>
      </c>
      <c r="K1176" s="31" t="s">
        <v>2059</v>
      </c>
      <c r="L1176" s="31" t="str">
        <f>I1176 &amp; "-" &amp;VLOOKUP(I1176,Střediska!$A$1:$B$40,2,FALSE)</f>
        <v>5061-Haly</v>
      </c>
      <c r="M1176" s="32" t="str">
        <f>VLOOKUP(Zdroj!$I1176,Střediska!$A$1:$B$41,2,FALSE)</f>
        <v>Haly</v>
      </c>
    </row>
    <row r="1177" spans="1:13" hidden="1" x14ac:dyDescent="0.2">
      <c r="A1177" s="33" t="s">
        <v>951</v>
      </c>
      <c r="B1177" s="34" t="s">
        <v>2454</v>
      </c>
      <c r="C1177" s="34" t="s">
        <v>87</v>
      </c>
      <c r="D1177" s="34" t="s">
        <v>2455</v>
      </c>
      <c r="E1177" s="34" t="s">
        <v>2456</v>
      </c>
      <c r="F1177" s="34">
        <v>0</v>
      </c>
      <c r="G1177" s="34">
        <v>49000</v>
      </c>
      <c r="H1177" s="34">
        <f t="shared" si="38"/>
        <v>49000</v>
      </c>
      <c r="I1177" s="34">
        <v>5071</v>
      </c>
      <c r="J1177" s="34">
        <f t="shared" si="39"/>
        <v>5</v>
      </c>
      <c r="K1177" s="34" t="s">
        <v>226</v>
      </c>
      <c r="L1177" s="34" t="str">
        <f>I1177 &amp; "-" &amp;VLOOKUP(I1177,Střediska!$A$1:$B$40,2,FALSE)</f>
        <v>5071-Český florbal</v>
      </c>
      <c r="M1177" s="35" t="str">
        <f>VLOOKUP(Zdroj!$I1177,Střediska!$A$1:$B$41,2,FALSE)</f>
        <v>Český florbal</v>
      </c>
    </row>
    <row r="1178" spans="1:13" hidden="1" x14ac:dyDescent="0.2">
      <c r="A1178" s="36" t="s">
        <v>614</v>
      </c>
      <c r="B1178" s="31" t="s">
        <v>2457</v>
      </c>
      <c r="C1178" s="31" t="s">
        <v>87</v>
      </c>
      <c r="D1178" s="31" t="s">
        <v>1981</v>
      </c>
      <c r="E1178" s="31" t="s">
        <v>2458</v>
      </c>
      <c r="F1178" s="31">
        <v>0</v>
      </c>
      <c r="G1178" s="31">
        <v>5000</v>
      </c>
      <c r="H1178" s="31">
        <f t="shared" si="38"/>
        <v>5000</v>
      </c>
      <c r="I1178" s="31">
        <v>5071</v>
      </c>
      <c r="J1178" s="31">
        <f t="shared" si="39"/>
        <v>5</v>
      </c>
      <c r="K1178" s="31" t="s">
        <v>2734</v>
      </c>
      <c r="L1178" s="31" t="str">
        <f>I1178 &amp; "-" &amp;VLOOKUP(I1178,Střediska!$A$1:$B$40,2,FALSE)</f>
        <v>5071-Český florbal</v>
      </c>
      <c r="M1178" s="32" t="str">
        <f>VLOOKUP(Zdroj!$I1178,Střediska!$A$1:$B$41,2,FALSE)</f>
        <v>Český florbal</v>
      </c>
    </row>
    <row r="1179" spans="1:13" hidden="1" x14ac:dyDescent="0.2">
      <c r="A1179" s="33" t="s">
        <v>1484</v>
      </c>
      <c r="B1179" s="34" t="s">
        <v>2459</v>
      </c>
      <c r="C1179" s="34" t="s">
        <v>87</v>
      </c>
      <c r="D1179" s="34" t="s">
        <v>1981</v>
      </c>
      <c r="E1179" s="34" t="s">
        <v>2460</v>
      </c>
      <c r="F1179" s="34">
        <v>0</v>
      </c>
      <c r="G1179" s="34">
        <v>12000</v>
      </c>
      <c r="H1179" s="34">
        <f t="shared" si="38"/>
        <v>12000</v>
      </c>
      <c r="I1179" s="34">
        <v>5071</v>
      </c>
      <c r="J1179" s="34">
        <f t="shared" si="39"/>
        <v>5</v>
      </c>
      <c r="K1179" s="34" t="s">
        <v>2734</v>
      </c>
      <c r="L1179" s="34" t="str">
        <f>I1179 &amp; "-" &amp;VLOOKUP(I1179,Střediska!$A$1:$B$40,2,FALSE)</f>
        <v>5071-Český florbal</v>
      </c>
      <c r="M1179" s="35" t="str">
        <f>VLOOKUP(Zdroj!$I1179,Střediska!$A$1:$B$41,2,FALSE)</f>
        <v>Český florbal</v>
      </c>
    </row>
    <row r="1180" spans="1:13" hidden="1" x14ac:dyDescent="0.2">
      <c r="A1180" s="36" t="s">
        <v>2462</v>
      </c>
      <c r="B1180" s="31" t="s">
        <v>2461</v>
      </c>
      <c r="C1180" s="31" t="s">
        <v>87</v>
      </c>
      <c r="D1180" s="31" t="s">
        <v>1981</v>
      </c>
      <c r="E1180" s="31" t="s">
        <v>2463</v>
      </c>
      <c r="F1180" s="31">
        <v>0</v>
      </c>
      <c r="G1180" s="31">
        <v>10000</v>
      </c>
      <c r="H1180" s="31">
        <f t="shared" si="38"/>
        <v>10000</v>
      </c>
      <c r="I1180" s="31">
        <v>5071</v>
      </c>
      <c r="J1180" s="31">
        <f t="shared" si="39"/>
        <v>5</v>
      </c>
      <c r="K1180" s="31" t="s">
        <v>2734</v>
      </c>
      <c r="L1180" s="31" t="str">
        <f>I1180 &amp; "-" &amp;VLOOKUP(I1180,Střediska!$A$1:$B$40,2,FALSE)</f>
        <v>5071-Český florbal</v>
      </c>
      <c r="M1180" s="32" t="str">
        <f>VLOOKUP(Zdroj!$I1180,Střediska!$A$1:$B$41,2,FALSE)</f>
        <v>Český florbal</v>
      </c>
    </row>
    <row r="1181" spans="1:13" hidden="1" x14ac:dyDescent="0.2">
      <c r="A1181" s="33" t="s">
        <v>299</v>
      </c>
      <c r="B1181" s="34" t="s">
        <v>2464</v>
      </c>
      <c r="C1181" s="34" t="s">
        <v>87</v>
      </c>
      <c r="D1181" s="34" t="s">
        <v>1981</v>
      </c>
      <c r="E1181" s="34" t="s">
        <v>2465</v>
      </c>
      <c r="F1181" s="34">
        <v>0</v>
      </c>
      <c r="G1181" s="34">
        <v>62500</v>
      </c>
      <c r="H1181" s="34">
        <f t="shared" si="38"/>
        <v>62500</v>
      </c>
      <c r="I1181" s="34">
        <v>5071</v>
      </c>
      <c r="J1181" s="34">
        <f t="shared" si="39"/>
        <v>5</v>
      </c>
      <c r="K1181" s="34" t="s">
        <v>2734</v>
      </c>
      <c r="L1181" s="34" t="str">
        <f>I1181 &amp; "-" &amp;VLOOKUP(I1181,Střediska!$A$1:$B$40,2,FALSE)</f>
        <v>5071-Český florbal</v>
      </c>
      <c r="M1181" s="35" t="str">
        <f>VLOOKUP(Zdroj!$I1181,Střediska!$A$1:$B$41,2,FALSE)</f>
        <v>Český florbal</v>
      </c>
    </row>
    <row r="1182" spans="1:13" ht="24" hidden="1" x14ac:dyDescent="0.2">
      <c r="A1182" s="36" t="s">
        <v>2069</v>
      </c>
      <c r="B1182" s="31" t="s">
        <v>2466</v>
      </c>
      <c r="C1182" s="31" t="s">
        <v>87</v>
      </c>
      <c r="D1182" s="31" t="s">
        <v>1981</v>
      </c>
      <c r="E1182" s="38" t="s">
        <v>2467</v>
      </c>
      <c r="F1182" s="31">
        <v>0</v>
      </c>
      <c r="G1182" s="31">
        <v>250</v>
      </c>
      <c r="H1182" s="31">
        <f t="shared" si="38"/>
        <v>250</v>
      </c>
      <c r="I1182" s="31">
        <v>5071</v>
      </c>
      <c r="J1182" s="31">
        <f t="shared" si="39"/>
        <v>5</v>
      </c>
      <c r="K1182" s="31" t="s">
        <v>2734</v>
      </c>
      <c r="L1182" s="31" t="str">
        <f>I1182 &amp; "-" &amp;VLOOKUP(I1182,Střediska!$A$1:$B$40,2,FALSE)</f>
        <v>5071-Český florbal</v>
      </c>
      <c r="M1182" s="32" t="str">
        <f>VLOOKUP(Zdroj!$I1182,Střediska!$A$1:$B$41,2,FALSE)</f>
        <v>Český florbal</v>
      </c>
    </row>
    <row r="1183" spans="1:13" hidden="1" x14ac:dyDescent="0.2">
      <c r="A1183" s="33" t="s">
        <v>2469</v>
      </c>
      <c r="B1183" s="34" t="s">
        <v>2468</v>
      </c>
      <c r="C1183" s="34" t="s">
        <v>87</v>
      </c>
      <c r="D1183" s="34" t="s">
        <v>1981</v>
      </c>
      <c r="E1183" s="34" t="s">
        <v>2470</v>
      </c>
      <c r="F1183" s="34">
        <v>0</v>
      </c>
      <c r="G1183" s="34">
        <v>11000</v>
      </c>
      <c r="H1183" s="34">
        <f t="shared" si="38"/>
        <v>11000</v>
      </c>
      <c r="I1183" s="34">
        <v>5071</v>
      </c>
      <c r="J1183" s="34">
        <f t="shared" si="39"/>
        <v>5</v>
      </c>
      <c r="K1183" s="34" t="s">
        <v>2734</v>
      </c>
      <c r="L1183" s="34" t="str">
        <f>I1183 &amp; "-" &amp;VLOOKUP(I1183,Střediska!$A$1:$B$40,2,FALSE)</f>
        <v>5071-Český florbal</v>
      </c>
      <c r="M1183" s="35" t="str">
        <f>VLOOKUP(Zdroj!$I1183,Střediska!$A$1:$B$41,2,FALSE)</f>
        <v>Český florbal</v>
      </c>
    </row>
    <row r="1184" spans="1:13" hidden="1" x14ac:dyDescent="0.2">
      <c r="A1184" s="36" t="s">
        <v>232</v>
      </c>
      <c r="B1184" s="31" t="s">
        <v>2471</v>
      </c>
      <c r="C1184" s="31" t="s">
        <v>87</v>
      </c>
      <c r="D1184" s="31" t="s">
        <v>1981</v>
      </c>
      <c r="E1184" s="31" t="s">
        <v>2472</v>
      </c>
      <c r="F1184" s="31">
        <v>0</v>
      </c>
      <c r="G1184" s="31">
        <v>13000</v>
      </c>
      <c r="H1184" s="31">
        <f t="shared" si="38"/>
        <v>13000</v>
      </c>
      <c r="I1184" s="31">
        <v>5071</v>
      </c>
      <c r="J1184" s="31">
        <f t="shared" si="39"/>
        <v>5</v>
      </c>
      <c r="K1184" s="31" t="s">
        <v>2734</v>
      </c>
      <c r="L1184" s="31" t="str">
        <f>I1184 &amp; "-" &amp;VLOOKUP(I1184,Střediska!$A$1:$B$40,2,FALSE)</f>
        <v>5071-Český florbal</v>
      </c>
      <c r="M1184" s="32" t="str">
        <f>VLOOKUP(Zdroj!$I1184,Střediska!$A$1:$B$41,2,FALSE)</f>
        <v>Český florbal</v>
      </c>
    </row>
    <row r="1185" spans="1:13" hidden="1" x14ac:dyDescent="0.2">
      <c r="A1185" s="33" t="s">
        <v>20</v>
      </c>
      <c r="B1185" s="34" t="s">
        <v>2473</v>
      </c>
      <c r="C1185" s="34" t="s">
        <v>87</v>
      </c>
      <c r="D1185" s="34" t="s">
        <v>1981</v>
      </c>
      <c r="E1185" s="34" t="s">
        <v>2474</v>
      </c>
      <c r="F1185" s="34">
        <v>0</v>
      </c>
      <c r="G1185" s="34">
        <v>40000</v>
      </c>
      <c r="H1185" s="34">
        <f t="shared" si="38"/>
        <v>40000</v>
      </c>
      <c r="I1185" s="34">
        <v>5071</v>
      </c>
      <c r="J1185" s="34">
        <f t="shared" si="39"/>
        <v>5</v>
      </c>
      <c r="K1185" s="34" t="s">
        <v>2734</v>
      </c>
      <c r="L1185" s="34" t="str">
        <f>I1185 &amp; "-" &amp;VLOOKUP(I1185,Střediska!$A$1:$B$40,2,FALSE)</f>
        <v>5071-Český florbal</v>
      </c>
      <c r="M1185" s="35" t="str">
        <f>VLOOKUP(Zdroj!$I1185,Střediska!$A$1:$B$41,2,FALSE)</f>
        <v>Český florbal</v>
      </c>
    </row>
    <row r="1186" spans="1:13" hidden="1" x14ac:dyDescent="0.2">
      <c r="A1186" s="36" t="s">
        <v>20</v>
      </c>
      <c r="B1186" s="31" t="s">
        <v>2475</v>
      </c>
      <c r="C1186" s="31" t="s">
        <v>87</v>
      </c>
      <c r="D1186" s="31" t="s">
        <v>2218</v>
      </c>
      <c r="E1186" s="31" t="s">
        <v>2476</v>
      </c>
      <c r="F1186" s="31">
        <v>0</v>
      </c>
      <c r="G1186" s="31">
        <v>15678</v>
      </c>
      <c r="H1186" s="31">
        <f t="shared" si="38"/>
        <v>15678</v>
      </c>
      <c r="I1186" s="31">
        <v>5071</v>
      </c>
      <c r="J1186" s="31">
        <f t="shared" si="39"/>
        <v>5</v>
      </c>
      <c r="K1186" s="31" t="s">
        <v>2734</v>
      </c>
      <c r="L1186" s="31" t="str">
        <f>I1186 &amp; "-" &amp;VLOOKUP(I1186,Střediska!$A$1:$B$40,2,FALSE)</f>
        <v>5071-Český florbal</v>
      </c>
      <c r="M1186" s="32" t="str">
        <f>VLOOKUP(Zdroj!$I1186,Střediska!$A$1:$B$41,2,FALSE)</f>
        <v>Český florbal</v>
      </c>
    </row>
    <row r="1187" spans="1:13" hidden="1" x14ac:dyDescent="0.2">
      <c r="A1187" s="33" t="s">
        <v>1513</v>
      </c>
      <c r="B1187" s="34" t="s">
        <v>2495</v>
      </c>
      <c r="C1187" s="34" t="s">
        <v>106</v>
      </c>
      <c r="D1187" s="34" t="s">
        <v>2139</v>
      </c>
      <c r="E1187" s="34" t="s">
        <v>2485</v>
      </c>
      <c r="F1187" s="34">
        <v>2159</v>
      </c>
      <c r="G1187" s="34">
        <v>0</v>
      </c>
      <c r="H1187" s="34">
        <f t="shared" si="38"/>
        <v>-2159</v>
      </c>
      <c r="I1187" s="34">
        <v>6011</v>
      </c>
      <c r="J1187" s="34">
        <f t="shared" si="39"/>
        <v>6</v>
      </c>
      <c r="K1187" s="34" t="s">
        <v>2494</v>
      </c>
      <c r="L1187" s="34" t="str">
        <f>I1187 &amp; "-" &amp;VLOOKUP(I1187,Střediska!$A$1:$B$40,2,FALSE)</f>
        <v>6011-Fanshop</v>
      </c>
      <c r="M1187" s="35" t="str">
        <f>VLOOKUP(Zdroj!$I1187,Střediska!$A$1:$B$41,2,FALSE)</f>
        <v>Fanshop</v>
      </c>
    </row>
    <row r="1188" spans="1:13" hidden="1" x14ac:dyDescent="0.2">
      <c r="A1188" s="36" t="s">
        <v>381</v>
      </c>
      <c r="B1188" s="31" t="s">
        <v>2479</v>
      </c>
      <c r="C1188" s="31" t="s">
        <v>106</v>
      </c>
      <c r="D1188" s="31" t="s">
        <v>2139</v>
      </c>
      <c r="E1188" s="31" t="s">
        <v>2480</v>
      </c>
      <c r="F1188" s="31">
        <v>2220</v>
      </c>
      <c r="G1188" s="31">
        <v>0</v>
      </c>
      <c r="H1188" s="31">
        <f t="shared" si="38"/>
        <v>-2220</v>
      </c>
      <c r="I1188" s="31">
        <v>6011</v>
      </c>
      <c r="J1188" s="31">
        <f t="shared" si="39"/>
        <v>6</v>
      </c>
      <c r="K1188" s="31" t="s">
        <v>2494</v>
      </c>
      <c r="L1188" s="31" t="str">
        <f>I1188 &amp; "-" &amp;VLOOKUP(I1188,Střediska!$A$1:$B$40,2,FALSE)</f>
        <v>6011-Fanshop</v>
      </c>
      <c r="M1188" s="32" t="str">
        <f>VLOOKUP(Zdroj!$I1188,Střediska!$A$1:$B$41,2,FALSE)</f>
        <v>Fanshop</v>
      </c>
    </row>
    <row r="1189" spans="1:13" hidden="1" x14ac:dyDescent="0.2">
      <c r="A1189" s="33" t="s">
        <v>1037</v>
      </c>
      <c r="B1189" s="34" t="s">
        <v>2496</v>
      </c>
      <c r="C1189" s="34" t="s">
        <v>106</v>
      </c>
      <c r="D1189" s="34" t="s">
        <v>2139</v>
      </c>
      <c r="E1189" s="34" t="s">
        <v>2497</v>
      </c>
      <c r="F1189" s="34">
        <v>9878</v>
      </c>
      <c r="G1189" s="34">
        <v>0</v>
      </c>
      <c r="H1189" s="34">
        <f t="shared" si="38"/>
        <v>-9878</v>
      </c>
      <c r="I1189" s="34">
        <v>6011</v>
      </c>
      <c r="J1189" s="34">
        <f t="shared" si="39"/>
        <v>6</v>
      </c>
      <c r="K1189" s="34" t="s">
        <v>2494</v>
      </c>
      <c r="L1189" s="34" t="str">
        <f>I1189 &amp; "-" &amp;VLOOKUP(I1189,Střediska!$A$1:$B$40,2,FALSE)</f>
        <v>6011-Fanshop</v>
      </c>
      <c r="M1189" s="35" t="str">
        <f>VLOOKUP(Zdroj!$I1189,Střediska!$A$1:$B$41,2,FALSE)</f>
        <v>Fanshop</v>
      </c>
    </row>
    <row r="1190" spans="1:13" hidden="1" x14ac:dyDescent="0.2">
      <c r="A1190" s="36" t="s">
        <v>527</v>
      </c>
      <c r="B1190" s="31" t="s">
        <v>2498</v>
      </c>
      <c r="C1190" s="31" t="s">
        <v>106</v>
      </c>
      <c r="D1190" s="31" t="s">
        <v>2139</v>
      </c>
      <c r="E1190" s="31" t="s">
        <v>2485</v>
      </c>
      <c r="F1190" s="31">
        <v>3352</v>
      </c>
      <c r="G1190" s="31">
        <v>0</v>
      </c>
      <c r="H1190" s="31">
        <f t="shared" si="38"/>
        <v>-3352</v>
      </c>
      <c r="I1190" s="31">
        <v>6011</v>
      </c>
      <c r="J1190" s="31">
        <f t="shared" si="39"/>
        <v>6</v>
      </c>
      <c r="K1190" s="31" t="s">
        <v>2494</v>
      </c>
      <c r="L1190" s="31" t="str">
        <f>I1190 &amp; "-" &amp;VLOOKUP(I1190,Střediska!$A$1:$B$40,2,FALSE)</f>
        <v>6011-Fanshop</v>
      </c>
      <c r="M1190" s="32" t="str">
        <f>VLOOKUP(Zdroj!$I1190,Střediska!$A$1:$B$41,2,FALSE)</f>
        <v>Fanshop</v>
      </c>
    </row>
    <row r="1191" spans="1:13" hidden="1" x14ac:dyDescent="0.2">
      <c r="A1191" s="33" t="s">
        <v>2501</v>
      </c>
      <c r="B1191" s="34" t="s">
        <v>2499</v>
      </c>
      <c r="C1191" s="34" t="s">
        <v>106</v>
      </c>
      <c r="D1191" s="34" t="s">
        <v>2500</v>
      </c>
      <c r="E1191" s="34" t="s">
        <v>2502</v>
      </c>
      <c r="F1191" s="34">
        <v>109350</v>
      </c>
      <c r="G1191" s="34">
        <v>0</v>
      </c>
      <c r="H1191" s="34">
        <f t="shared" si="38"/>
        <v>-109350</v>
      </c>
      <c r="I1191" s="34">
        <v>6011</v>
      </c>
      <c r="J1191" s="34">
        <f t="shared" si="39"/>
        <v>6</v>
      </c>
      <c r="K1191" s="34" t="s">
        <v>2494</v>
      </c>
      <c r="L1191" s="34" t="str">
        <f>I1191 &amp; "-" &amp;VLOOKUP(I1191,Střediska!$A$1:$B$40,2,FALSE)</f>
        <v>6011-Fanshop</v>
      </c>
      <c r="M1191" s="35" t="str">
        <f>VLOOKUP(Zdroj!$I1191,Střediska!$A$1:$B$41,2,FALSE)</f>
        <v>Fanshop</v>
      </c>
    </row>
    <row r="1192" spans="1:13" hidden="1" x14ac:dyDescent="0.2">
      <c r="A1192" s="36" t="s">
        <v>118</v>
      </c>
      <c r="B1192" s="31" t="s">
        <v>2489</v>
      </c>
      <c r="C1192" s="31" t="s">
        <v>106</v>
      </c>
      <c r="D1192" s="31" t="s">
        <v>2139</v>
      </c>
      <c r="E1192" s="31" t="s">
        <v>2485</v>
      </c>
      <c r="F1192" s="31">
        <v>1287</v>
      </c>
      <c r="G1192" s="31">
        <v>0</v>
      </c>
      <c r="H1192" s="31">
        <f t="shared" si="38"/>
        <v>-1287</v>
      </c>
      <c r="I1192" s="31">
        <v>6011</v>
      </c>
      <c r="J1192" s="31">
        <f t="shared" si="39"/>
        <v>6</v>
      </c>
      <c r="K1192" s="31" t="s">
        <v>2494</v>
      </c>
      <c r="L1192" s="31" t="str">
        <f>I1192 &amp; "-" &amp;VLOOKUP(I1192,Střediska!$A$1:$B$40,2,FALSE)</f>
        <v>6011-Fanshop</v>
      </c>
      <c r="M1192" s="32" t="str">
        <f>VLOOKUP(Zdroj!$I1192,Střediska!$A$1:$B$41,2,FALSE)</f>
        <v>Fanshop</v>
      </c>
    </row>
    <row r="1193" spans="1:13" hidden="1" x14ac:dyDescent="0.2">
      <c r="A1193" s="33" t="s">
        <v>1045</v>
      </c>
      <c r="B1193" s="34" t="s">
        <v>2503</v>
      </c>
      <c r="C1193" s="34" t="s">
        <v>106</v>
      </c>
      <c r="D1193" s="34" t="s">
        <v>2504</v>
      </c>
      <c r="E1193" s="34" t="s">
        <v>2505</v>
      </c>
      <c r="F1193" s="34">
        <v>3750</v>
      </c>
      <c r="G1193" s="34">
        <v>0</v>
      </c>
      <c r="H1193" s="34">
        <f t="shared" si="38"/>
        <v>-3750</v>
      </c>
      <c r="I1193" s="34">
        <v>6011</v>
      </c>
      <c r="J1193" s="34">
        <f t="shared" si="39"/>
        <v>6</v>
      </c>
      <c r="K1193" s="34" t="s">
        <v>2494</v>
      </c>
      <c r="L1193" s="34" t="str">
        <f>I1193 &amp; "-" &amp;VLOOKUP(I1193,Střediska!$A$1:$B$40,2,FALSE)</f>
        <v>6011-Fanshop</v>
      </c>
      <c r="M1193" s="35" t="str">
        <f>VLOOKUP(Zdroj!$I1193,Střediska!$A$1:$B$41,2,FALSE)</f>
        <v>Fanshop</v>
      </c>
    </row>
    <row r="1194" spans="1:13" hidden="1" x14ac:dyDescent="0.2">
      <c r="A1194" s="36" t="s">
        <v>967</v>
      </c>
      <c r="B1194" s="31" t="s">
        <v>2506</v>
      </c>
      <c r="C1194" s="31" t="s">
        <v>106</v>
      </c>
      <c r="D1194" s="31" t="s">
        <v>2500</v>
      </c>
      <c r="E1194" s="31" t="s">
        <v>2502</v>
      </c>
      <c r="F1194" s="31">
        <v>15330</v>
      </c>
      <c r="G1194" s="31">
        <v>0</v>
      </c>
      <c r="H1194" s="31">
        <f t="shared" si="38"/>
        <v>-15330</v>
      </c>
      <c r="I1194" s="31">
        <v>6011</v>
      </c>
      <c r="J1194" s="31">
        <f t="shared" si="39"/>
        <v>6</v>
      </c>
      <c r="K1194" s="31" t="s">
        <v>2494</v>
      </c>
      <c r="L1194" s="31" t="str">
        <f>I1194 &amp; "-" &amp;VLOOKUP(I1194,Střediska!$A$1:$B$40,2,FALSE)</f>
        <v>6011-Fanshop</v>
      </c>
      <c r="M1194" s="32" t="str">
        <f>VLOOKUP(Zdroj!$I1194,Střediska!$A$1:$B$41,2,FALSE)</f>
        <v>Fanshop</v>
      </c>
    </row>
    <row r="1195" spans="1:13" hidden="1" x14ac:dyDescent="0.2">
      <c r="A1195" s="33" t="s">
        <v>967</v>
      </c>
      <c r="B1195" s="34" t="s">
        <v>2507</v>
      </c>
      <c r="C1195" s="34" t="s">
        <v>106</v>
      </c>
      <c r="D1195" s="34" t="s">
        <v>2139</v>
      </c>
      <c r="E1195" s="34" t="s">
        <v>2485</v>
      </c>
      <c r="F1195" s="34">
        <v>23644</v>
      </c>
      <c r="G1195" s="34">
        <v>0</v>
      </c>
      <c r="H1195" s="34">
        <f t="shared" si="38"/>
        <v>-23644</v>
      </c>
      <c r="I1195" s="34">
        <v>6011</v>
      </c>
      <c r="J1195" s="34">
        <f t="shared" si="39"/>
        <v>6</v>
      </c>
      <c r="K1195" s="34" t="s">
        <v>2494</v>
      </c>
      <c r="L1195" s="34" t="str">
        <f>I1195 &amp; "-" &amp;VLOOKUP(I1195,Střediska!$A$1:$B$40,2,FALSE)</f>
        <v>6011-Fanshop</v>
      </c>
      <c r="M1195" s="35" t="str">
        <f>VLOOKUP(Zdroj!$I1195,Střediska!$A$1:$B$41,2,FALSE)</f>
        <v>Fanshop</v>
      </c>
    </row>
    <row r="1196" spans="1:13" hidden="1" x14ac:dyDescent="0.2">
      <c r="A1196" s="36" t="s">
        <v>1167</v>
      </c>
      <c r="B1196" s="31" t="s">
        <v>2508</v>
      </c>
      <c r="C1196" s="31" t="s">
        <v>106</v>
      </c>
      <c r="D1196" s="31" t="s">
        <v>2139</v>
      </c>
      <c r="E1196" s="31" t="s">
        <v>2485</v>
      </c>
      <c r="F1196" s="31">
        <v>240</v>
      </c>
      <c r="G1196" s="31">
        <v>0</v>
      </c>
      <c r="H1196" s="31">
        <f t="shared" si="38"/>
        <v>-240</v>
      </c>
      <c r="I1196" s="31">
        <v>6011</v>
      </c>
      <c r="J1196" s="31">
        <f t="shared" si="39"/>
        <v>6</v>
      </c>
      <c r="K1196" s="31" t="s">
        <v>2494</v>
      </c>
      <c r="L1196" s="31" t="str">
        <f>I1196 &amp; "-" &amp;VLOOKUP(I1196,Střediska!$A$1:$B$40,2,FALSE)</f>
        <v>6011-Fanshop</v>
      </c>
      <c r="M1196" s="32" t="str">
        <f>VLOOKUP(Zdroj!$I1196,Střediska!$A$1:$B$41,2,FALSE)</f>
        <v>Fanshop</v>
      </c>
    </row>
    <row r="1197" spans="1:13" hidden="1" x14ac:dyDescent="0.2">
      <c r="A1197" s="33" t="s">
        <v>1883</v>
      </c>
      <c r="B1197" s="34" t="s">
        <v>2509</v>
      </c>
      <c r="C1197" s="34" t="s">
        <v>106</v>
      </c>
      <c r="D1197" s="34" t="s">
        <v>2500</v>
      </c>
      <c r="E1197" s="34" t="s">
        <v>2510</v>
      </c>
      <c r="F1197" s="34">
        <v>7713.75</v>
      </c>
      <c r="G1197" s="34">
        <v>0</v>
      </c>
      <c r="H1197" s="34">
        <f t="shared" si="38"/>
        <v>-7713.75</v>
      </c>
      <c r="I1197" s="34">
        <v>6011</v>
      </c>
      <c r="J1197" s="34">
        <f t="shared" si="39"/>
        <v>6</v>
      </c>
      <c r="K1197" s="34" t="s">
        <v>2494</v>
      </c>
      <c r="L1197" s="34" t="str">
        <f>I1197 &amp; "-" &amp;VLOOKUP(I1197,Střediska!$A$1:$B$40,2,FALSE)</f>
        <v>6011-Fanshop</v>
      </c>
      <c r="M1197" s="35" t="str">
        <f>VLOOKUP(Zdroj!$I1197,Střediska!$A$1:$B$41,2,FALSE)</f>
        <v>Fanshop</v>
      </c>
    </row>
    <row r="1198" spans="1:13" hidden="1" x14ac:dyDescent="0.2">
      <c r="A1198" s="36" t="s">
        <v>1883</v>
      </c>
      <c r="B1198" s="31" t="s">
        <v>2511</v>
      </c>
      <c r="C1198" s="31" t="s">
        <v>106</v>
      </c>
      <c r="D1198" s="31" t="s">
        <v>2500</v>
      </c>
      <c r="E1198" s="31" t="s">
        <v>2512</v>
      </c>
      <c r="F1198" s="31">
        <v>15342.8</v>
      </c>
      <c r="G1198" s="31">
        <v>0</v>
      </c>
      <c r="H1198" s="31">
        <f t="shared" si="38"/>
        <v>-15342.8</v>
      </c>
      <c r="I1198" s="31">
        <v>6011</v>
      </c>
      <c r="J1198" s="31">
        <f t="shared" si="39"/>
        <v>6</v>
      </c>
      <c r="K1198" s="31" t="s">
        <v>2494</v>
      </c>
      <c r="L1198" s="31" t="str">
        <f>I1198 &amp; "-" &amp;VLOOKUP(I1198,Střediska!$A$1:$B$40,2,FALSE)</f>
        <v>6011-Fanshop</v>
      </c>
      <c r="M1198" s="32" t="str">
        <f>VLOOKUP(Zdroj!$I1198,Střediska!$A$1:$B$41,2,FALSE)</f>
        <v>Fanshop</v>
      </c>
    </row>
    <row r="1199" spans="1:13" hidden="1" x14ac:dyDescent="0.2">
      <c r="A1199" s="33" t="s">
        <v>2514</v>
      </c>
      <c r="B1199" s="34" t="s">
        <v>2513</v>
      </c>
      <c r="C1199" s="34" t="s">
        <v>106</v>
      </c>
      <c r="D1199" s="34" t="s">
        <v>2500</v>
      </c>
      <c r="E1199" s="34" t="s">
        <v>2510</v>
      </c>
      <c r="F1199" s="34">
        <v>10103.5</v>
      </c>
      <c r="G1199" s="34">
        <v>0</v>
      </c>
      <c r="H1199" s="34">
        <f t="shared" si="38"/>
        <v>-10103.5</v>
      </c>
      <c r="I1199" s="34">
        <v>6011</v>
      </c>
      <c r="J1199" s="34">
        <f t="shared" si="39"/>
        <v>6</v>
      </c>
      <c r="K1199" s="34" t="s">
        <v>2494</v>
      </c>
      <c r="L1199" s="34" t="str">
        <f>I1199 &amp; "-" &amp;VLOOKUP(I1199,Střediska!$A$1:$B$40,2,FALSE)</f>
        <v>6011-Fanshop</v>
      </c>
      <c r="M1199" s="35" t="str">
        <f>VLOOKUP(Zdroj!$I1199,Střediska!$A$1:$B$41,2,FALSE)</f>
        <v>Fanshop</v>
      </c>
    </row>
    <row r="1200" spans="1:13" hidden="1" x14ac:dyDescent="0.2">
      <c r="A1200" s="36" t="s">
        <v>253</v>
      </c>
      <c r="B1200" s="31" t="s">
        <v>2515</v>
      </c>
      <c r="C1200" s="31" t="s">
        <v>106</v>
      </c>
      <c r="D1200" s="31" t="s">
        <v>2516</v>
      </c>
      <c r="E1200" s="31" t="s">
        <v>2485</v>
      </c>
      <c r="F1200" s="31">
        <v>7865</v>
      </c>
      <c r="G1200" s="31">
        <v>0</v>
      </c>
      <c r="H1200" s="31">
        <f t="shared" si="38"/>
        <v>-7865</v>
      </c>
      <c r="I1200" s="31">
        <v>6011</v>
      </c>
      <c r="J1200" s="31">
        <f t="shared" si="39"/>
        <v>6</v>
      </c>
      <c r="K1200" s="31" t="s">
        <v>2494</v>
      </c>
      <c r="L1200" s="31" t="str">
        <f>I1200 &amp; "-" &amp;VLOOKUP(I1200,Střediska!$A$1:$B$40,2,FALSE)</f>
        <v>6011-Fanshop</v>
      </c>
      <c r="M1200" s="32" t="str">
        <f>VLOOKUP(Zdroj!$I1200,Střediska!$A$1:$B$41,2,FALSE)</f>
        <v>Fanshop</v>
      </c>
    </row>
    <row r="1201" spans="1:13" hidden="1" x14ac:dyDescent="0.2">
      <c r="A1201" s="33" t="s">
        <v>253</v>
      </c>
      <c r="B1201" s="34" t="s">
        <v>2517</v>
      </c>
      <c r="C1201" s="34" t="s">
        <v>106</v>
      </c>
      <c r="D1201" s="34" t="s">
        <v>2500</v>
      </c>
      <c r="E1201" s="34" t="s">
        <v>2518</v>
      </c>
      <c r="F1201" s="34">
        <v>6562.8</v>
      </c>
      <c r="G1201" s="34">
        <v>0</v>
      </c>
      <c r="H1201" s="34">
        <f t="shared" si="38"/>
        <v>-6562.8</v>
      </c>
      <c r="I1201" s="34">
        <v>6011</v>
      </c>
      <c r="J1201" s="34">
        <f t="shared" si="39"/>
        <v>6</v>
      </c>
      <c r="K1201" s="34" t="s">
        <v>2494</v>
      </c>
      <c r="L1201" s="34" t="str">
        <f>I1201 &amp; "-" &amp;VLOOKUP(I1201,Střediska!$A$1:$B$40,2,FALSE)</f>
        <v>6011-Fanshop</v>
      </c>
      <c r="M1201" s="35" t="str">
        <f>VLOOKUP(Zdroj!$I1201,Střediska!$A$1:$B$41,2,FALSE)</f>
        <v>Fanshop</v>
      </c>
    </row>
    <row r="1202" spans="1:13" hidden="1" x14ac:dyDescent="0.2">
      <c r="A1202" s="36" t="s">
        <v>253</v>
      </c>
      <c r="B1202" s="31" t="s">
        <v>2519</v>
      </c>
      <c r="C1202" s="31" t="s">
        <v>106</v>
      </c>
      <c r="D1202" s="31" t="s">
        <v>2500</v>
      </c>
      <c r="E1202" s="31" t="s">
        <v>2518</v>
      </c>
      <c r="F1202" s="31">
        <v>10938</v>
      </c>
      <c r="G1202" s="31">
        <v>0</v>
      </c>
      <c r="H1202" s="31">
        <f t="shared" si="38"/>
        <v>-10938</v>
      </c>
      <c r="I1202" s="31">
        <v>6011</v>
      </c>
      <c r="J1202" s="31">
        <f t="shared" si="39"/>
        <v>6</v>
      </c>
      <c r="K1202" s="31" t="s">
        <v>2494</v>
      </c>
      <c r="L1202" s="31" t="str">
        <f>I1202 &amp; "-" &amp;VLOOKUP(I1202,Střediska!$A$1:$B$40,2,FALSE)</f>
        <v>6011-Fanshop</v>
      </c>
      <c r="M1202" s="32" t="str">
        <f>VLOOKUP(Zdroj!$I1202,Střediska!$A$1:$B$41,2,FALSE)</f>
        <v>Fanshop</v>
      </c>
    </row>
    <row r="1203" spans="1:13" hidden="1" x14ac:dyDescent="0.2">
      <c r="A1203" s="33" t="s">
        <v>220</v>
      </c>
      <c r="B1203" s="34" t="s">
        <v>2520</v>
      </c>
      <c r="C1203" s="34" t="s">
        <v>106</v>
      </c>
      <c r="D1203" s="34" t="s">
        <v>2521</v>
      </c>
      <c r="E1203" s="34" t="s">
        <v>2485</v>
      </c>
      <c r="F1203" s="34">
        <v>5566</v>
      </c>
      <c r="G1203" s="34">
        <v>0</v>
      </c>
      <c r="H1203" s="34">
        <f t="shared" si="38"/>
        <v>-5566</v>
      </c>
      <c r="I1203" s="34">
        <v>6011</v>
      </c>
      <c r="J1203" s="34">
        <f t="shared" si="39"/>
        <v>6</v>
      </c>
      <c r="K1203" s="34" t="s">
        <v>2494</v>
      </c>
      <c r="L1203" s="34" t="str">
        <f>I1203 &amp; "-" &amp;VLOOKUP(I1203,Střediska!$A$1:$B$40,2,FALSE)</f>
        <v>6011-Fanshop</v>
      </c>
      <c r="M1203" s="35" t="str">
        <f>VLOOKUP(Zdroj!$I1203,Střediska!$A$1:$B$41,2,FALSE)</f>
        <v>Fanshop</v>
      </c>
    </row>
    <row r="1204" spans="1:13" hidden="1" x14ac:dyDescent="0.2">
      <c r="A1204" s="36" t="s">
        <v>709</v>
      </c>
      <c r="B1204" s="31" t="s">
        <v>2522</v>
      </c>
      <c r="C1204" s="31" t="s">
        <v>106</v>
      </c>
      <c r="D1204" s="31" t="s">
        <v>2500</v>
      </c>
      <c r="E1204" s="31" t="s">
        <v>2523</v>
      </c>
      <c r="F1204" s="31">
        <v>6114.6</v>
      </c>
      <c r="G1204" s="31">
        <v>0</v>
      </c>
      <c r="H1204" s="31">
        <f t="shared" si="38"/>
        <v>-6114.6</v>
      </c>
      <c r="I1204" s="31">
        <v>6011</v>
      </c>
      <c r="J1204" s="31">
        <f t="shared" si="39"/>
        <v>6</v>
      </c>
      <c r="K1204" s="31" t="s">
        <v>2494</v>
      </c>
      <c r="L1204" s="31" t="str">
        <f>I1204 &amp; "-" &amp;VLOOKUP(I1204,Střediska!$A$1:$B$40,2,FALSE)</f>
        <v>6011-Fanshop</v>
      </c>
      <c r="M1204" s="32" t="str">
        <f>VLOOKUP(Zdroj!$I1204,Střediska!$A$1:$B$41,2,FALSE)</f>
        <v>Fanshop</v>
      </c>
    </row>
    <row r="1205" spans="1:13" hidden="1" x14ac:dyDescent="0.2">
      <c r="A1205" s="33" t="s">
        <v>709</v>
      </c>
      <c r="B1205" s="34" t="s">
        <v>2524</v>
      </c>
      <c r="C1205" s="34" t="s">
        <v>106</v>
      </c>
      <c r="D1205" s="34" t="s">
        <v>2500</v>
      </c>
      <c r="E1205" s="34" t="s">
        <v>2523</v>
      </c>
      <c r="F1205" s="34">
        <v>16090.2</v>
      </c>
      <c r="G1205" s="34">
        <v>0</v>
      </c>
      <c r="H1205" s="34">
        <f t="shared" si="38"/>
        <v>-16090.2</v>
      </c>
      <c r="I1205" s="34">
        <v>6011</v>
      </c>
      <c r="J1205" s="34">
        <f t="shared" si="39"/>
        <v>6</v>
      </c>
      <c r="K1205" s="34" t="s">
        <v>2494</v>
      </c>
      <c r="L1205" s="34" t="str">
        <f>I1205 &amp; "-" &amp;VLOOKUP(I1205,Střediska!$A$1:$B$40,2,FALSE)</f>
        <v>6011-Fanshop</v>
      </c>
      <c r="M1205" s="35" t="str">
        <f>VLOOKUP(Zdroj!$I1205,Střediska!$A$1:$B$41,2,FALSE)</f>
        <v>Fanshop</v>
      </c>
    </row>
    <row r="1206" spans="1:13" hidden="1" x14ac:dyDescent="0.2">
      <c r="A1206" s="36" t="s">
        <v>352</v>
      </c>
      <c r="B1206" s="31" t="s">
        <v>2525</v>
      </c>
      <c r="C1206" s="31" t="s">
        <v>106</v>
      </c>
      <c r="D1206" s="31" t="s">
        <v>2500</v>
      </c>
      <c r="E1206" s="31" t="s">
        <v>2518</v>
      </c>
      <c r="F1206" s="31">
        <v>3535.2</v>
      </c>
      <c r="G1206" s="31">
        <v>0</v>
      </c>
      <c r="H1206" s="31">
        <f t="shared" si="38"/>
        <v>-3535.2</v>
      </c>
      <c r="I1206" s="31">
        <v>6011</v>
      </c>
      <c r="J1206" s="31">
        <f t="shared" si="39"/>
        <v>6</v>
      </c>
      <c r="K1206" s="31" t="s">
        <v>2494</v>
      </c>
      <c r="L1206" s="31" t="str">
        <f>I1206 &amp; "-" &amp;VLOOKUP(I1206,Střediska!$A$1:$B$40,2,FALSE)</f>
        <v>6011-Fanshop</v>
      </c>
      <c r="M1206" s="32" t="str">
        <f>VLOOKUP(Zdroj!$I1206,Střediska!$A$1:$B$41,2,FALSE)</f>
        <v>Fanshop</v>
      </c>
    </row>
    <row r="1207" spans="1:13" hidden="1" x14ac:dyDescent="0.2">
      <c r="A1207" s="33" t="s">
        <v>274</v>
      </c>
      <c r="B1207" s="34" t="s">
        <v>2526</v>
      </c>
      <c r="C1207" s="34" t="s">
        <v>106</v>
      </c>
      <c r="D1207" s="34" t="s">
        <v>2139</v>
      </c>
      <c r="E1207" s="34" t="s">
        <v>2485</v>
      </c>
      <c r="F1207" s="34">
        <v>16112</v>
      </c>
      <c r="G1207" s="34">
        <v>0</v>
      </c>
      <c r="H1207" s="34">
        <f t="shared" si="38"/>
        <v>-16112</v>
      </c>
      <c r="I1207" s="34">
        <v>6011</v>
      </c>
      <c r="J1207" s="34">
        <f t="shared" si="39"/>
        <v>6</v>
      </c>
      <c r="K1207" s="34" t="s">
        <v>2494</v>
      </c>
      <c r="L1207" s="34" t="str">
        <f>I1207 &amp; "-" &amp;VLOOKUP(I1207,Střediska!$A$1:$B$40,2,FALSE)</f>
        <v>6011-Fanshop</v>
      </c>
      <c r="M1207" s="35" t="str">
        <f>VLOOKUP(Zdroj!$I1207,Střediska!$A$1:$B$41,2,FALSE)</f>
        <v>Fanshop</v>
      </c>
    </row>
    <row r="1208" spans="1:13" hidden="1" x14ac:dyDescent="0.2">
      <c r="A1208" s="36" t="s">
        <v>1752</v>
      </c>
      <c r="B1208" s="31" t="s">
        <v>2527</v>
      </c>
      <c r="C1208" s="31" t="s">
        <v>106</v>
      </c>
      <c r="D1208" s="31" t="s">
        <v>2528</v>
      </c>
      <c r="E1208" s="31" t="s">
        <v>2529</v>
      </c>
      <c r="F1208" s="31">
        <v>26862</v>
      </c>
      <c r="G1208" s="31">
        <v>0</v>
      </c>
      <c r="H1208" s="31">
        <f t="shared" si="38"/>
        <v>-26862</v>
      </c>
      <c r="I1208" s="31">
        <v>6011</v>
      </c>
      <c r="J1208" s="31">
        <f t="shared" si="39"/>
        <v>6</v>
      </c>
      <c r="K1208" s="31" t="s">
        <v>2494</v>
      </c>
      <c r="L1208" s="31" t="str">
        <f>I1208 &amp; "-" &amp;VLOOKUP(I1208,Střediska!$A$1:$B$40,2,FALSE)</f>
        <v>6011-Fanshop</v>
      </c>
      <c r="M1208" s="32" t="str">
        <f>VLOOKUP(Zdroj!$I1208,Střediska!$A$1:$B$41,2,FALSE)</f>
        <v>Fanshop</v>
      </c>
    </row>
    <row r="1209" spans="1:13" hidden="1" x14ac:dyDescent="0.2">
      <c r="A1209" s="33" t="s">
        <v>1250</v>
      </c>
      <c r="B1209" s="34" t="s">
        <v>2530</v>
      </c>
      <c r="C1209" s="34" t="s">
        <v>106</v>
      </c>
      <c r="D1209" s="34" t="s">
        <v>2504</v>
      </c>
      <c r="E1209" s="34" t="s">
        <v>2505</v>
      </c>
      <c r="F1209" s="34">
        <v>9375</v>
      </c>
      <c r="G1209" s="34">
        <v>0</v>
      </c>
      <c r="H1209" s="34">
        <f t="shared" si="38"/>
        <v>-9375</v>
      </c>
      <c r="I1209" s="34">
        <v>6011</v>
      </c>
      <c r="J1209" s="34">
        <f t="shared" si="39"/>
        <v>6</v>
      </c>
      <c r="K1209" s="34" t="s">
        <v>2494</v>
      </c>
      <c r="L1209" s="34" t="str">
        <f>I1209 &amp; "-" &amp;VLOOKUP(I1209,Střediska!$A$1:$B$40,2,FALSE)</f>
        <v>6011-Fanshop</v>
      </c>
      <c r="M1209" s="35" t="str">
        <f>VLOOKUP(Zdroj!$I1209,Střediska!$A$1:$B$41,2,FALSE)</f>
        <v>Fanshop</v>
      </c>
    </row>
    <row r="1210" spans="1:13" hidden="1" x14ac:dyDescent="0.2">
      <c r="A1210" s="36" t="s">
        <v>1250</v>
      </c>
      <c r="B1210" s="31" t="s">
        <v>2531</v>
      </c>
      <c r="C1210" s="31" t="s">
        <v>106</v>
      </c>
      <c r="D1210" s="31" t="s">
        <v>2532</v>
      </c>
      <c r="E1210" s="31" t="s">
        <v>2049</v>
      </c>
      <c r="F1210" s="31">
        <v>11900</v>
      </c>
      <c r="G1210" s="31">
        <v>0</v>
      </c>
      <c r="H1210" s="31">
        <f t="shared" si="38"/>
        <v>-11900</v>
      </c>
      <c r="I1210" s="31">
        <v>6011</v>
      </c>
      <c r="J1210" s="31">
        <f t="shared" si="39"/>
        <v>6</v>
      </c>
      <c r="K1210" s="31" t="s">
        <v>2494</v>
      </c>
      <c r="L1210" s="31" t="str">
        <f>I1210 &amp; "-" &amp;VLOOKUP(I1210,Střediska!$A$1:$B$40,2,FALSE)</f>
        <v>6011-Fanshop</v>
      </c>
      <c r="M1210" s="32" t="str">
        <f>VLOOKUP(Zdroj!$I1210,Střediska!$A$1:$B$41,2,FALSE)</f>
        <v>Fanshop</v>
      </c>
    </row>
    <row r="1211" spans="1:13" ht="12.75" hidden="1" thickTop="1" x14ac:dyDescent="0.2">
      <c r="A1211" s="28" t="s">
        <v>2038</v>
      </c>
      <c r="B1211" s="26" t="s">
        <v>2533</v>
      </c>
      <c r="C1211" s="26" t="s">
        <v>106</v>
      </c>
      <c r="D1211" s="26" t="s">
        <v>2500</v>
      </c>
      <c r="E1211" s="26" t="s">
        <v>2518</v>
      </c>
      <c r="F1211" s="26" t="s">
        <v>2751</v>
      </c>
      <c r="G1211" s="26" t="s">
        <v>2752</v>
      </c>
      <c r="H1211" s="26">
        <f>SUBTOTAL(109,Zdroj!$H$2:$H$1210)</f>
        <v>707826.33000000007</v>
      </c>
      <c r="I1211" s="26" t="s">
        <v>2478</v>
      </c>
      <c r="J1211" s="26"/>
      <c r="K1211" s="26" t="s">
        <v>2494</v>
      </c>
      <c r="L1211" s="26"/>
      <c r="M1211" s="27">
        <f>SUBTOTAL(103,Zdroj!$M$2:$M$1210)</f>
        <v>18</v>
      </c>
    </row>
    <row r="1212" spans="1:13" hidden="1" x14ac:dyDescent="0.2">
      <c r="A1212" t="s">
        <v>2038</v>
      </c>
      <c r="B1212" t="s">
        <v>2534</v>
      </c>
      <c r="C1212" t="s">
        <v>209</v>
      </c>
      <c r="E1212" t="s">
        <v>2535</v>
      </c>
      <c r="F1212">
        <v>1794</v>
      </c>
      <c r="G1212">
        <v>0</v>
      </c>
      <c r="I1212">
        <v>6011</v>
      </c>
      <c r="K1212" t="s">
        <v>2494</v>
      </c>
    </row>
    <row r="1213" spans="1:13" hidden="1" x14ac:dyDescent="0.2">
      <c r="A1213" t="s">
        <v>293</v>
      </c>
      <c r="B1213" t="s">
        <v>2536</v>
      </c>
      <c r="C1213" t="s">
        <v>106</v>
      </c>
      <c r="D1213" t="s">
        <v>2500</v>
      </c>
      <c r="E1213" t="s">
        <v>2518</v>
      </c>
      <c r="F1213">
        <v>9100.7999999999993</v>
      </c>
      <c r="G1213">
        <v>0</v>
      </c>
      <c r="I1213">
        <v>6011</v>
      </c>
      <c r="K1213" t="s">
        <v>2494</v>
      </c>
    </row>
    <row r="1214" spans="1:13" hidden="1" x14ac:dyDescent="0.2">
      <c r="A1214" t="s">
        <v>2087</v>
      </c>
      <c r="B1214" t="s">
        <v>2537</v>
      </c>
      <c r="C1214" t="s">
        <v>106</v>
      </c>
      <c r="D1214" t="s">
        <v>2139</v>
      </c>
      <c r="E1214" t="s">
        <v>2538</v>
      </c>
      <c r="F1214">
        <v>2740</v>
      </c>
      <c r="G1214">
        <v>0</v>
      </c>
      <c r="I1214">
        <v>6011</v>
      </c>
      <c r="K1214" t="s">
        <v>2494</v>
      </c>
    </row>
    <row r="1215" spans="1:13" hidden="1" x14ac:dyDescent="0.2">
      <c r="A1215" t="s">
        <v>478</v>
      </c>
      <c r="B1215" t="s">
        <v>2539</v>
      </c>
      <c r="C1215" t="s">
        <v>106</v>
      </c>
      <c r="D1215" t="s">
        <v>2532</v>
      </c>
      <c r="E1215" t="s">
        <v>2049</v>
      </c>
      <c r="F1215">
        <v>2849</v>
      </c>
      <c r="G1215">
        <v>0</v>
      </c>
      <c r="I1215">
        <v>6011</v>
      </c>
      <c r="K1215" t="s">
        <v>2494</v>
      </c>
    </row>
    <row r="1216" spans="1:13" hidden="1" x14ac:dyDescent="0.2">
      <c r="A1216" t="s">
        <v>413</v>
      </c>
      <c r="B1216" t="s">
        <v>2481</v>
      </c>
      <c r="C1216" t="s">
        <v>106</v>
      </c>
      <c r="D1216" t="s">
        <v>2139</v>
      </c>
      <c r="E1216" t="s">
        <v>2480</v>
      </c>
      <c r="F1216">
        <v>1260</v>
      </c>
      <c r="G1216">
        <v>0</v>
      </c>
      <c r="I1216">
        <v>6011</v>
      </c>
      <c r="K1216" t="s">
        <v>1759</v>
      </c>
    </row>
    <row r="1217" spans="1:11" hidden="1" x14ac:dyDescent="0.2">
      <c r="A1217" t="s">
        <v>1037</v>
      </c>
      <c r="B1217" t="s">
        <v>2482</v>
      </c>
      <c r="C1217" t="s">
        <v>106</v>
      </c>
      <c r="D1217" t="s">
        <v>2139</v>
      </c>
      <c r="E1217" t="s">
        <v>2483</v>
      </c>
      <c r="F1217">
        <v>629</v>
      </c>
      <c r="G1217">
        <v>0</v>
      </c>
      <c r="I1217">
        <v>6011</v>
      </c>
      <c r="K1217" t="s">
        <v>1759</v>
      </c>
    </row>
    <row r="1218" spans="1:11" hidden="1" x14ac:dyDescent="0.2">
      <c r="A1218" t="s">
        <v>527</v>
      </c>
      <c r="B1218" t="s">
        <v>2484</v>
      </c>
      <c r="C1218" t="s">
        <v>106</v>
      </c>
      <c r="D1218" t="s">
        <v>2139</v>
      </c>
      <c r="E1218" t="s">
        <v>2485</v>
      </c>
      <c r="F1218">
        <v>525</v>
      </c>
      <c r="G1218">
        <v>0</v>
      </c>
      <c r="I1218">
        <v>6011</v>
      </c>
      <c r="K1218" t="s">
        <v>1759</v>
      </c>
    </row>
    <row r="1219" spans="1:11" hidden="1" x14ac:dyDescent="0.2">
      <c r="A1219" t="s">
        <v>611</v>
      </c>
      <c r="B1219" t="s">
        <v>2486</v>
      </c>
      <c r="C1219" t="s">
        <v>106</v>
      </c>
      <c r="D1219" t="s">
        <v>2139</v>
      </c>
      <c r="E1219" t="s">
        <v>2485</v>
      </c>
      <c r="F1219">
        <v>1098</v>
      </c>
      <c r="G1219">
        <v>0</v>
      </c>
      <c r="I1219">
        <v>6011</v>
      </c>
      <c r="K1219" t="s">
        <v>1759</v>
      </c>
    </row>
    <row r="1220" spans="1:11" hidden="1" x14ac:dyDescent="0.2">
      <c r="A1220" t="s">
        <v>2488</v>
      </c>
      <c r="B1220" t="s">
        <v>2487</v>
      </c>
      <c r="C1220" t="s">
        <v>106</v>
      </c>
      <c r="D1220" t="s">
        <v>2139</v>
      </c>
      <c r="E1220" t="s">
        <v>2485</v>
      </c>
      <c r="F1220">
        <v>700</v>
      </c>
      <c r="G1220">
        <v>0</v>
      </c>
      <c r="I1220">
        <v>6011</v>
      </c>
      <c r="K1220" t="s">
        <v>1759</v>
      </c>
    </row>
    <row r="1221" spans="1:11" hidden="1" x14ac:dyDescent="0.2">
      <c r="A1221" t="s">
        <v>2491</v>
      </c>
      <c r="B1221" t="s">
        <v>2490</v>
      </c>
      <c r="C1221" t="s">
        <v>106</v>
      </c>
      <c r="D1221" t="s">
        <v>2139</v>
      </c>
      <c r="E1221" t="s">
        <v>2485</v>
      </c>
      <c r="F1221">
        <v>600</v>
      </c>
      <c r="G1221">
        <v>0</v>
      </c>
      <c r="I1221">
        <v>6011</v>
      </c>
      <c r="K1221" t="s">
        <v>1759</v>
      </c>
    </row>
    <row r="1222" spans="1:11" hidden="1" x14ac:dyDescent="0.2">
      <c r="A1222" t="s">
        <v>1484</v>
      </c>
      <c r="B1222" t="s">
        <v>2492</v>
      </c>
      <c r="C1222" t="s">
        <v>106</v>
      </c>
      <c r="D1222" t="s">
        <v>2139</v>
      </c>
      <c r="E1222" t="s">
        <v>2485</v>
      </c>
      <c r="F1222">
        <v>320</v>
      </c>
      <c r="G1222">
        <v>0</v>
      </c>
      <c r="I1222">
        <v>6011</v>
      </c>
      <c r="K1222" t="s">
        <v>1759</v>
      </c>
    </row>
    <row r="1223" spans="1:11" hidden="1" x14ac:dyDescent="0.2">
      <c r="A1223" t="s">
        <v>2501</v>
      </c>
      <c r="B1223" t="s">
        <v>2542</v>
      </c>
      <c r="C1223" t="s">
        <v>106</v>
      </c>
      <c r="D1223" t="s">
        <v>2543</v>
      </c>
      <c r="E1223" t="s">
        <v>2544</v>
      </c>
      <c r="F1223">
        <v>17470</v>
      </c>
      <c r="G1223">
        <v>0</v>
      </c>
      <c r="I1223">
        <v>6011</v>
      </c>
      <c r="K1223" t="s">
        <v>2541</v>
      </c>
    </row>
    <row r="1224" spans="1:11" hidden="1" x14ac:dyDescent="0.2">
      <c r="A1224" t="s">
        <v>682</v>
      </c>
      <c r="B1224" t="s">
        <v>2545</v>
      </c>
      <c r="C1224" t="s">
        <v>106</v>
      </c>
      <c r="D1224" t="s">
        <v>2546</v>
      </c>
      <c r="E1224" t="s">
        <v>2547</v>
      </c>
      <c r="F1224">
        <v>1629.87</v>
      </c>
      <c r="G1224">
        <v>0</v>
      </c>
      <c r="I1224">
        <v>6011</v>
      </c>
      <c r="K1224" t="s">
        <v>2541</v>
      </c>
    </row>
    <row r="1225" spans="1:11" hidden="1" x14ac:dyDescent="0.2">
      <c r="A1225" t="s">
        <v>2462</v>
      </c>
      <c r="B1225" t="s">
        <v>2548</v>
      </c>
      <c r="C1225" t="s">
        <v>106</v>
      </c>
      <c r="D1225" t="s">
        <v>2543</v>
      </c>
      <c r="E1225" t="s">
        <v>2544</v>
      </c>
      <c r="F1225">
        <v>5140</v>
      </c>
      <c r="G1225">
        <v>0</v>
      </c>
      <c r="I1225">
        <v>6011</v>
      </c>
      <c r="K1225" t="s">
        <v>2541</v>
      </c>
    </row>
    <row r="1226" spans="1:11" hidden="1" x14ac:dyDescent="0.2">
      <c r="A1226" t="s">
        <v>1894</v>
      </c>
      <c r="B1226" t="s">
        <v>2549</v>
      </c>
      <c r="C1226" t="s">
        <v>106</v>
      </c>
      <c r="D1226" t="s">
        <v>2543</v>
      </c>
      <c r="E1226" t="s">
        <v>2544</v>
      </c>
      <c r="F1226">
        <v>520</v>
      </c>
      <c r="G1226">
        <v>0</v>
      </c>
      <c r="I1226">
        <v>6011</v>
      </c>
      <c r="K1226" t="s">
        <v>2541</v>
      </c>
    </row>
    <row r="1227" spans="1:11" hidden="1" x14ac:dyDescent="0.2">
      <c r="A1227" t="s">
        <v>531</v>
      </c>
      <c r="B1227" t="s">
        <v>2550</v>
      </c>
      <c r="C1227" t="s">
        <v>106</v>
      </c>
      <c r="D1227" t="s">
        <v>2546</v>
      </c>
      <c r="E1227" t="s">
        <v>2551</v>
      </c>
      <c r="F1227">
        <v>223.85000000000002</v>
      </c>
      <c r="G1227">
        <v>0</v>
      </c>
      <c r="I1227">
        <v>6011</v>
      </c>
      <c r="K1227" t="s">
        <v>2541</v>
      </c>
    </row>
    <row r="1228" spans="1:11" hidden="1" x14ac:dyDescent="0.2">
      <c r="A1228" t="s">
        <v>25</v>
      </c>
      <c r="B1228" t="s">
        <v>2556</v>
      </c>
      <c r="C1228" t="s">
        <v>106</v>
      </c>
      <c r="D1228" t="s">
        <v>575</v>
      </c>
      <c r="E1228" t="s">
        <v>2557</v>
      </c>
      <c r="F1228">
        <v>3200</v>
      </c>
      <c r="G1228">
        <v>0</v>
      </c>
      <c r="I1228">
        <v>6011</v>
      </c>
      <c r="K1228" t="s">
        <v>2555</v>
      </c>
    </row>
    <row r="1229" spans="1:11" hidden="1" x14ac:dyDescent="0.2">
      <c r="A1229" t="s">
        <v>28</v>
      </c>
      <c r="B1229" t="s">
        <v>2558</v>
      </c>
      <c r="C1229" t="s">
        <v>106</v>
      </c>
      <c r="D1229" t="s">
        <v>575</v>
      </c>
      <c r="E1229" t="s">
        <v>2559</v>
      </c>
      <c r="F1229">
        <v>2000</v>
      </c>
      <c r="G1229">
        <v>0</v>
      </c>
      <c r="I1229">
        <v>6011</v>
      </c>
      <c r="K1229" t="s">
        <v>2555</v>
      </c>
    </row>
    <row r="1230" spans="1:11" hidden="1" x14ac:dyDescent="0.2">
      <c r="A1230" t="s">
        <v>31</v>
      </c>
      <c r="B1230" t="s">
        <v>2560</v>
      </c>
      <c r="C1230" t="s">
        <v>106</v>
      </c>
      <c r="D1230" t="s">
        <v>575</v>
      </c>
      <c r="E1230" t="s">
        <v>2561</v>
      </c>
      <c r="F1230">
        <v>3200</v>
      </c>
      <c r="G1230">
        <v>0</v>
      </c>
      <c r="I1230">
        <v>6011</v>
      </c>
      <c r="K1230" t="s">
        <v>2555</v>
      </c>
    </row>
    <row r="1231" spans="1:11" hidden="1" x14ac:dyDescent="0.2">
      <c r="A1231" t="s">
        <v>34</v>
      </c>
      <c r="B1231" t="s">
        <v>2562</v>
      </c>
      <c r="C1231" t="s">
        <v>106</v>
      </c>
      <c r="D1231" t="s">
        <v>575</v>
      </c>
      <c r="E1231" t="s">
        <v>2563</v>
      </c>
      <c r="F1231">
        <v>2000</v>
      </c>
      <c r="G1231">
        <v>0</v>
      </c>
      <c r="I1231">
        <v>6011</v>
      </c>
      <c r="K1231" t="s">
        <v>2555</v>
      </c>
    </row>
    <row r="1232" spans="1:11" hidden="1" x14ac:dyDescent="0.2">
      <c r="A1232" t="s">
        <v>37</v>
      </c>
      <c r="B1232" t="s">
        <v>2565</v>
      </c>
      <c r="C1232" t="s">
        <v>106</v>
      </c>
      <c r="D1232" t="s">
        <v>575</v>
      </c>
      <c r="E1232" t="s">
        <v>2566</v>
      </c>
      <c r="F1232">
        <v>3200</v>
      </c>
      <c r="G1232">
        <v>0</v>
      </c>
      <c r="I1232">
        <v>6011</v>
      </c>
      <c r="K1232" t="s">
        <v>2555</v>
      </c>
    </row>
    <row r="1233" spans="1:11" hidden="1" x14ac:dyDescent="0.2">
      <c r="A1233" t="s">
        <v>264</v>
      </c>
      <c r="B1233" t="s">
        <v>2552</v>
      </c>
      <c r="C1233" t="s">
        <v>106</v>
      </c>
      <c r="D1233" t="s">
        <v>2553</v>
      </c>
      <c r="E1233" t="s">
        <v>2743</v>
      </c>
      <c r="F1233">
        <v>5738</v>
      </c>
      <c r="G1233">
        <v>0</v>
      </c>
      <c r="I1233">
        <v>6011</v>
      </c>
      <c r="K1233" t="s">
        <v>2555</v>
      </c>
    </row>
    <row r="1234" spans="1:11" hidden="1" x14ac:dyDescent="0.2">
      <c r="A1234" t="s">
        <v>651</v>
      </c>
      <c r="B1234" t="s">
        <v>2569</v>
      </c>
      <c r="C1234" t="s">
        <v>64</v>
      </c>
      <c r="E1234" t="s">
        <v>95</v>
      </c>
      <c r="F1234">
        <v>0</v>
      </c>
      <c r="G1234">
        <v>33000</v>
      </c>
      <c r="I1234">
        <v>6011</v>
      </c>
      <c r="K1234" t="s">
        <v>2568</v>
      </c>
    </row>
    <row r="1235" spans="1:11" hidden="1" x14ac:dyDescent="0.2">
      <c r="A1235" t="s">
        <v>875</v>
      </c>
      <c r="B1235" t="s">
        <v>2570</v>
      </c>
      <c r="C1235" t="s">
        <v>64</v>
      </c>
      <c r="E1235" t="s">
        <v>2571</v>
      </c>
      <c r="F1235">
        <v>0</v>
      </c>
      <c r="G1235">
        <v>9922</v>
      </c>
      <c r="I1235">
        <v>6011</v>
      </c>
      <c r="K1235" t="s">
        <v>2568</v>
      </c>
    </row>
    <row r="1236" spans="1:11" hidden="1" x14ac:dyDescent="0.2">
      <c r="A1236" t="s">
        <v>37</v>
      </c>
      <c r="B1236" t="s">
        <v>2572</v>
      </c>
      <c r="C1236" t="s">
        <v>64</v>
      </c>
      <c r="E1236" t="s">
        <v>95</v>
      </c>
      <c r="F1236">
        <v>0</v>
      </c>
      <c r="G1236">
        <v>20470</v>
      </c>
      <c r="I1236">
        <v>6011</v>
      </c>
      <c r="K1236" t="s">
        <v>2568</v>
      </c>
    </row>
    <row r="1237" spans="1:11" hidden="1" x14ac:dyDescent="0.2">
      <c r="A1237" t="s">
        <v>2038</v>
      </c>
      <c r="B1237" t="s">
        <v>2573</v>
      </c>
      <c r="C1237" t="s">
        <v>64</v>
      </c>
      <c r="E1237" t="s">
        <v>95</v>
      </c>
      <c r="F1237">
        <v>0</v>
      </c>
      <c r="G1237">
        <v>152110</v>
      </c>
      <c r="I1237">
        <v>6011</v>
      </c>
      <c r="K1237" t="s">
        <v>2568</v>
      </c>
    </row>
    <row r="1238" spans="1:11" hidden="1" x14ac:dyDescent="0.2">
      <c r="A1238" t="s">
        <v>203</v>
      </c>
      <c r="B1238" t="s">
        <v>2574</v>
      </c>
      <c r="C1238" t="s">
        <v>64</v>
      </c>
      <c r="E1238" t="s">
        <v>2575</v>
      </c>
      <c r="F1238">
        <v>0</v>
      </c>
      <c r="G1238">
        <v>400</v>
      </c>
      <c r="I1238">
        <v>6011</v>
      </c>
      <c r="K1238" t="s">
        <v>2568</v>
      </c>
    </row>
    <row r="1239" spans="1:11" hidden="1" x14ac:dyDescent="0.2">
      <c r="A1239" t="s">
        <v>467</v>
      </c>
      <c r="B1239" t="s">
        <v>2576</v>
      </c>
      <c r="C1239" t="s">
        <v>64</v>
      </c>
      <c r="E1239" t="s">
        <v>95</v>
      </c>
      <c r="F1239">
        <v>0</v>
      </c>
      <c r="G1239">
        <v>60000</v>
      </c>
      <c r="I1239">
        <v>6011</v>
      </c>
      <c r="K1239" t="s">
        <v>2568</v>
      </c>
    </row>
    <row r="1240" spans="1:11" hidden="1" x14ac:dyDescent="0.2">
      <c r="A1240" t="s">
        <v>2437</v>
      </c>
      <c r="B1240" t="s">
        <v>2577</v>
      </c>
      <c r="C1240" t="s">
        <v>64</v>
      </c>
      <c r="E1240" t="s">
        <v>95</v>
      </c>
      <c r="F1240">
        <v>0</v>
      </c>
      <c r="G1240">
        <v>29900</v>
      </c>
      <c r="I1240">
        <v>6011</v>
      </c>
      <c r="K1240" t="s">
        <v>2568</v>
      </c>
    </row>
    <row r="1241" spans="1:11" hidden="1" x14ac:dyDescent="0.2">
      <c r="A1241" t="s">
        <v>630</v>
      </c>
      <c r="B1241" t="s">
        <v>2623</v>
      </c>
      <c r="C1241" t="s">
        <v>106</v>
      </c>
      <c r="D1241" t="s">
        <v>2139</v>
      </c>
      <c r="E1241" t="s">
        <v>2485</v>
      </c>
      <c r="F1241">
        <v>6025</v>
      </c>
      <c r="G1241">
        <v>0</v>
      </c>
      <c r="I1241">
        <v>6021</v>
      </c>
      <c r="K1241" t="s">
        <v>2494</v>
      </c>
    </row>
    <row r="1242" spans="1:11" hidden="1" x14ac:dyDescent="0.2">
      <c r="A1242" t="s">
        <v>1528</v>
      </c>
      <c r="B1242" t="s">
        <v>2584</v>
      </c>
      <c r="C1242" t="s">
        <v>106</v>
      </c>
      <c r="D1242" t="s">
        <v>2139</v>
      </c>
      <c r="E1242" t="s">
        <v>2485</v>
      </c>
      <c r="F1242">
        <v>1502</v>
      </c>
      <c r="G1242">
        <v>0</v>
      </c>
      <c r="I1242">
        <v>6021</v>
      </c>
      <c r="K1242" t="s">
        <v>2494</v>
      </c>
    </row>
    <row r="1243" spans="1:11" hidden="1" x14ac:dyDescent="0.2">
      <c r="A1243" t="s">
        <v>2158</v>
      </c>
      <c r="B1243" t="s">
        <v>2624</v>
      </c>
      <c r="C1243" t="s">
        <v>106</v>
      </c>
      <c r="D1243" t="s">
        <v>2139</v>
      </c>
      <c r="E1243" t="s">
        <v>2485</v>
      </c>
      <c r="F1243">
        <v>1199</v>
      </c>
      <c r="G1243">
        <v>0</v>
      </c>
      <c r="I1243">
        <v>6021</v>
      </c>
      <c r="K1243" t="s">
        <v>2494</v>
      </c>
    </row>
    <row r="1244" spans="1:11" hidden="1" x14ac:dyDescent="0.2">
      <c r="A1244" t="s">
        <v>40</v>
      </c>
      <c r="B1244" t="s">
        <v>2625</v>
      </c>
      <c r="C1244" t="s">
        <v>106</v>
      </c>
      <c r="D1244" t="s">
        <v>2139</v>
      </c>
      <c r="E1244" t="s">
        <v>2626</v>
      </c>
      <c r="F1244">
        <v>39699</v>
      </c>
      <c r="G1244">
        <v>0</v>
      </c>
      <c r="I1244">
        <v>6021</v>
      </c>
      <c r="K1244" t="s">
        <v>2494</v>
      </c>
    </row>
    <row r="1245" spans="1:11" hidden="1" x14ac:dyDescent="0.2">
      <c r="A1245" t="s">
        <v>2278</v>
      </c>
      <c r="B1245" t="s">
        <v>2627</v>
      </c>
      <c r="C1245" t="s">
        <v>106</v>
      </c>
      <c r="D1245" t="s">
        <v>2500</v>
      </c>
      <c r="E1245" t="s">
        <v>2628</v>
      </c>
      <c r="F1245">
        <v>6112.8</v>
      </c>
      <c r="G1245">
        <v>0</v>
      </c>
      <c r="I1245">
        <v>6021</v>
      </c>
      <c r="K1245" t="s">
        <v>2494</v>
      </c>
    </row>
    <row r="1246" spans="1:11" hidden="1" x14ac:dyDescent="0.2">
      <c r="A1246" t="s">
        <v>2278</v>
      </c>
      <c r="B1246" t="s">
        <v>2629</v>
      </c>
      <c r="C1246" t="s">
        <v>106</v>
      </c>
      <c r="D1246" t="s">
        <v>2139</v>
      </c>
      <c r="E1246" t="s">
        <v>2485</v>
      </c>
      <c r="F1246">
        <v>18270</v>
      </c>
      <c r="G1246">
        <v>0</v>
      </c>
      <c r="I1246">
        <v>6021</v>
      </c>
      <c r="K1246" t="s">
        <v>2494</v>
      </c>
    </row>
    <row r="1247" spans="1:11" hidden="1" x14ac:dyDescent="0.2">
      <c r="A1247" t="s">
        <v>1789</v>
      </c>
      <c r="B1247" t="s">
        <v>2630</v>
      </c>
      <c r="C1247" t="s">
        <v>106</v>
      </c>
      <c r="D1247" t="s">
        <v>2139</v>
      </c>
      <c r="E1247" t="s">
        <v>2485</v>
      </c>
      <c r="F1247">
        <v>23667</v>
      </c>
      <c r="G1247">
        <v>0</v>
      </c>
      <c r="I1247">
        <v>6021</v>
      </c>
      <c r="K1247" t="s">
        <v>2494</v>
      </c>
    </row>
    <row r="1248" spans="1:11" hidden="1" x14ac:dyDescent="0.2">
      <c r="A1248" t="s">
        <v>2283</v>
      </c>
      <c r="B1248" t="s">
        <v>2601</v>
      </c>
      <c r="C1248" t="s">
        <v>106</v>
      </c>
      <c r="D1248" t="s">
        <v>2602</v>
      </c>
      <c r="E1248" t="s">
        <v>2603</v>
      </c>
      <c r="F1248">
        <v>2300</v>
      </c>
      <c r="G1248">
        <v>0</v>
      </c>
      <c r="I1248">
        <v>6021</v>
      </c>
      <c r="K1248" t="s">
        <v>2494</v>
      </c>
    </row>
    <row r="1249" spans="1:11" hidden="1" x14ac:dyDescent="0.2">
      <c r="A1249" t="s">
        <v>2291</v>
      </c>
      <c r="B1249" t="s">
        <v>2631</v>
      </c>
      <c r="C1249" t="s">
        <v>106</v>
      </c>
      <c r="D1249" t="s">
        <v>2139</v>
      </c>
      <c r="E1249" t="s">
        <v>2485</v>
      </c>
      <c r="F1249">
        <v>5562</v>
      </c>
      <c r="G1249">
        <v>0</v>
      </c>
      <c r="I1249">
        <v>6021</v>
      </c>
      <c r="K1249" t="s">
        <v>2494</v>
      </c>
    </row>
    <row r="1250" spans="1:11" hidden="1" x14ac:dyDescent="0.2">
      <c r="A1250" t="s">
        <v>2291</v>
      </c>
      <c r="B1250" t="s">
        <v>2632</v>
      </c>
      <c r="C1250" t="s">
        <v>106</v>
      </c>
      <c r="D1250" t="s">
        <v>2139</v>
      </c>
      <c r="E1250" t="s">
        <v>2485</v>
      </c>
      <c r="F1250">
        <v>8057</v>
      </c>
      <c r="G1250">
        <v>0</v>
      </c>
      <c r="I1250">
        <v>6021</v>
      </c>
      <c r="K1250" t="s">
        <v>2494</v>
      </c>
    </row>
    <row r="1251" spans="1:11" hidden="1" x14ac:dyDescent="0.2">
      <c r="A1251" t="s">
        <v>2295</v>
      </c>
      <c r="B1251" t="s">
        <v>2633</v>
      </c>
      <c r="C1251" t="s">
        <v>106</v>
      </c>
      <c r="D1251" t="s">
        <v>2139</v>
      </c>
      <c r="E1251" t="s">
        <v>2485</v>
      </c>
      <c r="F1251">
        <v>4068</v>
      </c>
      <c r="G1251">
        <v>0</v>
      </c>
      <c r="I1251">
        <v>6021</v>
      </c>
      <c r="K1251" t="s">
        <v>2494</v>
      </c>
    </row>
    <row r="1252" spans="1:11" hidden="1" x14ac:dyDescent="0.2">
      <c r="A1252" t="s">
        <v>2221</v>
      </c>
      <c r="B1252" t="s">
        <v>2634</v>
      </c>
      <c r="C1252" t="s">
        <v>106</v>
      </c>
      <c r="D1252" t="s">
        <v>2516</v>
      </c>
      <c r="E1252" t="s">
        <v>2485</v>
      </c>
      <c r="F1252">
        <v>7260</v>
      </c>
      <c r="G1252">
        <v>0</v>
      </c>
      <c r="I1252">
        <v>6021</v>
      </c>
      <c r="K1252" t="s">
        <v>2494</v>
      </c>
    </row>
    <row r="1253" spans="1:11" hidden="1" x14ac:dyDescent="0.2">
      <c r="A1253" t="s">
        <v>2221</v>
      </c>
      <c r="B1253" t="s">
        <v>2604</v>
      </c>
      <c r="C1253" t="s">
        <v>106</v>
      </c>
      <c r="D1253" t="s">
        <v>2139</v>
      </c>
      <c r="E1253" t="s">
        <v>2485</v>
      </c>
      <c r="F1253">
        <v>2334</v>
      </c>
      <c r="G1253">
        <v>0</v>
      </c>
      <c r="I1253">
        <v>6021</v>
      </c>
      <c r="K1253" t="s">
        <v>2494</v>
      </c>
    </row>
    <row r="1254" spans="1:11" hidden="1" x14ac:dyDescent="0.2">
      <c r="A1254" t="s">
        <v>220</v>
      </c>
      <c r="B1254" t="s">
        <v>2635</v>
      </c>
      <c r="C1254" t="s">
        <v>106</v>
      </c>
      <c r="D1254" t="s">
        <v>2139</v>
      </c>
      <c r="E1254" t="s">
        <v>2485</v>
      </c>
      <c r="F1254">
        <v>4530</v>
      </c>
      <c r="G1254">
        <v>0</v>
      </c>
      <c r="I1254">
        <v>6021</v>
      </c>
      <c r="K1254" t="s">
        <v>2494</v>
      </c>
    </row>
    <row r="1255" spans="1:11" hidden="1" x14ac:dyDescent="0.2">
      <c r="A1255" t="s">
        <v>433</v>
      </c>
      <c r="B1255" t="s">
        <v>2607</v>
      </c>
      <c r="C1255" t="s">
        <v>106</v>
      </c>
      <c r="D1255" t="s">
        <v>2602</v>
      </c>
      <c r="E1255" t="s">
        <v>2485</v>
      </c>
      <c r="F1255">
        <v>4985</v>
      </c>
      <c r="G1255">
        <v>0</v>
      </c>
      <c r="I1255">
        <v>6021</v>
      </c>
      <c r="K1255" t="s">
        <v>2494</v>
      </c>
    </row>
    <row r="1256" spans="1:11" hidden="1" x14ac:dyDescent="0.2">
      <c r="A1256" t="s">
        <v>705</v>
      </c>
      <c r="B1256" t="s">
        <v>2610</v>
      </c>
      <c r="C1256" t="s">
        <v>106</v>
      </c>
      <c r="D1256" t="s">
        <v>2139</v>
      </c>
      <c r="E1256" t="s">
        <v>2485</v>
      </c>
      <c r="F1256">
        <v>3028</v>
      </c>
      <c r="G1256">
        <v>0</v>
      </c>
      <c r="I1256">
        <v>6021</v>
      </c>
      <c r="K1256" t="s">
        <v>2494</v>
      </c>
    </row>
    <row r="1257" spans="1:11" hidden="1" x14ac:dyDescent="0.2">
      <c r="A1257" t="s">
        <v>736</v>
      </c>
      <c r="B1257" t="s">
        <v>2636</v>
      </c>
      <c r="C1257" t="s">
        <v>106</v>
      </c>
      <c r="D1257" t="s">
        <v>2139</v>
      </c>
      <c r="E1257" t="s">
        <v>2485</v>
      </c>
      <c r="F1257">
        <v>12645</v>
      </c>
      <c r="G1257">
        <v>0</v>
      </c>
      <c r="I1257">
        <v>6021</v>
      </c>
      <c r="K1257" t="s">
        <v>2494</v>
      </c>
    </row>
    <row r="1258" spans="1:11" hidden="1" x14ac:dyDescent="0.2">
      <c r="A1258" t="s">
        <v>948</v>
      </c>
      <c r="B1258" t="s">
        <v>2611</v>
      </c>
      <c r="C1258" t="s">
        <v>106</v>
      </c>
      <c r="D1258" t="s">
        <v>2612</v>
      </c>
      <c r="E1258" t="s">
        <v>2485</v>
      </c>
      <c r="F1258">
        <v>2932.3100000000004</v>
      </c>
      <c r="G1258">
        <v>0</v>
      </c>
      <c r="I1258">
        <v>6021</v>
      </c>
      <c r="K1258" t="s">
        <v>2494</v>
      </c>
    </row>
    <row r="1259" spans="1:11" hidden="1" x14ac:dyDescent="0.2">
      <c r="A1259" t="s">
        <v>1192</v>
      </c>
      <c r="B1259" t="s">
        <v>2637</v>
      </c>
      <c r="C1259" t="s">
        <v>106</v>
      </c>
      <c r="D1259" t="s">
        <v>2139</v>
      </c>
      <c r="E1259" t="s">
        <v>2485</v>
      </c>
      <c r="F1259">
        <v>14370</v>
      </c>
      <c r="G1259">
        <v>0</v>
      </c>
      <c r="I1259">
        <v>6021</v>
      </c>
      <c r="K1259" t="s">
        <v>2494</v>
      </c>
    </row>
    <row r="1260" spans="1:11" hidden="1" x14ac:dyDescent="0.2">
      <c r="A1260" t="s">
        <v>565</v>
      </c>
      <c r="B1260" t="s">
        <v>2613</v>
      </c>
      <c r="C1260" t="s">
        <v>106</v>
      </c>
      <c r="D1260" t="s">
        <v>2139</v>
      </c>
      <c r="E1260" t="s">
        <v>2485</v>
      </c>
      <c r="F1260">
        <v>1800</v>
      </c>
      <c r="G1260">
        <v>0</v>
      </c>
      <c r="I1260">
        <v>6021</v>
      </c>
      <c r="K1260" t="s">
        <v>2494</v>
      </c>
    </row>
    <row r="1261" spans="1:11" hidden="1" x14ac:dyDescent="0.2">
      <c r="A1261" t="s">
        <v>274</v>
      </c>
      <c r="B1261" t="s">
        <v>2614</v>
      </c>
      <c r="C1261" t="s">
        <v>106</v>
      </c>
      <c r="D1261" t="s">
        <v>2139</v>
      </c>
      <c r="E1261" t="s">
        <v>2485</v>
      </c>
      <c r="F1261">
        <v>1670</v>
      </c>
      <c r="G1261">
        <v>0</v>
      </c>
      <c r="I1261">
        <v>6021</v>
      </c>
      <c r="K1261" t="s">
        <v>2494</v>
      </c>
    </row>
    <row r="1262" spans="1:11" hidden="1" x14ac:dyDescent="0.2">
      <c r="A1262" t="s">
        <v>2622</v>
      </c>
      <c r="B1262" t="s">
        <v>2621</v>
      </c>
      <c r="C1262" t="s">
        <v>106</v>
      </c>
      <c r="D1262" t="s">
        <v>2602</v>
      </c>
      <c r="E1262" t="s">
        <v>2485</v>
      </c>
      <c r="F1262">
        <v>4339</v>
      </c>
      <c r="G1262">
        <v>0</v>
      </c>
      <c r="I1262">
        <v>6021</v>
      </c>
      <c r="K1262" t="s">
        <v>2494</v>
      </c>
    </row>
    <row r="1263" spans="1:11" hidden="1" x14ac:dyDescent="0.2">
      <c r="A1263" t="s">
        <v>635</v>
      </c>
      <c r="B1263" t="s">
        <v>2581</v>
      </c>
      <c r="C1263" t="s">
        <v>106</v>
      </c>
      <c r="D1263" t="s">
        <v>2139</v>
      </c>
      <c r="E1263" t="s">
        <v>2582</v>
      </c>
      <c r="F1263">
        <v>-12330</v>
      </c>
      <c r="G1263">
        <v>0</v>
      </c>
      <c r="I1263">
        <v>6021</v>
      </c>
      <c r="K1263" t="s">
        <v>1759</v>
      </c>
    </row>
    <row r="1264" spans="1:11" hidden="1" x14ac:dyDescent="0.2">
      <c r="A1264" t="s">
        <v>379</v>
      </c>
      <c r="B1264" t="s">
        <v>2583</v>
      </c>
      <c r="C1264" t="s">
        <v>106</v>
      </c>
      <c r="D1264" t="s">
        <v>2139</v>
      </c>
      <c r="E1264" t="s">
        <v>2485</v>
      </c>
      <c r="F1264">
        <v>515</v>
      </c>
      <c r="G1264">
        <v>0</v>
      </c>
      <c r="I1264">
        <v>6021</v>
      </c>
      <c r="K1264" t="s">
        <v>1759</v>
      </c>
    </row>
    <row r="1265" spans="1:11" hidden="1" x14ac:dyDescent="0.2">
      <c r="A1265" t="s">
        <v>2639</v>
      </c>
      <c r="B1265" t="s">
        <v>2638</v>
      </c>
      <c r="C1265" t="s">
        <v>209</v>
      </c>
      <c r="E1265" t="s">
        <v>2640</v>
      </c>
      <c r="F1265">
        <v>2200</v>
      </c>
      <c r="G1265">
        <v>0</v>
      </c>
      <c r="I1265">
        <v>6021</v>
      </c>
      <c r="K1265" t="s">
        <v>1759</v>
      </c>
    </row>
    <row r="1266" spans="1:11" hidden="1" x14ac:dyDescent="0.2">
      <c r="A1266" t="s">
        <v>1528</v>
      </c>
      <c r="B1266" t="s">
        <v>2585</v>
      </c>
      <c r="C1266" t="s">
        <v>106</v>
      </c>
      <c r="D1266" t="s">
        <v>2586</v>
      </c>
      <c r="E1266" t="s">
        <v>2587</v>
      </c>
      <c r="F1266">
        <v>495</v>
      </c>
      <c r="G1266">
        <v>0</v>
      </c>
      <c r="I1266">
        <v>6021</v>
      </c>
      <c r="K1266" t="s">
        <v>1759</v>
      </c>
    </row>
    <row r="1267" spans="1:11" hidden="1" x14ac:dyDescent="0.2">
      <c r="A1267" t="s">
        <v>1042</v>
      </c>
      <c r="B1267" t="s">
        <v>2641</v>
      </c>
      <c r="C1267" t="s">
        <v>209</v>
      </c>
      <c r="E1267" t="s">
        <v>2642</v>
      </c>
      <c r="F1267">
        <v>159</v>
      </c>
      <c r="G1267">
        <v>0</v>
      </c>
      <c r="I1267">
        <v>6021</v>
      </c>
      <c r="K1267" t="s">
        <v>1759</v>
      </c>
    </row>
    <row r="1268" spans="1:11" hidden="1" x14ac:dyDescent="0.2">
      <c r="A1268" t="s">
        <v>2590</v>
      </c>
      <c r="B1268" t="s">
        <v>2588</v>
      </c>
      <c r="C1268" t="s">
        <v>106</v>
      </c>
      <c r="D1268" t="s">
        <v>2589</v>
      </c>
      <c r="E1268" t="s">
        <v>2591</v>
      </c>
      <c r="F1268">
        <v>326.7</v>
      </c>
      <c r="G1268">
        <v>0</v>
      </c>
      <c r="I1268">
        <v>6021</v>
      </c>
      <c r="K1268" t="s">
        <v>1759</v>
      </c>
    </row>
    <row r="1269" spans="1:11" hidden="1" x14ac:dyDescent="0.2">
      <c r="A1269" t="s">
        <v>2593</v>
      </c>
      <c r="B1269" t="s">
        <v>2592</v>
      </c>
      <c r="C1269" t="s">
        <v>106</v>
      </c>
      <c r="D1269" t="s">
        <v>1981</v>
      </c>
      <c r="E1269" t="s">
        <v>2594</v>
      </c>
      <c r="F1269">
        <v>750</v>
      </c>
      <c r="G1269">
        <v>0</v>
      </c>
      <c r="I1269">
        <v>6021</v>
      </c>
      <c r="K1269" t="s">
        <v>1759</v>
      </c>
    </row>
    <row r="1270" spans="1:11" hidden="1" x14ac:dyDescent="0.2">
      <c r="A1270" t="s">
        <v>2596</v>
      </c>
      <c r="B1270" t="s">
        <v>2595</v>
      </c>
      <c r="C1270" t="s">
        <v>106</v>
      </c>
      <c r="D1270" t="s">
        <v>2139</v>
      </c>
      <c r="E1270" t="s">
        <v>2485</v>
      </c>
      <c r="F1270">
        <v>850</v>
      </c>
      <c r="G1270">
        <v>0</v>
      </c>
      <c r="I1270">
        <v>6021</v>
      </c>
      <c r="K1270" t="s">
        <v>1759</v>
      </c>
    </row>
    <row r="1271" spans="1:11" hidden="1" x14ac:dyDescent="0.2">
      <c r="A1271" t="s">
        <v>1982</v>
      </c>
      <c r="B1271" t="s">
        <v>2645</v>
      </c>
      <c r="C1271" t="s">
        <v>106</v>
      </c>
      <c r="D1271" t="s">
        <v>2646</v>
      </c>
      <c r="E1271" t="s">
        <v>2647</v>
      </c>
      <c r="F1271">
        <v>3994</v>
      </c>
      <c r="G1271">
        <v>0</v>
      </c>
      <c r="I1271">
        <v>6021</v>
      </c>
      <c r="K1271" t="s">
        <v>1759</v>
      </c>
    </row>
    <row r="1272" spans="1:11" hidden="1" x14ac:dyDescent="0.2">
      <c r="A1272" t="s">
        <v>2599</v>
      </c>
      <c r="B1272" t="s">
        <v>2597</v>
      </c>
      <c r="C1272" t="s">
        <v>106</v>
      </c>
      <c r="D1272" t="s">
        <v>2598</v>
      </c>
      <c r="E1272" t="s">
        <v>2600</v>
      </c>
      <c r="F1272">
        <v>5299</v>
      </c>
      <c r="G1272">
        <v>0</v>
      </c>
      <c r="I1272">
        <v>6021</v>
      </c>
      <c r="K1272" t="s">
        <v>1759</v>
      </c>
    </row>
    <row r="1273" spans="1:11" hidden="1" x14ac:dyDescent="0.2">
      <c r="A1273" t="s">
        <v>544</v>
      </c>
      <c r="B1273" t="s">
        <v>2605</v>
      </c>
      <c r="C1273" t="s">
        <v>106</v>
      </c>
      <c r="D1273" t="s">
        <v>2139</v>
      </c>
      <c r="E1273" t="s">
        <v>2485</v>
      </c>
      <c r="F1273">
        <v>818</v>
      </c>
      <c r="G1273">
        <v>0</v>
      </c>
      <c r="I1273">
        <v>6021</v>
      </c>
      <c r="K1273" t="s">
        <v>1759</v>
      </c>
    </row>
    <row r="1274" spans="1:11" hidden="1" x14ac:dyDescent="0.2">
      <c r="A1274" t="s">
        <v>433</v>
      </c>
      <c r="B1274" t="s">
        <v>2606</v>
      </c>
      <c r="C1274" t="s">
        <v>106</v>
      </c>
      <c r="D1274" t="s">
        <v>2602</v>
      </c>
      <c r="E1274" t="s">
        <v>2485</v>
      </c>
      <c r="F1274">
        <v>530</v>
      </c>
      <c r="G1274">
        <v>0</v>
      </c>
      <c r="I1274">
        <v>6021</v>
      </c>
      <c r="K1274" t="s">
        <v>1759</v>
      </c>
    </row>
    <row r="1275" spans="1:11" hidden="1" x14ac:dyDescent="0.2">
      <c r="A1275" t="s">
        <v>261</v>
      </c>
      <c r="B1275" t="s">
        <v>2608</v>
      </c>
      <c r="C1275" t="s">
        <v>106</v>
      </c>
      <c r="D1275" t="s">
        <v>2139</v>
      </c>
      <c r="E1275" t="s">
        <v>2485</v>
      </c>
      <c r="F1275">
        <v>900</v>
      </c>
      <c r="G1275">
        <v>0</v>
      </c>
      <c r="I1275">
        <v>6021</v>
      </c>
      <c r="K1275" t="s">
        <v>1759</v>
      </c>
    </row>
    <row r="1276" spans="1:11" hidden="1" x14ac:dyDescent="0.2">
      <c r="A1276" t="s">
        <v>261</v>
      </c>
      <c r="B1276" t="s">
        <v>2609</v>
      </c>
      <c r="C1276" t="s">
        <v>106</v>
      </c>
      <c r="D1276" t="s">
        <v>2139</v>
      </c>
      <c r="E1276" t="s">
        <v>2485</v>
      </c>
      <c r="F1276">
        <v>520</v>
      </c>
      <c r="G1276">
        <v>0</v>
      </c>
      <c r="I1276">
        <v>6021</v>
      </c>
      <c r="K1276" t="s">
        <v>1759</v>
      </c>
    </row>
    <row r="1277" spans="1:11" hidden="1" x14ac:dyDescent="0.2">
      <c r="A1277" t="s">
        <v>2038</v>
      </c>
      <c r="B1277" t="s">
        <v>2615</v>
      </c>
      <c r="C1277" t="s">
        <v>209</v>
      </c>
      <c r="E1277" t="s">
        <v>2616</v>
      </c>
      <c r="F1277">
        <v>870</v>
      </c>
      <c r="G1277">
        <v>0</v>
      </c>
      <c r="I1277">
        <v>6021</v>
      </c>
      <c r="K1277" t="s">
        <v>1759</v>
      </c>
    </row>
    <row r="1278" spans="1:11" hidden="1" x14ac:dyDescent="0.2">
      <c r="A1278" t="s">
        <v>2038</v>
      </c>
      <c r="B1278" t="s">
        <v>2617</v>
      </c>
      <c r="C1278" t="s">
        <v>209</v>
      </c>
      <c r="E1278" t="s">
        <v>2594</v>
      </c>
      <c r="F1278">
        <v>1615</v>
      </c>
      <c r="G1278">
        <v>0</v>
      </c>
      <c r="I1278">
        <v>6021</v>
      </c>
      <c r="K1278" t="s">
        <v>1759</v>
      </c>
    </row>
    <row r="1279" spans="1:11" hidden="1" x14ac:dyDescent="0.2">
      <c r="A1279" t="s">
        <v>2619</v>
      </c>
      <c r="B1279" t="s">
        <v>2618</v>
      </c>
      <c r="C1279" t="s">
        <v>106</v>
      </c>
      <c r="D1279" t="s">
        <v>2589</v>
      </c>
      <c r="E1279" t="s">
        <v>2591</v>
      </c>
      <c r="F1279">
        <v>326.7</v>
      </c>
      <c r="G1279">
        <v>0</v>
      </c>
      <c r="I1279">
        <v>6021</v>
      </c>
      <c r="K1279" t="s">
        <v>1759</v>
      </c>
    </row>
    <row r="1280" spans="1:11" hidden="1" x14ac:dyDescent="0.2">
      <c r="A1280" t="s">
        <v>296</v>
      </c>
      <c r="B1280" t="s">
        <v>2643</v>
      </c>
      <c r="C1280" t="s">
        <v>209</v>
      </c>
      <c r="E1280" t="s">
        <v>2644</v>
      </c>
      <c r="F1280">
        <v>323</v>
      </c>
      <c r="G1280">
        <v>0</v>
      </c>
      <c r="I1280">
        <v>6021</v>
      </c>
      <c r="K1280" t="s">
        <v>1759</v>
      </c>
    </row>
    <row r="1281" spans="1:11" hidden="1" x14ac:dyDescent="0.2">
      <c r="A1281" t="s">
        <v>2087</v>
      </c>
      <c r="B1281" t="s">
        <v>2620</v>
      </c>
      <c r="C1281" t="s">
        <v>106</v>
      </c>
      <c r="D1281" t="s">
        <v>2139</v>
      </c>
      <c r="E1281" t="s">
        <v>2485</v>
      </c>
      <c r="F1281">
        <v>600</v>
      </c>
      <c r="G1281">
        <v>0</v>
      </c>
      <c r="I1281">
        <v>6021</v>
      </c>
      <c r="K1281" t="s">
        <v>1759</v>
      </c>
    </row>
    <row r="1282" spans="1:11" hidden="1" x14ac:dyDescent="0.2">
      <c r="A1282" t="s">
        <v>46</v>
      </c>
      <c r="B1282" t="s">
        <v>2648</v>
      </c>
      <c r="C1282" t="s">
        <v>106</v>
      </c>
      <c r="D1282" t="s">
        <v>2649</v>
      </c>
      <c r="E1282" t="s">
        <v>2650</v>
      </c>
      <c r="F1282">
        <v>127682.83</v>
      </c>
      <c r="G1282">
        <v>0</v>
      </c>
      <c r="I1282">
        <v>6021</v>
      </c>
      <c r="K1282" t="s">
        <v>2541</v>
      </c>
    </row>
    <row r="1283" spans="1:11" hidden="1" x14ac:dyDescent="0.2">
      <c r="A1283" t="s">
        <v>1789</v>
      </c>
      <c r="B1283" t="s">
        <v>2651</v>
      </c>
      <c r="C1283" t="s">
        <v>106</v>
      </c>
      <c r="D1283" t="s">
        <v>2652</v>
      </c>
      <c r="E1283" t="s">
        <v>2551</v>
      </c>
      <c r="F1283">
        <v>2160</v>
      </c>
      <c r="G1283">
        <v>0</v>
      </c>
      <c r="I1283">
        <v>6021</v>
      </c>
      <c r="K1283" t="s">
        <v>2541</v>
      </c>
    </row>
    <row r="1284" spans="1:11" hidden="1" x14ac:dyDescent="0.2">
      <c r="A1284" t="s">
        <v>220</v>
      </c>
      <c r="B1284" t="s">
        <v>2653</v>
      </c>
      <c r="C1284" t="s">
        <v>106</v>
      </c>
      <c r="D1284" t="s">
        <v>2652</v>
      </c>
      <c r="E1284" t="s">
        <v>2551</v>
      </c>
      <c r="F1284">
        <v>3390</v>
      </c>
      <c r="G1284">
        <v>0</v>
      </c>
      <c r="I1284">
        <v>6021</v>
      </c>
      <c r="K1284" t="s">
        <v>2541</v>
      </c>
    </row>
    <row r="1285" spans="1:11" hidden="1" x14ac:dyDescent="0.2">
      <c r="A1285" t="s">
        <v>352</v>
      </c>
      <c r="B1285" t="s">
        <v>2654</v>
      </c>
      <c r="C1285" t="s">
        <v>106</v>
      </c>
      <c r="D1285" t="s">
        <v>2652</v>
      </c>
      <c r="E1285" t="s">
        <v>2551</v>
      </c>
      <c r="F1285">
        <v>4560</v>
      </c>
      <c r="G1285">
        <v>0</v>
      </c>
      <c r="I1285">
        <v>6021</v>
      </c>
      <c r="K1285" t="s">
        <v>2541</v>
      </c>
    </row>
    <row r="1286" spans="1:11" hidden="1" x14ac:dyDescent="0.2">
      <c r="A1286" t="s">
        <v>293</v>
      </c>
      <c r="B1286" t="s">
        <v>2655</v>
      </c>
      <c r="C1286" t="s">
        <v>106</v>
      </c>
      <c r="D1286" t="s">
        <v>2652</v>
      </c>
      <c r="E1286" t="s">
        <v>2551</v>
      </c>
      <c r="F1286">
        <v>2380</v>
      </c>
      <c r="G1286">
        <v>0</v>
      </c>
      <c r="I1286">
        <v>6021</v>
      </c>
      <c r="K1286" t="s">
        <v>2541</v>
      </c>
    </row>
    <row r="1287" spans="1:11" hidden="1" x14ac:dyDescent="0.2">
      <c r="A1287" t="s">
        <v>318</v>
      </c>
      <c r="B1287" t="s">
        <v>2656</v>
      </c>
      <c r="C1287" t="s">
        <v>106</v>
      </c>
      <c r="D1287" t="s">
        <v>2652</v>
      </c>
      <c r="E1287" t="s">
        <v>2551</v>
      </c>
      <c r="F1287">
        <v>1260</v>
      </c>
      <c r="G1287">
        <v>0</v>
      </c>
      <c r="I1287">
        <v>6021</v>
      </c>
      <c r="K1287" t="s">
        <v>2541</v>
      </c>
    </row>
    <row r="1288" spans="1:11" hidden="1" x14ac:dyDescent="0.2">
      <c r="A1288" t="s">
        <v>1278</v>
      </c>
      <c r="B1288" t="s">
        <v>2657</v>
      </c>
      <c r="C1288" t="s">
        <v>106</v>
      </c>
      <c r="D1288" t="s">
        <v>2652</v>
      </c>
      <c r="E1288" t="s">
        <v>2551</v>
      </c>
      <c r="F1288">
        <v>3350</v>
      </c>
      <c r="G1288">
        <v>0</v>
      </c>
      <c r="I1288">
        <v>6021</v>
      </c>
      <c r="K1288" t="s">
        <v>2541</v>
      </c>
    </row>
    <row r="1289" spans="1:11" hidden="1" x14ac:dyDescent="0.2">
      <c r="A1289" t="s">
        <v>28</v>
      </c>
      <c r="B1289" t="s">
        <v>2658</v>
      </c>
      <c r="C1289" t="s">
        <v>106</v>
      </c>
      <c r="D1289" t="s">
        <v>2139</v>
      </c>
      <c r="E1289" t="s">
        <v>2485</v>
      </c>
      <c r="F1289">
        <v>945</v>
      </c>
      <c r="G1289">
        <v>0</v>
      </c>
      <c r="I1289">
        <v>6021</v>
      </c>
      <c r="K1289" t="s">
        <v>1563</v>
      </c>
    </row>
    <row r="1290" spans="1:11" hidden="1" x14ac:dyDescent="0.2">
      <c r="A1290" t="s">
        <v>28</v>
      </c>
      <c r="B1290" t="s">
        <v>2659</v>
      </c>
      <c r="C1290" t="s">
        <v>106</v>
      </c>
      <c r="D1290" t="s">
        <v>2139</v>
      </c>
      <c r="E1290" t="s">
        <v>2485</v>
      </c>
      <c r="F1290">
        <v>923</v>
      </c>
      <c r="G1290">
        <v>0</v>
      </c>
      <c r="I1290">
        <v>6021</v>
      </c>
      <c r="K1290" t="s">
        <v>1563</v>
      </c>
    </row>
    <row r="1291" spans="1:11" hidden="1" x14ac:dyDescent="0.2">
      <c r="A1291" t="s">
        <v>28</v>
      </c>
      <c r="B1291" t="s">
        <v>2660</v>
      </c>
      <c r="C1291" t="s">
        <v>106</v>
      </c>
      <c r="D1291" t="s">
        <v>2139</v>
      </c>
      <c r="E1291" t="s">
        <v>2485</v>
      </c>
      <c r="F1291">
        <v>1769</v>
      </c>
      <c r="G1291">
        <v>0</v>
      </c>
      <c r="I1291">
        <v>6021</v>
      </c>
      <c r="K1291" t="s">
        <v>1563</v>
      </c>
    </row>
    <row r="1292" spans="1:11" hidden="1" x14ac:dyDescent="0.2">
      <c r="A1292" t="s">
        <v>28</v>
      </c>
      <c r="B1292" t="s">
        <v>2661</v>
      </c>
      <c r="C1292" t="s">
        <v>106</v>
      </c>
      <c r="D1292" t="s">
        <v>2139</v>
      </c>
      <c r="E1292" t="s">
        <v>2485</v>
      </c>
      <c r="F1292">
        <v>24249</v>
      </c>
      <c r="G1292">
        <v>0</v>
      </c>
      <c r="I1292">
        <v>6021</v>
      </c>
      <c r="K1292" t="s">
        <v>1563</v>
      </c>
    </row>
    <row r="1293" spans="1:11" hidden="1" x14ac:dyDescent="0.2">
      <c r="A1293" t="s">
        <v>28</v>
      </c>
      <c r="B1293" t="s">
        <v>2662</v>
      </c>
      <c r="C1293" t="s">
        <v>106</v>
      </c>
      <c r="D1293" t="s">
        <v>2139</v>
      </c>
      <c r="E1293" t="s">
        <v>2485</v>
      </c>
      <c r="F1293">
        <v>3084</v>
      </c>
      <c r="G1293">
        <v>0</v>
      </c>
      <c r="I1293">
        <v>6021</v>
      </c>
      <c r="K1293" t="s">
        <v>1563</v>
      </c>
    </row>
    <row r="1294" spans="1:11" hidden="1" x14ac:dyDescent="0.2">
      <c r="A1294" t="s">
        <v>28</v>
      </c>
      <c r="B1294" t="s">
        <v>2663</v>
      </c>
      <c r="C1294" t="s">
        <v>106</v>
      </c>
      <c r="D1294" t="s">
        <v>2139</v>
      </c>
      <c r="E1294" t="s">
        <v>2485</v>
      </c>
      <c r="F1294">
        <v>2326</v>
      </c>
      <c r="G1294">
        <v>0</v>
      </c>
      <c r="I1294">
        <v>6021</v>
      </c>
      <c r="K1294" t="s">
        <v>1563</v>
      </c>
    </row>
    <row r="1295" spans="1:11" hidden="1" x14ac:dyDescent="0.2">
      <c r="A1295" t="s">
        <v>28</v>
      </c>
      <c r="B1295" t="s">
        <v>2664</v>
      </c>
      <c r="C1295" t="s">
        <v>106</v>
      </c>
      <c r="D1295" t="s">
        <v>2139</v>
      </c>
      <c r="E1295" t="s">
        <v>2485</v>
      </c>
      <c r="F1295">
        <v>5292</v>
      </c>
      <c r="G1295">
        <v>0</v>
      </c>
      <c r="I1295">
        <v>6021</v>
      </c>
      <c r="K1295" t="s">
        <v>1563</v>
      </c>
    </row>
    <row r="1296" spans="1:11" hidden="1" x14ac:dyDescent="0.2">
      <c r="A1296" t="s">
        <v>28</v>
      </c>
      <c r="B1296" t="s">
        <v>2665</v>
      </c>
      <c r="C1296" t="s">
        <v>106</v>
      </c>
      <c r="D1296" t="s">
        <v>2139</v>
      </c>
      <c r="E1296" t="s">
        <v>2485</v>
      </c>
      <c r="F1296">
        <v>14453</v>
      </c>
      <c r="G1296">
        <v>0</v>
      </c>
      <c r="I1296">
        <v>6021</v>
      </c>
      <c r="K1296" t="s">
        <v>1563</v>
      </c>
    </row>
    <row r="1297" spans="1:13" hidden="1" x14ac:dyDescent="0.2">
      <c r="A1297" t="s">
        <v>28</v>
      </c>
      <c r="B1297" t="s">
        <v>2666</v>
      </c>
      <c r="C1297" t="s">
        <v>106</v>
      </c>
      <c r="D1297" t="s">
        <v>2139</v>
      </c>
      <c r="E1297" t="s">
        <v>2485</v>
      </c>
      <c r="F1297">
        <v>4999</v>
      </c>
      <c r="G1297">
        <v>0</v>
      </c>
      <c r="I1297">
        <v>6021</v>
      </c>
      <c r="K1297" t="s">
        <v>1563</v>
      </c>
    </row>
    <row r="1298" spans="1:13" hidden="1" x14ac:dyDescent="0.2">
      <c r="A1298" t="s">
        <v>28</v>
      </c>
      <c r="B1298" t="s">
        <v>2667</v>
      </c>
      <c r="C1298" t="s">
        <v>106</v>
      </c>
      <c r="D1298" t="s">
        <v>2139</v>
      </c>
      <c r="E1298" t="s">
        <v>2485</v>
      </c>
      <c r="F1298">
        <v>389</v>
      </c>
      <c r="G1298">
        <v>0</v>
      </c>
      <c r="I1298">
        <v>6021</v>
      </c>
      <c r="K1298" t="s">
        <v>1563</v>
      </c>
    </row>
    <row r="1299" spans="1:13" hidden="1" x14ac:dyDescent="0.2">
      <c r="A1299" t="s">
        <v>513</v>
      </c>
      <c r="B1299" t="s">
        <v>2668</v>
      </c>
      <c r="C1299" t="s">
        <v>106</v>
      </c>
      <c r="D1299" t="s">
        <v>86</v>
      </c>
      <c r="E1299" t="s">
        <v>2669</v>
      </c>
      <c r="F1299">
        <v>2070</v>
      </c>
      <c r="G1299">
        <v>0</v>
      </c>
      <c r="I1299">
        <v>6021</v>
      </c>
      <c r="K1299" t="s">
        <v>1377</v>
      </c>
    </row>
    <row r="1300" spans="1:13" hidden="1" x14ac:dyDescent="0.2">
      <c r="A1300" t="s">
        <v>1840</v>
      </c>
      <c r="B1300" t="s">
        <v>2670</v>
      </c>
      <c r="C1300" t="s">
        <v>106</v>
      </c>
      <c r="D1300" t="s">
        <v>86</v>
      </c>
      <c r="E1300" t="s">
        <v>2669</v>
      </c>
      <c r="F1300">
        <v>828</v>
      </c>
      <c r="G1300">
        <v>0</v>
      </c>
      <c r="I1300">
        <v>6021</v>
      </c>
      <c r="K1300" t="s">
        <v>1377</v>
      </c>
    </row>
    <row r="1301" spans="1:13" hidden="1" x14ac:dyDescent="0.2">
      <c r="A1301" t="s">
        <v>2672</v>
      </c>
      <c r="B1301" t="s">
        <v>2671</v>
      </c>
      <c r="C1301" t="s">
        <v>106</v>
      </c>
      <c r="D1301" t="s">
        <v>86</v>
      </c>
      <c r="E1301" t="s">
        <v>2669</v>
      </c>
      <c r="F1301">
        <v>1242</v>
      </c>
      <c r="G1301">
        <v>0</v>
      </c>
      <c r="I1301">
        <v>6021</v>
      </c>
      <c r="K1301" t="s">
        <v>1377</v>
      </c>
    </row>
    <row r="1302" spans="1:13" hidden="1" x14ac:dyDescent="0.2">
      <c r="A1302" t="s">
        <v>1719</v>
      </c>
      <c r="B1302" t="s">
        <v>2673</v>
      </c>
      <c r="C1302" t="s">
        <v>106</v>
      </c>
      <c r="D1302" t="s">
        <v>86</v>
      </c>
      <c r="E1302" t="s">
        <v>2669</v>
      </c>
      <c r="F1302">
        <v>828</v>
      </c>
      <c r="G1302">
        <v>0</v>
      </c>
      <c r="I1302">
        <v>6021</v>
      </c>
      <c r="K1302" t="s">
        <v>1377</v>
      </c>
    </row>
    <row r="1303" spans="1:13" hidden="1" x14ac:dyDescent="0.2">
      <c r="A1303" t="s">
        <v>1048</v>
      </c>
      <c r="B1303" t="s">
        <v>2676</v>
      </c>
      <c r="C1303" t="s">
        <v>209</v>
      </c>
      <c r="E1303" t="s">
        <v>2677</v>
      </c>
      <c r="F1303">
        <v>4980</v>
      </c>
      <c r="G1303">
        <v>0</v>
      </c>
      <c r="I1303">
        <v>6021</v>
      </c>
      <c r="K1303" t="s">
        <v>2555</v>
      </c>
    </row>
    <row r="1304" spans="1:13" hidden="1" x14ac:dyDescent="0.2">
      <c r="A1304" t="s">
        <v>253</v>
      </c>
      <c r="B1304" t="s">
        <v>2674</v>
      </c>
      <c r="C1304" t="s">
        <v>106</v>
      </c>
      <c r="D1304" t="s">
        <v>2553</v>
      </c>
      <c r="E1304" t="s">
        <v>2744</v>
      </c>
      <c r="F1304">
        <v>9564</v>
      </c>
      <c r="G1304">
        <v>0</v>
      </c>
      <c r="I1304">
        <v>6021</v>
      </c>
      <c r="K1304" t="s">
        <v>2555</v>
      </c>
    </row>
    <row r="1305" spans="1:13" hidden="1" x14ac:dyDescent="0.2">
      <c r="A1305" t="s">
        <v>201</v>
      </c>
      <c r="B1305" t="s">
        <v>2675</v>
      </c>
      <c r="C1305" t="s">
        <v>106</v>
      </c>
      <c r="D1305" t="s">
        <v>2553</v>
      </c>
      <c r="E1305" t="s">
        <v>2743</v>
      </c>
      <c r="F1305">
        <v>4287</v>
      </c>
      <c r="G1305">
        <v>0</v>
      </c>
      <c r="I1305">
        <v>6021</v>
      </c>
      <c r="K1305" t="s">
        <v>2555</v>
      </c>
    </row>
    <row r="1306" spans="1:13" hidden="1" x14ac:dyDescent="0.2">
      <c r="A1306" t="s">
        <v>1294</v>
      </c>
      <c r="B1306" t="s">
        <v>2678</v>
      </c>
      <c r="C1306" t="s">
        <v>209</v>
      </c>
      <c r="E1306" t="s">
        <v>2679</v>
      </c>
      <c r="F1306">
        <v>0</v>
      </c>
      <c r="G1306">
        <v>800</v>
      </c>
      <c r="I1306">
        <v>6021</v>
      </c>
      <c r="K1306" t="s">
        <v>2568</v>
      </c>
    </row>
    <row r="1307" spans="1:13" hidden="1" x14ac:dyDescent="0.2">
      <c r="A1307" t="s">
        <v>1042</v>
      </c>
      <c r="B1307" t="s">
        <v>2081</v>
      </c>
      <c r="C1307" t="s">
        <v>64</v>
      </c>
      <c r="E1307" t="s">
        <v>2082</v>
      </c>
      <c r="F1307">
        <v>11513</v>
      </c>
      <c r="G1307">
        <v>0</v>
      </c>
      <c r="I1307">
        <v>7011</v>
      </c>
      <c r="K1307" t="s">
        <v>2080</v>
      </c>
    </row>
    <row r="1308" spans="1:13" hidden="1" x14ac:dyDescent="0.2">
      <c r="A1308" t="s">
        <v>2084</v>
      </c>
      <c r="B1308" t="s">
        <v>2083</v>
      </c>
      <c r="C1308" t="s">
        <v>64</v>
      </c>
      <c r="E1308" t="s">
        <v>2085</v>
      </c>
      <c r="F1308">
        <v>8376</v>
      </c>
      <c r="G1308">
        <v>0</v>
      </c>
      <c r="I1308">
        <v>7011</v>
      </c>
      <c r="K1308" t="s">
        <v>2080</v>
      </c>
    </row>
    <row r="1309" spans="1:13" hidden="1" x14ac:dyDescent="0.2">
      <c r="A1309" t="s">
        <v>2087</v>
      </c>
      <c r="B1309" t="s">
        <v>2086</v>
      </c>
      <c r="C1309" t="s">
        <v>64</v>
      </c>
      <c r="E1309" t="s">
        <v>2088</v>
      </c>
      <c r="F1309">
        <v>15808</v>
      </c>
      <c r="G1309">
        <v>0</v>
      </c>
      <c r="I1309">
        <v>7011</v>
      </c>
      <c r="K1309" t="s">
        <v>2080</v>
      </c>
    </row>
    <row r="1310" spans="1:13" x14ac:dyDescent="0.2">
      <c r="A1310" t="s">
        <v>2708</v>
      </c>
      <c r="H1310">
        <f>SUBTOTAL(109,Tabulka1[Částka])</f>
        <v>707826.33000000007</v>
      </c>
      <c r="M1310">
        <f>SUBTOTAL(103,Tabulka1[Středisko])</f>
        <v>18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3"/>
  <dimension ref="A1:E41"/>
  <sheetViews>
    <sheetView topLeftCell="A24" workbookViewId="0">
      <selection activeCell="A41" sqref="A41"/>
    </sheetView>
  </sheetViews>
  <sheetFormatPr defaultRowHeight="12" x14ac:dyDescent="0.2"/>
  <sheetData>
    <row r="1" spans="1:5" ht="13.5" thickBot="1" x14ac:dyDescent="0.25">
      <c r="A1" s="12" t="s">
        <v>2684</v>
      </c>
      <c r="B1" s="13" t="s">
        <v>2706</v>
      </c>
      <c r="D1" s="18" t="s">
        <v>2720</v>
      </c>
      <c r="E1" s="18" t="s">
        <v>2706</v>
      </c>
    </row>
    <row r="2" spans="1:5" ht="13.5" thickBot="1" x14ac:dyDescent="0.25">
      <c r="A2" s="12">
        <v>1011</v>
      </c>
      <c r="B2" s="12" t="s">
        <v>2685</v>
      </c>
      <c r="D2">
        <v>1</v>
      </c>
      <c r="E2" s="18" t="s">
        <v>2721</v>
      </c>
    </row>
    <row r="3" spans="1:5" ht="13.5" thickBot="1" x14ac:dyDescent="0.25">
      <c r="A3" s="12">
        <v>1012</v>
      </c>
      <c r="B3" s="12" t="s">
        <v>2686</v>
      </c>
      <c r="D3">
        <v>2</v>
      </c>
      <c r="E3" s="18" t="s">
        <v>2722</v>
      </c>
    </row>
    <row r="4" spans="1:5" ht="13.5" thickBot="1" x14ac:dyDescent="0.25">
      <c r="A4" s="12">
        <v>1013</v>
      </c>
      <c r="B4" s="12" t="s">
        <v>2687</v>
      </c>
      <c r="D4">
        <v>3</v>
      </c>
      <c r="E4" s="18" t="s">
        <v>2723</v>
      </c>
    </row>
    <row r="5" spans="1:5" ht="13.5" thickBot="1" x14ac:dyDescent="0.25">
      <c r="A5" s="12">
        <v>1021</v>
      </c>
      <c r="B5" s="12" t="s">
        <v>2688</v>
      </c>
      <c r="D5">
        <v>4</v>
      </c>
      <c r="E5" s="18" t="s">
        <v>2724</v>
      </c>
    </row>
    <row r="6" spans="1:5" ht="26.25" thickBot="1" x14ac:dyDescent="0.25">
      <c r="A6" s="12">
        <v>1031</v>
      </c>
      <c r="B6" s="12" t="s">
        <v>2689</v>
      </c>
      <c r="D6">
        <v>5</v>
      </c>
      <c r="E6" s="18" t="s">
        <v>2725</v>
      </c>
    </row>
    <row r="7" spans="1:5" ht="26.25" thickBot="1" x14ac:dyDescent="0.25">
      <c r="A7" s="12">
        <v>1041</v>
      </c>
      <c r="B7" s="12" t="s">
        <v>2690</v>
      </c>
      <c r="D7">
        <v>6</v>
      </c>
      <c r="E7" s="18" t="s">
        <v>2718</v>
      </c>
    </row>
    <row r="8" spans="1:5" ht="26.25" thickBot="1" x14ac:dyDescent="0.25">
      <c r="A8" s="12">
        <v>1043</v>
      </c>
      <c r="B8" s="12" t="s">
        <v>2691</v>
      </c>
    </row>
    <row r="9" spans="1:5" ht="26.25" thickBot="1" x14ac:dyDescent="0.25">
      <c r="A9" s="12">
        <v>1051</v>
      </c>
      <c r="B9" s="12" t="s">
        <v>2692</v>
      </c>
    </row>
    <row r="10" spans="1:5" ht="13.5" thickBot="1" x14ac:dyDescent="0.25">
      <c r="A10" s="12">
        <v>1061</v>
      </c>
      <c r="B10" s="12" t="s">
        <v>2693</v>
      </c>
    </row>
    <row r="11" spans="1:5" ht="13.5" thickBot="1" x14ac:dyDescent="0.25">
      <c r="A11" s="12">
        <v>1071</v>
      </c>
      <c r="B11" s="12" t="s">
        <v>2694</v>
      </c>
    </row>
    <row r="12" spans="1:5" ht="13.5" thickBot="1" x14ac:dyDescent="0.25">
      <c r="A12" s="12">
        <v>2011</v>
      </c>
      <c r="B12" s="12" t="s">
        <v>2695</v>
      </c>
    </row>
    <row r="13" spans="1:5" ht="13.5" thickBot="1" x14ac:dyDescent="0.25">
      <c r="A13" s="12">
        <v>2012</v>
      </c>
      <c r="B13" s="12" t="s">
        <v>2696</v>
      </c>
    </row>
    <row r="14" spans="1:5" ht="13.5" thickBot="1" x14ac:dyDescent="0.25">
      <c r="A14" s="12">
        <v>2021</v>
      </c>
      <c r="B14" s="12" t="s">
        <v>2697</v>
      </c>
    </row>
    <row r="15" spans="1:5" ht="26.25" thickBot="1" x14ac:dyDescent="0.25">
      <c r="A15" s="12">
        <v>2031</v>
      </c>
      <c r="B15" s="12" t="s">
        <v>2698</v>
      </c>
    </row>
    <row r="16" spans="1:5" ht="26.25" thickBot="1" x14ac:dyDescent="0.25">
      <c r="A16" s="12">
        <v>2041</v>
      </c>
      <c r="B16" s="12" t="s">
        <v>2699</v>
      </c>
    </row>
    <row r="17" spans="1:2" ht="26.25" thickBot="1" x14ac:dyDescent="0.25">
      <c r="A17" s="12">
        <v>2051</v>
      </c>
      <c r="B17" s="12" t="s">
        <v>2700</v>
      </c>
    </row>
    <row r="18" spans="1:2" ht="13.5" thickBot="1" x14ac:dyDescent="0.25">
      <c r="A18" s="12">
        <v>2061</v>
      </c>
      <c r="B18" s="12" t="s">
        <v>2701</v>
      </c>
    </row>
    <row r="19" spans="1:2" ht="39" thickBot="1" x14ac:dyDescent="0.25">
      <c r="A19" s="12">
        <v>3011</v>
      </c>
      <c r="B19" s="12" t="s">
        <v>2702</v>
      </c>
    </row>
    <row r="20" spans="1:2" ht="26.25" thickBot="1" x14ac:dyDescent="0.25">
      <c r="A20" s="12">
        <v>3012</v>
      </c>
      <c r="B20" s="12" t="s">
        <v>2703</v>
      </c>
    </row>
    <row r="21" spans="1:2" ht="39" thickBot="1" x14ac:dyDescent="0.25">
      <c r="A21" s="12">
        <v>3013</v>
      </c>
      <c r="B21" s="12" t="s">
        <v>2704</v>
      </c>
    </row>
    <row r="22" spans="1:2" ht="26.25" thickBot="1" x14ac:dyDescent="0.25">
      <c r="A22" s="12">
        <v>3014</v>
      </c>
      <c r="B22" s="12" t="s">
        <v>2705</v>
      </c>
    </row>
    <row r="23" spans="1:2" ht="39" thickBot="1" x14ac:dyDescent="0.25">
      <c r="A23" s="14">
        <v>3020</v>
      </c>
      <c r="B23" s="15" t="s">
        <v>2709</v>
      </c>
    </row>
    <row r="24" spans="1:2" ht="26.25" thickBot="1" x14ac:dyDescent="0.25">
      <c r="A24" s="14">
        <v>3028</v>
      </c>
      <c r="B24" s="15" t="s">
        <v>2710</v>
      </c>
    </row>
    <row r="25" spans="1:2" ht="13.5" thickBot="1" x14ac:dyDescent="0.25">
      <c r="A25" s="14">
        <v>4011</v>
      </c>
      <c r="B25" s="15" t="s">
        <v>2711</v>
      </c>
    </row>
    <row r="26" spans="1:2" ht="26.25" thickBot="1" x14ac:dyDescent="0.25">
      <c r="A26" s="14">
        <v>4021</v>
      </c>
      <c r="B26" s="15" t="s">
        <v>2712</v>
      </c>
    </row>
    <row r="27" spans="1:2" ht="13.5" thickBot="1" x14ac:dyDescent="0.25">
      <c r="A27" s="14">
        <v>4031</v>
      </c>
      <c r="B27" s="15" t="s">
        <v>1950</v>
      </c>
    </row>
    <row r="28" spans="1:2" ht="13.5" thickBot="1" x14ac:dyDescent="0.25">
      <c r="A28" s="14">
        <v>4041</v>
      </c>
      <c r="B28" s="15" t="s">
        <v>1991</v>
      </c>
    </row>
    <row r="29" spans="1:2" ht="26.25" thickBot="1" x14ac:dyDescent="0.25">
      <c r="A29" s="14">
        <v>5011</v>
      </c>
      <c r="B29" s="15" t="s">
        <v>2713</v>
      </c>
    </row>
    <row r="30" spans="1:2" ht="13.5" thickBot="1" x14ac:dyDescent="0.25">
      <c r="A30" s="14">
        <v>5012</v>
      </c>
      <c r="B30" s="15" t="s">
        <v>2714</v>
      </c>
    </row>
    <row r="31" spans="1:2" ht="13.5" thickBot="1" x14ac:dyDescent="0.25">
      <c r="A31" s="14">
        <v>5031</v>
      </c>
      <c r="B31" s="15" t="s">
        <v>235</v>
      </c>
    </row>
    <row r="32" spans="1:2" ht="26.25" thickBot="1" x14ac:dyDescent="0.25">
      <c r="A32" s="14">
        <v>5032</v>
      </c>
      <c r="B32" s="15" t="s">
        <v>2715</v>
      </c>
    </row>
    <row r="33" spans="1:2" ht="13.5" thickBot="1" x14ac:dyDescent="0.25">
      <c r="A33" s="14">
        <v>5041</v>
      </c>
      <c r="B33" s="15" t="s">
        <v>2718</v>
      </c>
    </row>
    <row r="34" spans="1:2" ht="26.25" thickBot="1" x14ac:dyDescent="0.25">
      <c r="A34" s="14">
        <v>5051</v>
      </c>
      <c r="B34" s="15" t="s">
        <v>2716</v>
      </c>
    </row>
    <row r="35" spans="1:2" ht="13.5" thickBot="1" x14ac:dyDescent="0.25">
      <c r="A35" s="14">
        <v>5061</v>
      </c>
      <c r="B35" s="15" t="s">
        <v>2717</v>
      </c>
    </row>
    <row r="36" spans="1:2" ht="13.5" thickBot="1" x14ac:dyDescent="0.25">
      <c r="A36" s="14">
        <v>6011</v>
      </c>
      <c r="B36" s="15" t="s">
        <v>2518</v>
      </c>
    </row>
    <row r="37" spans="1:2" ht="13.5" thickBot="1" x14ac:dyDescent="0.25">
      <c r="A37" s="14">
        <v>6021</v>
      </c>
      <c r="B37" s="15" t="s">
        <v>2718</v>
      </c>
    </row>
    <row r="38" spans="1:2" x14ac:dyDescent="0.2">
      <c r="A38">
        <v>5071</v>
      </c>
      <c r="B38" s="18" t="s">
        <v>1981</v>
      </c>
    </row>
    <row r="39" spans="1:2" x14ac:dyDescent="0.2">
      <c r="A39">
        <v>3024</v>
      </c>
      <c r="B39" s="18" t="s">
        <v>2727</v>
      </c>
    </row>
    <row r="40" spans="1:2" x14ac:dyDescent="0.2">
      <c r="A40">
        <v>3027</v>
      </c>
      <c r="B40" s="18" t="s">
        <v>2728</v>
      </c>
    </row>
    <row r="41" spans="1:2" x14ac:dyDescent="0.2">
      <c r="A41">
        <v>0</v>
      </c>
      <c r="B41" t="s">
        <v>2750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"/>
  <dimension ref="B1:W2828"/>
  <sheetViews>
    <sheetView showGridLines="0" topLeftCell="B111" workbookViewId="0">
      <selection activeCell="F68" sqref="F68"/>
    </sheetView>
  </sheetViews>
  <sheetFormatPr defaultRowHeight="12" x14ac:dyDescent="0.2"/>
  <cols>
    <col min="1" max="1" width="0" hidden="1" customWidth="1"/>
    <col min="2" max="2" width="1.42578125" customWidth="1"/>
    <col min="3" max="3" width="8.85546875" customWidth="1"/>
    <col min="4" max="4" width="1.42578125" customWidth="1"/>
    <col min="5" max="5" width="4.42578125" customWidth="1"/>
    <col min="6" max="6" width="3" customWidth="1"/>
    <col min="7" max="7" width="5.85546875" customWidth="1"/>
    <col min="8" max="8" width="1.42578125" customWidth="1"/>
    <col min="9" max="9" width="5.85546875" customWidth="1"/>
    <col min="10" max="12" width="1.42578125" customWidth="1"/>
    <col min="13" max="13" width="3" customWidth="1"/>
    <col min="14" max="14" width="1.42578125" customWidth="1"/>
    <col min="15" max="15" width="13.140625" customWidth="1"/>
    <col min="16" max="16" width="11.7109375" customWidth="1"/>
    <col min="17" max="17" width="1.42578125" customWidth="1"/>
    <col min="18" max="18" width="14.7109375" customWidth="1"/>
    <col min="19" max="19" width="1.42578125" customWidth="1"/>
    <col min="20" max="20" width="13.140625" customWidth="1"/>
    <col min="21" max="21" width="1.42578125" customWidth="1"/>
    <col min="22" max="22" width="11.7109375" customWidth="1"/>
    <col min="23" max="23" width="1.42578125" customWidth="1"/>
    <col min="257" max="257" width="0" hidden="1" customWidth="1"/>
    <col min="258" max="258" width="1.42578125" customWidth="1"/>
    <col min="259" max="259" width="8.85546875" customWidth="1"/>
    <col min="260" max="260" width="1.42578125" customWidth="1"/>
    <col min="261" max="261" width="4.42578125" customWidth="1"/>
    <col min="262" max="262" width="3" customWidth="1"/>
    <col min="263" max="263" width="5.85546875" customWidth="1"/>
    <col min="264" max="264" width="1.42578125" customWidth="1"/>
    <col min="265" max="265" width="5.85546875" customWidth="1"/>
    <col min="266" max="268" width="1.42578125" customWidth="1"/>
    <col min="269" max="269" width="3" customWidth="1"/>
    <col min="270" max="270" width="1.42578125" customWidth="1"/>
    <col min="271" max="271" width="13.140625" customWidth="1"/>
    <col min="272" max="272" width="11.7109375" customWidth="1"/>
    <col min="273" max="273" width="1.42578125" customWidth="1"/>
    <col min="274" max="274" width="14.7109375" customWidth="1"/>
    <col min="275" max="275" width="1.42578125" customWidth="1"/>
    <col min="276" max="276" width="13.140625" customWidth="1"/>
    <col min="277" max="277" width="1.42578125" customWidth="1"/>
    <col min="278" max="278" width="11.7109375" customWidth="1"/>
    <col min="279" max="279" width="1.42578125" customWidth="1"/>
    <col min="513" max="513" width="0" hidden="1" customWidth="1"/>
    <col min="514" max="514" width="1.42578125" customWidth="1"/>
    <col min="515" max="515" width="8.85546875" customWidth="1"/>
    <col min="516" max="516" width="1.42578125" customWidth="1"/>
    <col min="517" max="517" width="4.42578125" customWidth="1"/>
    <col min="518" max="518" width="3" customWidth="1"/>
    <col min="519" max="519" width="5.85546875" customWidth="1"/>
    <col min="520" max="520" width="1.42578125" customWidth="1"/>
    <col min="521" max="521" width="5.85546875" customWidth="1"/>
    <col min="522" max="524" width="1.42578125" customWidth="1"/>
    <col min="525" max="525" width="3" customWidth="1"/>
    <col min="526" max="526" width="1.42578125" customWidth="1"/>
    <col min="527" max="527" width="13.140625" customWidth="1"/>
    <col min="528" max="528" width="11.7109375" customWidth="1"/>
    <col min="529" max="529" width="1.42578125" customWidth="1"/>
    <col min="530" max="530" width="14.7109375" customWidth="1"/>
    <col min="531" max="531" width="1.42578125" customWidth="1"/>
    <col min="532" max="532" width="13.140625" customWidth="1"/>
    <col min="533" max="533" width="1.42578125" customWidth="1"/>
    <col min="534" max="534" width="11.7109375" customWidth="1"/>
    <col min="535" max="535" width="1.42578125" customWidth="1"/>
    <col min="769" max="769" width="0" hidden="1" customWidth="1"/>
    <col min="770" max="770" width="1.42578125" customWidth="1"/>
    <col min="771" max="771" width="8.85546875" customWidth="1"/>
    <col min="772" max="772" width="1.42578125" customWidth="1"/>
    <col min="773" max="773" width="4.42578125" customWidth="1"/>
    <col min="774" max="774" width="3" customWidth="1"/>
    <col min="775" max="775" width="5.85546875" customWidth="1"/>
    <col min="776" max="776" width="1.42578125" customWidth="1"/>
    <col min="777" max="777" width="5.85546875" customWidth="1"/>
    <col min="778" max="780" width="1.42578125" customWidth="1"/>
    <col min="781" max="781" width="3" customWidth="1"/>
    <col min="782" max="782" width="1.42578125" customWidth="1"/>
    <col min="783" max="783" width="13.140625" customWidth="1"/>
    <col min="784" max="784" width="11.7109375" customWidth="1"/>
    <col min="785" max="785" width="1.42578125" customWidth="1"/>
    <col min="786" max="786" width="14.7109375" customWidth="1"/>
    <col min="787" max="787" width="1.42578125" customWidth="1"/>
    <col min="788" max="788" width="13.140625" customWidth="1"/>
    <col min="789" max="789" width="1.42578125" customWidth="1"/>
    <col min="790" max="790" width="11.7109375" customWidth="1"/>
    <col min="791" max="791" width="1.42578125" customWidth="1"/>
    <col min="1025" max="1025" width="0" hidden="1" customWidth="1"/>
    <col min="1026" max="1026" width="1.42578125" customWidth="1"/>
    <col min="1027" max="1027" width="8.85546875" customWidth="1"/>
    <col min="1028" max="1028" width="1.42578125" customWidth="1"/>
    <col min="1029" max="1029" width="4.42578125" customWidth="1"/>
    <col min="1030" max="1030" width="3" customWidth="1"/>
    <col min="1031" max="1031" width="5.85546875" customWidth="1"/>
    <col min="1032" max="1032" width="1.42578125" customWidth="1"/>
    <col min="1033" max="1033" width="5.85546875" customWidth="1"/>
    <col min="1034" max="1036" width="1.42578125" customWidth="1"/>
    <col min="1037" max="1037" width="3" customWidth="1"/>
    <col min="1038" max="1038" width="1.42578125" customWidth="1"/>
    <col min="1039" max="1039" width="13.140625" customWidth="1"/>
    <col min="1040" max="1040" width="11.7109375" customWidth="1"/>
    <col min="1041" max="1041" width="1.42578125" customWidth="1"/>
    <col min="1042" max="1042" width="14.7109375" customWidth="1"/>
    <col min="1043" max="1043" width="1.42578125" customWidth="1"/>
    <col min="1044" max="1044" width="13.140625" customWidth="1"/>
    <col min="1045" max="1045" width="1.42578125" customWidth="1"/>
    <col min="1046" max="1046" width="11.7109375" customWidth="1"/>
    <col min="1047" max="1047" width="1.42578125" customWidth="1"/>
    <col min="1281" max="1281" width="0" hidden="1" customWidth="1"/>
    <col min="1282" max="1282" width="1.42578125" customWidth="1"/>
    <col min="1283" max="1283" width="8.85546875" customWidth="1"/>
    <col min="1284" max="1284" width="1.42578125" customWidth="1"/>
    <col min="1285" max="1285" width="4.42578125" customWidth="1"/>
    <col min="1286" max="1286" width="3" customWidth="1"/>
    <col min="1287" max="1287" width="5.85546875" customWidth="1"/>
    <col min="1288" max="1288" width="1.42578125" customWidth="1"/>
    <col min="1289" max="1289" width="5.85546875" customWidth="1"/>
    <col min="1290" max="1292" width="1.42578125" customWidth="1"/>
    <col min="1293" max="1293" width="3" customWidth="1"/>
    <col min="1294" max="1294" width="1.42578125" customWidth="1"/>
    <col min="1295" max="1295" width="13.140625" customWidth="1"/>
    <col min="1296" max="1296" width="11.7109375" customWidth="1"/>
    <col min="1297" max="1297" width="1.42578125" customWidth="1"/>
    <col min="1298" max="1298" width="14.7109375" customWidth="1"/>
    <col min="1299" max="1299" width="1.42578125" customWidth="1"/>
    <col min="1300" max="1300" width="13.140625" customWidth="1"/>
    <col min="1301" max="1301" width="1.42578125" customWidth="1"/>
    <col min="1302" max="1302" width="11.7109375" customWidth="1"/>
    <col min="1303" max="1303" width="1.42578125" customWidth="1"/>
    <col min="1537" max="1537" width="0" hidden="1" customWidth="1"/>
    <col min="1538" max="1538" width="1.42578125" customWidth="1"/>
    <col min="1539" max="1539" width="8.85546875" customWidth="1"/>
    <col min="1540" max="1540" width="1.42578125" customWidth="1"/>
    <col min="1541" max="1541" width="4.42578125" customWidth="1"/>
    <col min="1542" max="1542" width="3" customWidth="1"/>
    <col min="1543" max="1543" width="5.85546875" customWidth="1"/>
    <col min="1544" max="1544" width="1.42578125" customWidth="1"/>
    <col min="1545" max="1545" width="5.85546875" customWidth="1"/>
    <col min="1546" max="1548" width="1.42578125" customWidth="1"/>
    <col min="1549" max="1549" width="3" customWidth="1"/>
    <col min="1550" max="1550" width="1.42578125" customWidth="1"/>
    <col min="1551" max="1551" width="13.140625" customWidth="1"/>
    <col min="1552" max="1552" width="11.7109375" customWidth="1"/>
    <col min="1553" max="1553" width="1.42578125" customWidth="1"/>
    <col min="1554" max="1554" width="14.7109375" customWidth="1"/>
    <col min="1555" max="1555" width="1.42578125" customWidth="1"/>
    <col min="1556" max="1556" width="13.140625" customWidth="1"/>
    <col min="1557" max="1557" width="1.42578125" customWidth="1"/>
    <col min="1558" max="1558" width="11.7109375" customWidth="1"/>
    <col min="1559" max="1559" width="1.42578125" customWidth="1"/>
    <col min="1793" max="1793" width="0" hidden="1" customWidth="1"/>
    <col min="1794" max="1794" width="1.42578125" customWidth="1"/>
    <col min="1795" max="1795" width="8.85546875" customWidth="1"/>
    <col min="1796" max="1796" width="1.42578125" customWidth="1"/>
    <col min="1797" max="1797" width="4.42578125" customWidth="1"/>
    <col min="1798" max="1798" width="3" customWidth="1"/>
    <col min="1799" max="1799" width="5.85546875" customWidth="1"/>
    <col min="1800" max="1800" width="1.42578125" customWidth="1"/>
    <col min="1801" max="1801" width="5.85546875" customWidth="1"/>
    <col min="1802" max="1804" width="1.42578125" customWidth="1"/>
    <col min="1805" max="1805" width="3" customWidth="1"/>
    <col min="1806" max="1806" width="1.42578125" customWidth="1"/>
    <col min="1807" max="1807" width="13.140625" customWidth="1"/>
    <col min="1808" max="1808" width="11.7109375" customWidth="1"/>
    <col min="1809" max="1809" width="1.42578125" customWidth="1"/>
    <col min="1810" max="1810" width="14.7109375" customWidth="1"/>
    <col min="1811" max="1811" width="1.42578125" customWidth="1"/>
    <col min="1812" max="1812" width="13.140625" customWidth="1"/>
    <col min="1813" max="1813" width="1.42578125" customWidth="1"/>
    <col min="1814" max="1814" width="11.7109375" customWidth="1"/>
    <col min="1815" max="1815" width="1.42578125" customWidth="1"/>
    <col min="2049" max="2049" width="0" hidden="1" customWidth="1"/>
    <col min="2050" max="2050" width="1.42578125" customWidth="1"/>
    <col min="2051" max="2051" width="8.85546875" customWidth="1"/>
    <col min="2052" max="2052" width="1.42578125" customWidth="1"/>
    <col min="2053" max="2053" width="4.42578125" customWidth="1"/>
    <col min="2054" max="2054" width="3" customWidth="1"/>
    <col min="2055" max="2055" width="5.85546875" customWidth="1"/>
    <col min="2056" max="2056" width="1.42578125" customWidth="1"/>
    <col min="2057" max="2057" width="5.85546875" customWidth="1"/>
    <col min="2058" max="2060" width="1.42578125" customWidth="1"/>
    <col min="2061" max="2061" width="3" customWidth="1"/>
    <col min="2062" max="2062" width="1.42578125" customWidth="1"/>
    <col min="2063" max="2063" width="13.140625" customWidth="1"/>
    <col min="2064" max="2064" width="11.7109375" customWidth="1"/>
    <col min="2065" max="2065" width="1.42578125" customWidth="1"/>
    <col min="2066" max="2066" width="14.7109375" customWidth="1"/>
    <col min="2067" max="2067" width="1.42578125" customWidth="1"/>
    <col min="2068" max="2068" width="13.140625" customWidth="1"/>
    <col min="2069" max="2069" width="1.42578125" customWidth="1"/>
    <col min="2070" max="2070" width="11.7109375" customWidth="1"/>
    <col min="2071" max="2071" width="1.42578125" customWidth="1"/>
    <col min="2305" max="2305" width="0" hidden="1" customWidth="1"/>
    <col min="2306" max="2306" width="1.42578125" customWidth="1"/>
    <col min="2307" max="2307" width="8.85546875" customWidth="1"/>
    <col min="2308" max="2308" width="1.42578125" customWidth="1"/>
    <col min="2309" max="2309" width="4.42578125" customWidth="1"/>
    <col min="2310" max="2310" width="3" customWidth="1"/>
    <col min="2311" max="2311" width="5.85546875" customWidth="1"/>
    <col min="2312" max="2312" width="1.42578125" customWidth="1"/>
    <col min="2313" max="2313" width="5.85546875" customWidth="1"/>
    <col min="2314" max="2316" width="1.42578125" customWidth="1"/>
    <col min="2317" max="2317" width="3" customWidth="1"/>
    <col min="2318" max="2318" width="1.42578125" customWidth="1"/>
    <col min="2319" max="2319" width="13.140625" customWidth="1"/>
    <col min="2320" max="2320" width="11.7109375" customWidth="1"/>
    <col min="2321" max="2321" width="1.42578125" customWidth="1"/>
    <col min="2322" max="2322" width="14.7109375" customWidth="1"/>
    <col min="2323" max="2323" width="1.42578125" customWidth="1"/>
    <col min="2324" max="2324" width="13.140625" customWidth="1"/>
    <col min="2325" max="2325" width="1.42578125" customWidth="1"/>
    <col min="2326" max="2326" width="11.7109375" customWidth="1"/>
    <col min="2327" max="2327" width="1.42578125" customWidth="1"/>
    <col min="2561" max="2561" width="0" hidden="1" customWidth="1"/>
    <col min="2562" max="2562" width="1.42578125" customWidth="1"/>
    <col min="2563" max="2563" width="8.85546875" customWidth="1"/>
    <col min="2564" max="2564" width="1.42578125" customWidth="1"/>
    <col min="2565" max="2565" width="4.42578125" customWidth="1"/>
    <col min="2566" max="2566" width="3" customWidth="1"/>
    <col min="2567" max="2567" width="5.85546875" customWidth="1"/>
    <col min="2568" max="2568" width="1.42578125" customWidth="1"/>
    <col min="2569" max="2569" width="5.85546875" customWidth="1"/>
    <col min="2570" max="2572" width="1.42578125" customWidth="1"/>
    <col min="2573" max="2573" width="3" customWidth="1"/>
    <col min="2574" max="2574" width="1.42578125" customWidth="1"/>
    <col min="2575" max="2575" width="13.140625" customWidth="1"/>
    <col min="2576" max="2576" width="11.7109375" customWidth="1"/>
    <col min="2577" max="2577" width="1.42578125" customWidth="1"/>
    <col min="2578" max="2578" width="14.7109375" customWidth="1"/>
    <col min="2579" max="2579" width="1.42578125" customWidth="1"/>
    <col min="2580" max="2580" width="13.140625" customWidth="1"/>
    <col min="2581" max="2581" width="1.42578125" customWidth="1"/>
    <col min="2582" max="2582" width="11.7109375" customWidth="1"/>
    <col min="2583" max="2583" width="1.42578125" customWidth="1"/>
    <col min="2817" max="2817" width="0" hidden="1" customWidth="1"/>
    <col min="2818" max="2818" width="1.42578125" customWidth="1"/>
    <col min="2819" max="2819" width="8.85546875" customWidth="1"/>
    <col min="2820" max="2820" width="1.42578125" customWidth="1"/>
    <col min="2821" max="2821" width="4.42578125" customWidth="1"/>
    <col min="2822" max="2822" width="3" customWidth="1"/>
    <col min="2823" max="2823" width="5.85546875" customWidth="1"/>
    <col min="2824" max="2824" width="1.42578125" customWidth="1"/>
    <col min="2825" max="2825" width="5.85546875" customWidth="1"/>
    <col min="2826" max="2828" width="1.42578125" customWidth="1"/>
    <col min="2829" max="2829" width="3" customWidth="1"/>
    <col min="2830" max="2830" width="1.42578125" customWidth="1"/>
    <col min="2831" max="2831" width="13.140625" customWidth="1"/>
    <col min="2832" max="2832" width="11.7109375" customWidth="1"/>
    <col min="2833" max="2833" width="1.42578125" customWidth="1"/>
    <col min="2834" max="2834" width="14.7109375" customWidth="1"/>
    <col min="2835" max="2835" width="1.42578125" customWidth="1"/>
    <col min="2836" max="2836" width="13.140625" customWidth="1"/>
    <col min="2837" max="2837" width="1.42578125" customWidth="1"/>
    <col min="2838" max="2838" width="11.7109375" customWidth="1"/>
    <col min="2839" max="2839" width="1.42578125" customWidth="1"/>
    <col min="3073" max="3073" width="0" hidden="1" customWidth="1"/>
    <col min="3074" max="3074" width="1.42578125" customWidth="1"/>
    <col min="3075" max="3075" width="8.85546875" customWidth="1"/>
    <col min="3076" max="3076" width="1.42578125" customWidth="1"/>
    <col min="3077" max="3077" width="4.42578125" customWidth="1"/>
    <col min="3078" max="3078" width="3" customWidth="1"/>
    <col min="3079" max="3079" width="5.85546875" customWidth="1"/>
    <col min="3080" max="3080" width="1.42578125" customWidth="1"/>
    <col min="3081" max="3081" width="5.85546875" customWidth="1"/>
    <col min="3082" max="3084" width="1.42578125" customWidth="1"/>
    <col min="3085" max="3085" width="3" customWidth="1"/>
    <col min="3086" max="3086" width="1.42578125" customWidth="1"/>
    <col min="3087" max="3087" width="13.140625" customWidth="1"/>
    <col min="3088" max="3088" width="11.7109375" customWidth="1"/>
    <col min="3089" max="3089" width="1.42578125" customWidth="1"/>
    <col min="3090" max="3090" width="14.7109375" customWidth="1"/>
    <col min="3091" max="3091" width="1.42578125" customWidth="1"/>
    <col min="3092" max="3092" width="13.140625" customWidth="1"/>
    <col min="3093" max="3093" width="1.42578125" customWidth="1"/>
    <col min="3094" max="3094" width="11.7109375" customWidth="1"/>
    <col min="3095" max="3095" width="1.42578125" customWidth="1"/>
    <col min="3329" max="3329" width="0" hidden="1" customWidth="1"/>
    <col min="3330" max="3330" width="1.42578125" customWidth="1"/>
    <col min="3331" max="3331" width="8.85546875" customWidth="1"/>
    <col min="3332" max="3332" width="1.42578125" customWidth="1"/>
    <col min="3333" max="3333" width="4.42578125" customWidth="1"/>
    <col min="3334" max="3334" width="3" customWidth="1"/>
    <col min="3335" max="3335" width="5.85546875" customWidth="1"/>
    <col min="3336" max="3336" width="1.42578125" customWidth="1"/>
    <col min="3337" max="3337" width="5.85546875" customWidth="1"/>
    <col min="3338" max="3340" width="1.42578125" customWidth="1"/>
    <col min="3341" max="3341" width="3" customWidth="1"/>
    <col min="3342" max="3342" width="1.42578125" customWidth="1"/>
    <col min="3343" max="3343" width="13.140625" customWidth="1"/>
    <col min="3344" max="3344" width="11.7109375" customWidth="1"/>
    <col min="3345" max="3345" width="1.42578125" customWidth="1"/>
    <col min="3346" max="3346" width="14.7109375" customWidth="1"/>
    <col min="3347" max="3347" width="1.42578125" customWidth="1"/>
    <col min="3348" max="3348" width="13.140625" customWidth="1"/>
    <col min="3349" max="3349" width="1.42578125" customWidth="1"/>
    <col min="3350" max="3350" width="11.7109375" customWidth="1"/>
    <col min="3351" max="3351" width="1.42578125" customWidth="1"/>
    <col min="3585" max="3585" width="0" hidden="1" customWidth="1"/>
    <col min="3586" max="3586" width="1.42578125" customWidth="1"/>
    <col min="3587" max="3587" width="8.85546875" customWidth="1"/>
    <col min="3588" max="3588" width="1.42578125" customWidth="1"/>
    <col min="3589" max="3589" width="4.42578125" customWidth="1"/>
    <col min="3590" max="3590" width="3" customWidth="1"/>
    <col min="3591" max="3591" width="5.85546875" customWidth="1"/>
    <col min="3592" max="3592" width="1.42578125" customWidth="1"/>
    <col min="3593" max="3593" width="5.85546875" customWidth="1"/>
    <col min="3594" max="3596" width="1.42578125" customWidth="1"/>
    <col min="3597" max="3597" width="3" customWidth="1"/>
    <col min="3598" max="3598" width="1.42578125" customWidth="1"/>
    <col min="3599" max="3599" width="13.140625" customWidth="1"/>
    <col min="3600" max="3600" width="11.7109375" customWidth="1"/>
    <col min="3601" max="3601" width="1.42578125" customWidth="1"/>
    <col min="3602" max="3602" width="14.7109375" customWidth="1"/>
    <col min="3603" max="3603" width="1.42578125" customWidth="1"/>
    <col min="3604" max="3604" width="13.140625" customWidth="1"/>
    <col min="3605" max="3605" width="1.42578125" customWidth="1"/>
    <col min="3606" max="3606" width="11.7109375" customWidth="1"/>
    <col min="3607" max="3607" width="1.42578125" customWidth="1"/>
    <col min="3841" max="3841" width="0" hidden="1" customWidth="1"/>
    <col min="3842" max="3842" width="1.42578125" customWidth="1"/>
    <col min="3843" max="3843" width="8.85546875" customWidth="1"/>
    <col min="3844" max="3844" width="1.42578125" customWidth="1"/>
    <col min="3845" max="3845" width="4.42578125" customWidth="1"/>
    <col min="3846" max="3846" width="3" customWidth="1"/>
    <col min="3847" max="3847" width="5.85546875" customWidth="1"/>
    <col min="3848" max="3848" width="1.42578125" customWidth="1"/>
    <col min="3849" max="3849" width="5.85546875" customWidth="1"/>
    <col min="3850" max="3852" width="1.42578125" customWidth="1"/>
    <col min="3853" max="3853" width="3" customWidth="1"/>
    <col min="3854" max="3854" width="1.42578125" customWidth="1"/>
    <col min="3855" max="3855" width="13.140625" customWidth="1"/>
    <col min="3856" max="3856" width="11.7109375" customWidth="1"/>
    <col min="3857" max="3857" width="1.42578125" customWidth="1"/>
    <col min="3858" max="3858" width="14.7109375" customWidth="1"/>
    <col min="3859" max="3859" width="1.42578125" customWidth="1"/>
    <col min="3860" max="3860" width="13.140625" customWidth="1"/>
    <col min="3861" max="3861" width="1.42578125" customWidth="1"/>
    <col min="3862" max="3862" width="11.7109375" customWidth="1"/>
    <col min="3863" max="3863" width="1.42578125" customWidth="1"/>
    <col min="4097" max="4097" width="0" hidden="1" customWidth="1"/>
    <col min="4098" max="4098" width="1.42578125" customWidth="1"/>
    <col min="4099" max="4099" width="8.85546875" customWidth="1"/>
    <col min="4100" max="4100" width="1.42578125" customWidth="1"/>
    <col min="4101" max="4101" width="4.42578125" customWidth="1"/>
    <col min="4102" max="4102" width="3" customWidth="1"/>
    <col min="4103" max="4103" width="5.85546875" customWidth="1"/>
    <col min="4104" max="4104" width="1.42578125" customWidth="1"/>
    <col min="4105" max="4105" width="5.85546875" customWidth="1"/>
    <col min="4106" max="4108" width="1.42578125" customWidth="1"/>
    <col min="4109" max="4109" width="3" customWidth="1"/>
    <col min="4110" max="4110" width="1.42578125" customWidth="1"/>
    <col min="4111" max="4111" width="13.140625" customWidth="1"/>
    <col min="4112" max="4112" width="11.7109375" customWidth="1"/>
    <col min="4113" max="4113" width="1.42578125" customWidth="1"/>
    <col min="4114" max="4114" width="14.7109375" customWidth="1"/>
    <col min="4115" max="4115" width="1.42578125" customWidth="1"/>
    <col min="4116" max="4116" width="13.140625" customWidth="1"/>
    <col min="4117" max="4117" width="1.42578125" customWidth="1"/>
    <col min="4118" max="4118" width="11.7109375" customWidth="1"/>
    <col min="4119" max="4119" width="1.42578125" customWidth="1"/>
    <col min="4353" max="4353" width="0" hidden="1" customWidth="1"/>
    <col min="4354" max="4354" width="1.42578125" customWidth="1"/>
    <col min="4355" max="4355" width="8.85546875" customWidth="1"/>
    <col min="4356" max="4356" width="1.42578125" customWidth="1"/>
    <col min="4357" max="4357" width="4.42578125" customWidth="1"/>
    <col min="4358" max="4358" width="3" customWidth="1"/>
    <col min="4359" max="4359" width="5.85546875" customWidth="1"/>
    <col min="4360" max="4360" width="1.42578125" customWidth="1"/>
    <col min="4361" max="4361" width="5.85546875" customWidth="1"/>
    <col min="4362" max="4364" width="1.42578125" customWidth="1"/>
    <col min="4365" max="4365" width="3" customWidth="1"/>
    <col min="4366" max="4366" width="1.42578125" customWidth="1"/>
    <col min="4367" max="4367" width="13.140625" customWidth="1"/>
    <col min="4368" max="4368" width="11.7109375" customWidth="1"/>
    <col min="4369" max="4369" width="1.42578125" customWidth="1"/>
    <col min="4370" max="4370" width="14.7109375" customWidth="1"/>
    <col min="4371" max="4371" width="1.42578125" customWidth="1"/>
    <col min="4372" max="4372" width="13.140625" customWidth="1"/>
    <col min="4373" max="4373" width="1.42578125" customWidth="1"/>
    <col min="4374" max="4374" width="11.7109375" customWidth="1"/>
    <col min="4375" max="4375" width="1.42578125" customWidth="1"/>
    <col min="4609" max="4609" width="0" hidden="1" customWidth="1"/>
    <col min="4610" max="4610" width="1.42578125" customWidth="1"/>
    <col min="4611" max="4611" width="8.85546875" customWidth="1"/>
    <col min="4612" max="4612" width="1.42578125" customWidth="1"/>
    <col min="4613" max="4613" width="4.42578125" customWidth="1"/>
    <col min="4614" max="4614" width="3" customWidth="1"/>
    <col min="4615" max="4615" width="5.85546875" customWidth="1"/>
    <col min="4616" max="4616" width="1.42578125" customWidth="1"/>
    <col min="4617" max="4617" width="5.85546875" customWidth="1"/>
    <col min="4618" max="4620" width="1.42578125" customWidth="1"/>
    <col min="4621" max="4621" width="3" customWidth="1"/>
    <col min="4622" max="4622" width="1.42578125" customWidth="1"/>
    <col min="4623" max="4623" width="13.140625" customWidth="1"/>
    <col min="4624" max="4624" width="11.7109375" customWidth="1"/>
    <col min="4625" max="4625" width="1.42578125" customWidth="1"/>
    <col min="4626" max="4626" width="14.7109375" customWidth="1"/>
    <col min="4627" max="4627" width="1.42578125" customWidth="1"/>
    <col min="4628" max="4628" width="13.140625" customWidth="1"/>
    <col min="4629" max="4629" width="1.42578125" customWidth="1"/>
    <col min="4630" max="4630" width="11.7109375" customWidth="1"/>
    <col min="4631" max="4631" width="1.42578125" customWidth="1"/>
    <col min="4865" max="4865" width="0" hidden="1" customWidth="1"/>
    <col min="4866" max="4866" width="1.42578125" customWidth="1"/>
    <col min="4867" max="4867" width="8.85546875" customWidth="1"/>
    <col min="4868" max="4868" width="1.42578125" customWidth="1"/>
    <col min="4869" max="4869" width="4.42578125" customWidth="1"/>
    <col min="4870" max="4870" width="3" customWidth="1"/>
    <col min="4871" max="4871" width="5.85546875" customWidth="1"/>
    <col min="4872" max="4872" width="1.42578125" customWidth="1"/>
    <col min="4873" max="4873" width="5.85546875" customWidth="1"/>
    <col min="4874" max="4876" width="1.42578125" customWidth="1"/>
    <col min="4877" max="4877" width="3" customWidth="1"/>
    <col min="4878" max="4878" width="1.42578125" customWidth="1"/>
    <col min="4879" max="4879" width="13.140625" customWidth="1"/>
    <col min="4880" max="4880" width="11.7109375" customWidth="1"/>
    <col min="4881" max="4881" width="1.42578125" customWidth="1"/>
    <col min="4882" max="4882" width="14.7109375" customWidth="1"/>
    <col min="4883" max="4883" width="1.42578125" customWidth="1"/>
    <col min="4884" max="4884" width="13.140625" customWidth="1"/>
    <col min="4885" max="4885" width="1.42578125" customWidth="1"/>
    <col min="4886" max="4886" width="11.7109375" customWidth="1"/>
    <col min="4887" max="4887" width="1.42578125" customWidth="1"/>
    <col min="5121" max="5121" width="0" hidden="1" customWidth="1"/>
    <col min="5122" max="5122" width="1.42578125" customWidth="1"/>
    <col min="5123" max="5123" width="8.85546875" customWidth="1"/>
    <col min="5124" max="5124" width="1.42578125" customWidth="1"/>
    <col min="5125" max="5125" width="4.42578125" customWidth="1"/>
    <col min="5126" max="5126" width="3" customWidth="1"/>
    <col min="5127" max="5127" width="5.85546875" customWidth="1"/>
    <col min="5128" max="5128" width="1.42578125" customWidth="1"/>
    <col min="5129" max="5129" width="5.85546875" customWidth="1"/>
    <col min="5130" max="5132" width="1.42578125" customWidth="1"/>
    <col min="5133" max="5133" width="3" customWidth="1"/>
    <col min="5134" max="5134" width="1.42578125" customWidth="1"/>
    <col min="5135" max="5135" width="13.140625" customWidth="1"/>
    <col min="5136" max="5136" width="11.7109375" customWidth="1"/>
    <col min="5137" max="5137" width="1.42578125" customWidth="1"/>
    <col min="5138" max="5138" width="14.7109375" customWidth="1"/>
    <col min="5139" max="5139" width="1.42578125" customWidth="1"/>
    <col min="5140" max="5140" width="13.140625" customWidth="1"/>
    <col min="5141" max="5141" width="1.42578125" customWidth="1"/>
    <col min="5142" max="5142" width="11.7109375" customWidth="1"/>
    <col min="5143" max="5143" width="1.42578125" customWidth="1"/>
    <col min="5377" max="5377" width="0" hidden="1" customWidth="1"/>
    <col min="5378" max="5378" width="1.42578125" customWidth="1"/>
    <col min="5379" max="5379" width="8.85546875" customWidth="1"/>
    <col min="5380" max="5380" width="1.42578125" customWidth="1"/>
    <col min="5381" max="5381" width="4.42578125" customWidth="1"/>
    <col min="5382" max="5382" width="3" customWidth="1"/>
    <col min="5383" max="5383" width="5.85546875" customWidth="1"/>
    <col min="5384" max="5384" width="1.42578125" customWidth="1"/>
    <col min="5385" max="5385" width="5.85546875" customWidth="1"/>
    <col min="5386" max="5388" width="1.42578125" customWidth="1"/>
    <col min="5389" max="5389" width="3" customWidth="1"/>
    <col min="5390" max="5390" width="1.42578125" customWidth="1"/>
    <col min="5391" max="5391" width="13.140625" customWidth="1"/>
    <col min="5392" max="5392" width="11.7109375" customWidth="1"/>
    <col min="5393" max="5393" width="1.42578125" customWidth="1"/>
    <col min="5394" max="5394" width="14.7109375" customWidth="1"/>
    <col min="5395" max="5395" width="1.42578125" customWidth="1"/>
    <col min="5396" max="5396" width="13.140625" customWidth="1"/>
    <col min="5397" max="5397" width="1.42578125" customWidth="1"/>
    <col min="5398" max="5398" width="11.7109375" customWidth="1"/>
    <col min="5399" max="5399" width="1.42578125" customWidth="1"/>
    <col min="5633" max="5633" width="0" hidden="1" customWidth="1"/>
    <col min="5634" max="5634" width="1.42578125" customWidth="1"/>
    <col min="5635" max="5635" width="8.85546875" customWidth="1"/>
    <col min="5636" max="5636" width="1.42578125" customWidth="1"/>
    <col min="5637" max="5637" width="4.42578125" customWidth="1"/>
    <col min="5638" max="5638" width="3" customWidth="1"/>
    <col min="5639" max="5639" width="5.85546875" customWidth="1"/>
    <col min="5640" max="5640" width="1.42578125" customWidth="1"/>
    <col min="5641" max="5641" width="5.85546875" customWidth="1"/>
    <col min="5642" max="5644" width="1.42578125" customWidth="1"/>
    <col min="5645" max="5645" width="3" customWidth="1"/>
    <col min="5646" max="5646" width="1.42578125" customWidth="1"/>
    <col min="5647" max="5647" width="13.140625" customWidth="1"/>
    <col min="5648" max="5648" width="11.7109375" customWidth="1"/>
    <col min="5649" max="5649" width="1.42578125" customWidth="1"/>
    <col min="5650" max="5650" width="14.7109375" customWidth="1"/>
    <col min="5651" max="5651" width="1.42578125" customWidth="1"/>
    <col min="5652" max="5652" width="13.140625" customWidth="1"/>
    <col min="5653" max="5653" width="1.42578125" customWidth="1"/>
    <col min="5654" max="5654" width="11.7109375" customWidth="1"/>
    <col min="5655" max="5655" width="1.42578125" customWidth="1"/>
    <col min="5889" max="5889" width="0" hidden="1" customWidth="1"/>
    <col min="5890" max="5890" width="1.42578125" customWidth="1"/>
    <col min="5891" max="5891" width="8.85546875" customWidth="1"/>
    <col min="5892" max="5892" width="1.42578125" customWidth="1"/>
    <col min="5893" max="5893" width="4.42578125" customWidth="1"/>
    <col min="5894" max="5894" width="3" customWidth="1"/>
    <col min="5895" max="5895" width="5.85546875" customWidth="1"/>
    <col min="5896" max="5896" width="1.42578125" customWidth="1"/>
    <col min="5897" max="5897" width="5.85546875" customWidth="1"/>
    <col min="5898" max="5900" width="1.42578125" customWidth="1"/>
    <col min="5901" max="5901" width="3" customWidth="1"/>
    <col min="5902" max="5902" width="1.42578125" customWidth="1"/>
    <col min="5903" max="5903" width="13.140625" customWidth="1"/>
    <col min="5904" max="5904" width="11.7109375" customWidth="1"/>
    <col min="5905" max="5905" width="1.42578125" customWidth="1"/>
    <col min="5906" max="5906" width="14.7109375" customWidth="1"/>
    <col min="5907" max="5907" width="1.42578125" customWidth="1"/>
    <col min="5908" max="5908" width="13.140625" customWidth="1"/>
    <col min="5909" max="5909" width="1.42578125" customWidth="1"/>
    <col min="5910" max="5910" width="11.7109375" customWidth="1"/>
    <col min="5911" max="5911" width="1.42578125" customWidth="1"/>
    <col min="6145" max="6145" width="0" hidden="1" customWidth="1"/>
    <col min="6146" max="6146" width="1.42578125" customWidth="1"/>
    <col min="6147" max="6147" width="8.85546875" customWidth="1"/>
    <col min="6148" max="6148" width="1.42578125" customWidth="1"/>
    <col min="6149" max="6149" width="4.42578125" customWidth="1"/>
    <col min="6150" max="6150" width="3" customWidth="1"/>
    <col min="6151" max="6151" width="5.85546875" customWidth="1"/>
    <col min="6152" max="6152" width="1.42578125" customWidth="1"/>
    <col min="6153" max="6153" width="5.85546875" customWidth="1"/>
    <col min="6154" max="6156" width="1.42578125" customWidth="1"/>
    <col min="6157" max="6157" width="3" customWidth="1"/>
    <col min="6158" max="6158" width="1.42578125" customWidth="1"/>
    <col min="6159" max="6159" width="13.140625" customWidth="1"/>
    <col min="6160" max="6160" width="11.7109375" customWidth="1"/>
    <col min="6161" max="6161" width="1.42578125" customWidth="1"/>
    <col min="6162" max="6162" width="14.7109375" customWidth="1"/>
    <col min="6163" max="6163" width="1.42578125" customWidth="1"/>
    <col min="6164" max="6164" width="13.140625" customWidth="1"/>
    <col min="6165" max="6165" width="1.42578125" customWidth="1"/>
    <col min="6166" max="6166" width="11.7109375" customWidth="1"/>
    <col min="6167" max="6167" width="1.42578125" customWidth="1"/>
    <col min="6401" max="6401" width="0" hidden="1" customWidth="1"/>
    <col min="6402" max="6402" width="1.42578125" customWidth="1"/>
    <col min="6403" max="6403" width="8.85546875" customWidth="1"/>
    <col min="6404" max="6404" width="1.42578125" customWidth="1"/>
    <col min="6405" max="6405" width="4.42578125" customWidth="1"/>
    <col min="6406" max="6406" width="3" customWidth="1"/>
    <col min="6407" max="6407" width="5.85546875" customWidth="1"/>
    <col min="6408" max="6408" width="1.42578125" customWidth="1"/>
    <col min="6409" max="6409" width="5.85546875" customWidth="1"/>
    <col min="6410" max="6412" width="1.42578125" customWidth="1"/>
    <col min="6413" max="6413" width="3" customWidth="1"/>
    <col min="6414" max="6414" width="1.42578125" customWidth="1"/>
    <col min="6415" max="6415" width="13.140625" customWidth="1"/>
    <col min="6416" max="6416" width="11.7109375" customWidth="1"/>
    <col min="6417" max="6417" width="1.42578125" customWidth="1"/>
    <col min="6418" max="6418" width="14.7109375" customWidth="1"/>
    <col min="6419" max="6419" width="1.42578125" customWidth="1"/>
    <col min="6420" max="6420" width="13.140625" customWidth="1"/>
    <col min="6421" max="6421" width="1.42578125" customWidth="1"/>
    <col min="6422" max="6422" width="11.7109375" customWidth="1"/>
    <col min="6423" max="6423" width="1.42578125" customWidth="1"/>
    <col min="6657" max="6657" width="0" hidden="1" customWidth="1"/>
    <col min="6658" max="6658" width="1.42578125" customWidth="1"/>
    <col min="6659" max="6659" width="8.85546875" customWidth="1"/>
    <col min="6660" max="6660" width="1.42578125" customWidth="1"/>
    <col min="6661" max="6661" width="4.42578125" customWidth="1"/>
    <col min="6662" max="6662" width="3" customWidth="1"/>
    <col min="6663" max="6663" width="5.85546875" customWidth="1"/>
    <col min="6664" max="6664" width="1.42578125" customWidth="1"/>
    <col min="6665" max="6665" width="5.85546875" customWidth="1"/>
    <col min="6666" max="6668" width="1.42578125" customWidth="1"/>
    <col min="6669" max="6669" width="3" customWidth="1"/>
    <col min="6670" max="6670" width="1.42578125" customWidth="1"/>
    <col min="6671" max="6671" width="13.140625" customWidth="1"/>
    <col min="6672" max="6672" width="11.7109375" customWidth="1"/>
    <col min="6673" max="6673" width="1.42578125" customWidth="1"/>
    <col min="6674" max="6674" width="14.7109375" customWidth="1"/>
    <col min="6675" max="6675" width="1.42578125" customWidth="1"/>
    <col min="6676" max="6676" width="13.140625" customWidth="1"/>
    <col min="6677" max="6677" width="1.42578125" customWidth="1"/>
    <col min="6678" max="6678" width="11.7109375" customWidth="1"/>
    <col min="6679" max="6679" width="1.42578125" customWidth="1"/>
    <col min="6913" max="6913" width="0" hidden="1" customWidth="1"/>
    <col min="6914" max="6914" width="1.42578125" customWidth="1"/>
    <col min="6915" max="6915" width="8.85546875" customWidth="1"/>
    <col min="6916" max="6916" width="1.42578125" customWidth="1"/>
    <col min="6917" max="6917" width="4.42578125" customWidth="1"/>
    <col min="6918" max="6918" width="3" customWidth="1"/>
    <col min="6919" max="6919" width="5.85546875" customWidth="1"/>
    <col min="6920" max="6920" width="1.42578125" customWidth="1"/>
    <col min="6921" max="6921" width="5.85546875" customWidth="1"/>
    <col min="6922" max="6924" width="1.42578125" customWidth="1"/>
    <col min="6925" max="6925" width="3" customWidth="1"/>
    <col min="6926" max="6926" width="1.42578125" customWidth="1"/>
    <col min="6927" max="6927" width="13.140625" customWidth="1"/>
    <col min="6928" max="6928" width="11.7109375" customWidth="1"/>
    <col min="6929" max="6929" width="1.42578125" customWidth="1"/>
    <col min="6930" max="6930" width="14.7109375" customWidth="1"/>
    <col min="6931" max="6931" width="1.42578125" customWidth="1"/>
    <col min="6932" max="6932" width="13.140625" customWidth="1"/>
    <col min="6933" max="6933" width="1.42578125" customWidth="1"/>
    <col min="6934" max="6934" width="11.7109375" customWidth="1"/>
    <col min="6935" max="6935" width="1.42578125" customWidth="1"/>
    <col min="7169" max="7169" width="0" hidden="1" customWidth="1"/>
    <col min="7170" max="7170" width="1.42578125" customWidth="1"/>
    <col min="7171" max="7171" width="8.85546875" customWidth="1"/>
    <col min="7172" max="7172" width="1.42578125" customWidth="1"/>
    <col min="7173" max="7173" width="4.42578125" customWidth="1"/>
    <col min="7174" max="7174" width="3" customWidth="1"/>
    <col min="7175" max="7175" width="5.85546875" customWidth="1"/>
    <col min="7176" max="7176" width="1.42578125" customWidth="1"/>
    <col min="7177" max="7177" width="5.85546875" customWidth="1"/>
    <col min="7178" max="7180" width="1.42578125" customWidth="1"/>
    <col min="7181" max="7181" width="3" customWidth="1"/>
    <col min="7182" max="7182" width="1.42578125" customWidth="1"/>
    <col min="7183" max="7183" width="13.140625" customWidth="1"/>
    <col min="7184" max="7184" width="11.7109375" customWidth="1"/>
    <col min="7185" max="7185" width="1.42578125" customWidth="1"/>
    <col min="7186" max="7186" width="14.7109375" customWidth="1"/>
    <col min="7187" max="7187" width="1.42578125" customWidth="1"/>
    <col min="7188" max="7188" width="13.140625" customWidth="1"/>
    <col min="7189" max="7189" width="1.42578125" customWidth="1"/>
    <col min="7190" max="7190" width="11.7109375" customWidth="1"/>
    <col min="7191" max="7191" width="1.42578125" customWidth="1"/>
    <col min="7425" max="7425" width="0" hidden="1" customWidth="1"/>
    <col min="7426" max="7426" width="1.42578125" customWidth="1"/>
    <col min="7427" max="7427" width="8.85546875" customWidth="1"/>
    <col min="7428" max="7428" width="1.42578125" customWidth="1"/>
    <col min="7429" max="7429" width="4.42578125" customWidth="1"/>
    <col min="7430" max="7430" width="3" customWidth="1"/>
    <col min="7431" max="7431" width="5.85546875" customWidth="1"/>
    <col min="7432" max="7432" width="1.42578125" customWidth="1"/>
    <col min="7433" max="7433" width="5.85546875" customWidth="1"/>
    <col min="7434" max="7436" width="1.42578125" customWidth="1"/>
    <col min="7437" max="7437" width="3" customWidth="1"/>
    <col min="7438" max="7438" width="1.42578125" customWidth="1"/>
    <col min="7439" max="7439" width="13.140625" customWidth="1"/>
    <col min="7440" max="7440" width="11.7109375" customWidth="1"/>
    <col min="7441" max="7441" width="1.42578125" customWidth="1"/>
    <col min="7442" max="7442" width="14.7109375" customWidth="1"/>
    <col min="7443" max="7443" width="1.42578125" customWidth="1"/>
    <col min="7444" max="7444" width="13.140625" customWidth="1"/>
    <col min="7445" max="7445" width="1.42578125" customWidth="1"/>
    <col min="7446" max="7446" width="11.7109375" customWidth="1"/>
    <col min="7447" max="7447" width="1.42578125" customWidth="1"/>
    <col min="7681" max="7681" width="0" hidden="1" customWidth="1"/>
    <col min="7682" max="7682" width="1.42578125" customWidth="1"/>
    <col min="7683" max="7683" width="8.85546875" customWidth="1"/>
    <col min="7684" max="7684" width="1.42578125" customWidth="1"/>
    <col min="7685" max="7685" width="4.42578125" customWidth="1"/>
    <col min="7686" max="7686" width="3" customWidth="1"/>
    <col min="7687" max="7687" width="5.85546875" customWidth="1"/>
    <col min="7688" max="7688" width="1.42578125" customWidth="1"/>
    <col min="7689" max="7689" width="5.85546875" customWidth="1"/>
    <col min="7690" max="7692" width="1.42578125" customWidth="1"/>
    <col min="7693" max="7693" width="3" customWidth="1"/>
    <col min="7694" max="7694" width="1.42578125" customWidth="1"/>
    <col min="7695" max="7695" width="13.140625" customWidth="1"/>
    <col min="7696" max="7696" width="11.7109375" customWidth="1"/>
    <col min="7697" max="7697" width="1.42578125" customWidth="1"/>
    <col min="7698" max="7698" width="14.7109375" customWidth="1"/>
    <col min="7699" max="7699" width="1.42578125" customWidth="1"/>
    <col min="7700" max="7700" width="13.140625" customWidth="1"/>
    <col min="7701" max="7701" width="1.42578125" customWidth="1"/>
    <col min="7702" max="7702" width="11.7109375" customWidth="1"/>
    <col min="7703" max="7703" width="1.42578125" customWidth="1"/>
    <col min="7937" max="7937" width="0" hidden="1" customWidth="1"/>
    <col min="7938" max="7938" width="1.42578125" customWidth="1"/>
    <col min="7939" max="7939" width="8.85546875" customWidth="1"/>
    <col min="7940" max="7940" width="1.42578125" customWidth="1"/>
    <col min="7941" max="7941" width="4.42578125" customWidth="1"/>
    <col min="7942" max="7942" width="3" customWidth="1"/>
    <col min="7943" max="7943" width="5.85546875" customWidth="1"/>
    <col min="7944" max="7944" width="1.42578125" customWidth="1"/>
    <col min="7945" max="7945" width="5.85546875" customWidth="1"/>
    <col min="7946" max="7948" width="1.42578125" customWidth="1"/>
    <col min="7949" max="7949" width="3" customWidth="1"/>
    <col min="7950" max="7950" width="1.42578125" customWidth="1"/>
    <col min="7951" max="7951" width="13.140625" customWidth="1"/>
    <col min="7952" max="7952" width="11.7109375" customWidth="1"/>
    <col min="7953" max="7953" width="1.42578125" customWidth="1"/>
    <col min="7954" max="7954" width="14.7109375" customWidth="1"/>
    <col min="7955" max="7955" width="1.42578125" customWidth="1"/>
    <col min="7956" max="7956" width="13.140625" customWidth="1"/>
    <col min="7957" max="7957" width="1.42578125" customWidth="1"/>
    <col min="7958" max="7958" width="11.7109375" customWidth="1"/>
    <col min="7959" max="7959" width="1.42578125" customWidth="1"/>
    <col min="8193" max="8193" width="0" hidden="1" customWidth="1"/>
    <col min="8194" max="8194" width="1.42578125" customWidth="1"/>
    <col min="8195" max="8195" width="8.85546875" customWidth="1"/>
    <col min="8196" max="8196" width="1.42578125" customWidth="1"/>
    <col min="8197" max="8197" width="4.42578125" customWidth="1"/>
    <col min="8198" max="8198" width="3" customWidth="1"/>
    <col min="8199" max="8199" width="5.85546875" customWidth="1"/>
    <col min="8200" max="8200" width="1.42578125" customWidth="1"/>
    <col min="8201" max="8201" width="5.85546875" customWidth="1"/>
    <col min="8202" max="8204" width="1.42578125" customWidth="1"/>
    <col min="8205" max="8205" width="3" customWidth="1"/>
    <col min="8206" max="8206" width="1.42578125" customWidth="1"/>
    <col min="8207" max="8207" width="13.140625" customWidth="1"/>
    <col min="8208" max="8208" width="11.7109375" customWidth="1"/>
    <col min="8209" max="8209" width="1.42578125" customWidth="1"/>
    <col min="8210" max="8210" width="14.7109375" customWidth="1"/>
    <col min="8211" max="8211" width="1.42578125" customWidth="1"/>
    <col min="8212" max="8212" width="13.140625" customWidth="1"/>
    <col min="8213" max="8213" width="1.42578125" customWidth="1"/>
    <col min="8214" max="8214" width="11.7109375" customWidth="1"/>
    <col min="8215" max="8215" width="1.42578125" customWidth="1"/>
    <col min="8449" max="8449" width="0" hidden="1" customWidth="1"/>
    <col min="8450" max="8450" width="1.42578125" customWidth="1"/>
    <col min="8451" max="8451" width="8.85546875" customWidth="1"/>
    <col min="8452" max="8452" width="1.42578125" customWidth="1"/>
    <col min="8453" max="8453" width="4.42578125" customWidth="1"/>
    <col min="8454" max="8454" width="3" customWidth="1"/>
    <col min="8455" max="8455" width="5.85546875" customWidth="1"/>
    <col min="8456" max="8456" width="1.42578125" customWidth="1"/>
    <col min="8457" max="8457" width="5.85546875" customWidth="1"/>
    <col min="8458" max="8460" width="1.42578125" customWidth="1"/>
    <col min="8461" max="8461" width="3" customWidth="1"/>
    <col min="8462" max="8462" width="1.42578125" customWidth="1"/>
    <col min="8463" max="8463" width="13.140625" customWidth="1"/>
    <col min="8464" max="8464" width="11.7109375" customWidth="1"/>
    <col min="8465" max="8465" width="1.42578125" customWidth="1"/>
    <col min="8466" max="8466" width="14.7109375" customWidth="1"/>
    <col min="8467" max="8467" width="1.42578125" customWidth="1"/>
    <col min="8468" max="8468" width="13.140625" customWidth="1"/>
    <col min="8469" max="8469" width="1.42578125" customWidth="1"/>
    <col min="8470" max="8470" width="11.7109375" customWidth="1"/>
    <col min="8471" max="8471" width="1.42578125" customWidth="1"/>
    <col min="8705" max="8705" width="0" hidden="1" customWidth="1"/>
    <col min="8706" max="8706" width="1.42578125" customWidth="1"/>
    <col min="8707" max="8707" width="8.85546875" customWidth="1"/>
    <col min="8708" max="8708" width="1.42578125" customWidth="1"/>
    <col min="8709" max="8709" width="4.42578125" customWidth="1"/>
    <col min="8710" max="8710" width="3" customWidth="1"/>
    <col min="8711" max="8711" width="5.85546875" customWidth="1"/>
    <col min="8712" max="8712" width="1.42578125" customWidth="1"/>
    <col min="8713" max="8713" width="5.85546875" customWidth="1"/>
    <col min="8714" max="8716" width="1.42578125" customWidth="1"/>
    <col min="8717" max="8717" width="3" customWidth="1"/>
    <col min="8718" max="8718" width="1.42578125" customWidth="1"/>
    <col min="8719" max="8719" width="13.140625" customWidth="1"/>
    <col min="8720" max="8720" width="11.7109375" customWidth="1"/>
    <col min="8721" max="8721" width="1.42578125" customWidth="1"/>
    <col min="8722" max="8722" width="14.7109375" customWidth="1"/>
    <col min="8723" max="8723" width="1.42578125" customWidth="1"/>
    <col min="8724" max="8724" width="13.140625" customWidth="1"/>
    <col min="8725" max="8725" width="1.42578125" customWidth="1"/>
    <col min="8726" max="8726" width="11.7109375" customWidth="1"/>
    <col min="8727" max="8727" width="1.42578125" customWidth="1"/>
    <col min="8961" max="8961" width="0" hidden="1" customWidth="1"/>
    <col min="8962" max="8962" width="1.42578125" customWidth="1"/>
    <col min="8963" max="8963" width="8.85546875" customWidth="1"/>
    <col min="8964" max="8964" width="1.42578125" customWidth="1"/>
    <col min="8965" max="8965" width="4.42578125" customWidth="1"/>
    <col min="8966" max="8966" width="3" customWidth="1"/>
    <col min="8967" max="8967" width="5.85546875" customWidth="1"/>
    <col min="8968" max="8968" width="1.42578125" customWidth="1"/>
    <col min="8969" max="8969" width="5.85546875" customWidth="1"/>
    <col min="8970" max="8972" width="1.42578125" customWidth="1"/>
    <col min="8973" max="8973" width="3" customWidth="1"/>
    <col min="8974" max="8974" width="1.42578125" customWidth="1"/>
    <col min="8975" max="8975" width="13.140625" customWidth="1"/>
    <col min="8976" max="8976" width="11.7109375" customWidth="1"/>
    <col min="8977" max="8977" width="1.42578125" customWidth="1"/>
    <col min="8978" max="8978" width="14.7109375" customWidth="1"/>
    <col min="8979" max="8979" width="1.42578125" customWidth="1"/>
    <col min="8980" max="8980" width="13.140625" customWidth="1"/>
    <col min="8981" max="8981" width="1.42578125" customWidth="1"/>
    <col min="8982" max="8982" width="11.7109375" customWidth="1"/>
    <col min="8983" max="8983" width="1.42578125" customWidth="1"/>
    <col min="9217" max="9217" width="0" hidden="1" customWidth="1"/>
    <col min="9218" max="9218" width="1.42578125" customWidth="1"/>
    <col min="9219" max="9219" width="8.85546875" customWidth="1"/>
    <col min="9220" max="9220" width="1.42578125" customWidth="1"/>
    <col min="9221" max="9221" width="4.42578125" customWidth="1"/>
    <col min="9222" max="9222" width="3" customWidth="1"/>
    <col min="9223" max="9223" width="5.85546875" customWidth="1"/>
    <col min="9224" max="9224" width="1.42578125" customWidth="1"/>
    <col min="9225" max="9225" width="5.85546875" customWidth="1"/>
    <col min="9226" max="9228" width="1.42578125" customWidth="1"/>
    <col min="9229" max="9229" width="3" customWidth="1"/>
    <col min="9230" max="9230" width="1.42578125" customWidth="1"/>
    <col min="9231" max="9231" width="13.140625" customWidth="1"/>
    <col min="9232" max="9232" width="11.7109375" customWidth="1"/>
    <col min="9233" max="9233" width="1.42578125" customWidth="1"/>
    <col min="9234" max="9234" width="14.7109375" customWidth="1"/>
    <col min="9235" max="9235" width="1.42578125" customWidth="1"/>
    <col min="9236" max="9236" width="13.140625" customWidth="1"/>
    <col min="9237" max="9237" width="1.42578125" customWidth="1"/>
    <col min="9238" max="9238" width="11.7109375" customWidth="1"/>
    <col min="9239" max="9239" width="1.42578125" customWidth="1"/>
    <col min="9473" max="9473" width="0" hidden="1" customWidth="1"/>
    <col min="9474" max="9474" width="1.42578125" customWidth="1"/>
    <col min="9475" max="9475" width="8.85546875" customWidth="1"/>
    <col min="9476" max="9476" width="1.42578125" customWidth="1"/>
    <col min="9477" max="9477" width="4.42578125" customWidth="1"/>
    <col min="9478" max="9478" width="3" customWidth="1"/>
    <col min="9479" max="9479" width="5.85546875" customWidth="1"/>
    <col min="9480" max="9480" width="1.42578125" customWidth="1"/>
    <col min="9481" max="9481" width="5.85546875" customWidth="1"/>
    <col min="9482" max="9484" width="1.42578125" customWidth="1"/>
    <col min="9485" max="9485" width="3" customWidth="1"/>
    <col min="9486" max="9486" width="1.42578125" customWidth="1"/>
    <col min="9487" max="9487" width="13.140625" customWidth="1"/>
    <col min="9488" max="9488" width="11.7109375" customWidth="1"/>
    <col min="9489" max="9489" width="1.42578125" customWidth="1"/>
    <col min="9490" max="9490" width="14.7109375" customWidth="1"/>
    <col min="9491" max="9491" width="1.42578125" customWidth="1"/>
    <col min="9492" max="9492" width="13.140625" customWidth="1"/>
    <col min="9493" max="9493" width="1.42578125" customWidth="1"/>
    <col min="9494" max="9494" width="11.7109375" customWidth="1"/>
    <col min="9495" max="9495" width="1.42578125" customWidth="1"/>
    <col min="9729" max="9729" width="0" hidden="1" customWidth="1"/>
    <col min="9730" max="9730" width="1.42578125" customWidth="1"/>
    <col min="9731" max="9731" width="8.85546875" customWidth="1"/>
    <col min="9732" max="9732" width="1.42578125" customWidth="1"/>
    <col min="9733" max="9733" width="4.42578125" customWidth="1"/>
    <col min="9734" max="9734" width="3" customWidth="1"/>
    <col min="9735" max="9735" width="5.85546875" customWidth="1"/>
    <col min="9736" max="9736" width="1.42578125" customWidth="1"/>
    <col min="9737" max="9737" width="5.85546875" customWidth="1"/>
    <col min="9738" max="9740" width="1.42578125" customWidth="1"/>
    <col min="9741" max="9741" width="3" customWidth="1"/>
    <col min="9742" max="9742" width="1.42578125" customWidth="1"/>
    <col min="9743" max="9743" width="13.140625" customWidth="1"/>
    <col min="9744" max="9744" width="11.7109375" customWidth="1"/>
    <col min="9745" max="9745" width="1.42578125" customWidth="1"/>
    <col min="9746" max="9746" width="14.7109375" customWidth="1"/>
    <col min="9747" max="9747" width="1.42578125" customWidth="1"/>
    <col min="9748" max="9748" width="13.140625" customWidth="1"/>
    <col min="9749" max="9749" width="1.42578125" customWidth="1"/>
    <col min="9750" max="9750" width="11.7109375" customWidth="1"/>
    <col min="9751" max="9751" width="1.42578125" customWidth="1"/>
    <col min="9985" max="9985" width="0" hidden="1" customWidth="1"/>
    <col min="9986" max="9986" width="1.42578125" customWidth="1"/>
    <col min="9987" max="9987" width="8.85546875" customWidth="1"/>
    <col min="9988" max="9988" width="1.42578125" customWidth="1"/>
    <col min="9989" max="9989" width="4.42578125" customWidth="1"/>
    <col min="9990" max="9990" width="3" customWidth="1"/>
    <col min="9991" max="9991" width="5.85546875" customWidth="1"/>
    <col min="9992" max="9992" width="1.42578125" customWidth="1"/>
    <col min="9993" max="9993" width="5.85546875" customWidth="1"/>
    <col min="9994" max="9996" width="1.42578125" customWidth="1"/>
    <col min="9997" max="9997" width="3" customWidth="1"/>
    <col min="9998" max="9998" width="1.42578125" customWidth="1"/>
    <col min="9999" max="9999" width="13.140625" customWidth="1"/>
    <col min="10000" max="10000" width="11.7109375" customWidth="1"/>
    <col min="10001" max="10001" width="1.42578125" customWidth="1"/>
    <col min="10002" max="10002" width="14.7109375" customWidth="1"/>
    <col min="10003" max="10003" width="1.42578125" customWidth="1"/>
    <col min="10004" max="10004" width="13.140625" customWidth="1"/>
    <col min="10005" max="10005" width="1.42578125" customWidth="1"/>
    <col min="10006" max="10006" width="11.7109375" customWidth="1"/>
    <col min="10007" max="10007" width="1.42578125" customWidth="1"/>
    <col min="10241" max="10241" width="0" hidden="1" customWidth="1"/>
    <col min="10242" max="10242" width="1.42578125" customWidth="1"/>
    <col min="10243" max="10243" width="8.85546875" customWidth="1"/>
    <col min="10244" max="10244" width="1.42578125" customWidth="1"/>
    <col min="10245" max="10245" width="4.42578125" customWidth="1"/>
    <col min="10246" max="10246" width="3" customWidth="1"/>
    <col min="10247" max="10247" width="5.85546875" customWidth="1"/>
    <col min="10248" max="10248" width="1.42578125" customWidth="1"/>
    <col min="10249" max="10249" width="5.85546875" customWidth="1"/>
    <col min="10250" max="10252" width="1.42578125" customWidth="1"/>
    <col min="10253" max="10253" width="3" customWidth="1"/>
    <col min="10254" max="10254" width="1.42578125" customWidth="1"/>
    <col min="10255" max="10255" width="13.140625" customWidth="1"/>
    <col min="10256" max="10256" width="11.7109375" customWidth="1"/>
    <col min="10257" max="10257" width="1.42578125" customWidth="1"/>
    <col min="10258" max="10258" width="14.7109375" customWidth="1"/>
    <col min="10259" max="10259" width="1.42578125" customWidth="1"/>
    <col min="10260" max="10260" width="13.140625" customWidth="1"/>
    <col min="10261" max="10261" width="1.42578125" customWidth="1"/>
    <col min="10262" max="10262" width="11.7109375" customWidth="1"/>
    <col min="10263" max="10263" width="1.42578125" customWidth="1"/>
    <col min="10497" max="10497" width="0" hidden="1" customWidth="1"/>
    <col min="10498" max="10498" width="1.42578125" customWidth="1"/>
    <col min="10499" max="10499" width="8.85546875" customWidth="1"/>
    <col min="10500" max="10500" width="1.42578125" customWidth="1"/>
    <col min="10501" max="10501" width="4.42578125" customWidth="1"/>
    <col min="10502" max="10502" width="3" customWidth="1"/>
    <col min="10503" max="10503" width="5.85546875" customWidth="1"/>
    <col min="10504" max="10504" width="1.42578125" customWidth="1"/>
    <col min="10505" max="10505" width="5.85546875" customWidth="1"/>
    <col min="10506" max="10508" width="1.42578125" customWidth="1"/>
    <col min="10509" max="10509" width="3" customWidth="1"/>
    <col min="10510" max="10510" width="1.42578125" customWidth="1"/>
    <col min="10511" max="10511" width="13.140625" customWidth="1"/>
    <col min="10512" max="10512" width="11.7109375" customWidth="1"/>
    <col min="10513" max="10513" width="1.42578125" customWidth="1"/>
    <col min="10514" max="10514" width="14.7109375" customWidth="1"/>
    <col min="10515" max="10515" width="1.42578125" customWidth="1"/>
    <col min="10516" max="10516" width="13.140625" customWidth="1"/>
    <col min="10517" max="10517" width="1.42578125" customWidth="1"/>
    <col min="10518" max="10518" width="11.7109375" customWidth="1"/>
    <col min="10519" max="10519" width="1.42578125" customWidth="1"/>
    <col min="10753" max="10753" width="0" hidden="1" customWidth="1"/>
    <col min="10754" max="10754" width="1.42578125" customWidth="1"/>
    <col min="10755" max="10755" width="8.85546875" customWidth="1"/>
    <col min="10756" max="10756" width="1.42578125" customWidth="1"/>
    <col min="10757" max="10757" width="4.42578125" customWidth="1"/>
    <col min="10758" max="10758" width="3" customWidth="1"/>
    <col min="10759" max="10759" width="5.85546875" customWidth="1"/>
    <col min="10760" max="10760" width="1.42578125" customWidth="1"/>
    <col min="10761" max="10761" width="5.85546875" customWidth="1"/>
    <col min="10762" max="10764" width="1.42578125" customWidth="1"/>
    <col min="10765" max="10765" width="3" customWidth="1"/>
    <col min="10766" max="10766" width="1.42578125" customWidth="1"/>
    <col min="10767" max="10767" width="13.140625" customWidth="1"/>
    <col min="10768" max="10768" width="11.7109375" customWidth="1"/>
    <col min="10769" max="10769" width="1.42578125" customWidth="1"/>
    <col min="10770" max="10770" width="14.7109375" customWidth="1"/>
    <col min="10771" max="10771" width="1.42578125" customWidth="1"/>
    <col min="10772" max="10772" width="13.140625" customWidth="1"/>
    <col min="10773" max="10773" width="1.42578125" customWidth="1"/>
    <col min="10774" max="10774" width="11.7109375" customWidth="1"/>
    <col min="10775" max="10775" width="1.42578125" customWidth="1"/>
    <col min="11009" max="11009" width="0" hidden="1" customWidth="1"/>
    <col min="11010" max="11010" width="1.42578125" customWidth="1"/>
    <col min="11011" max="11011" width="8.85546875" customWidth="1"/>
    <col min="11012" max="11012" width="1.42578125" customWidth="1"/>
    <col min="11013" max="11013" width="4.42578125" customWidth="1"/>
    <col min="11014" max="11014" width="3" customWidth="1"/>
    <col min="11015" max="11015" width="5.85546875" customWidth="1"/>
    <col min="11016" max="11016" width="1.42578125" customWidth="1"/>
    <col min="11017" max="11017" width="5.85546875" customWidth="1"/>
    <col min="11018" max="11020" width="1.42578125" customWidth="1"/>
    <col min="11021" max="11021" width="3" customWidth="1"/>
    <col min="11022" max="11022" width="1.42578125" customWidth="1"/>
    <col min="11023" max="11023" width="13.140625" customWidth="1"/>
    <col min="11024" max="11024" width="11.7109375" customWidth="1"/>
    <col min="11025" max="11025" width="1.42578125" customWidth="1"/>
    <col min="11026" max="11026" width="14.7109375" customWidth="1"/>
    <col min="11027" max="11027" width="1.42578125" customWidth="1"/>
    <col min="11028" max="11028" width="13.140625" customWidth="1"/>
    <col min="11029" max="11029" width="1.42578125" customWidth="1"/>
    <col min="11030" max="11030" width="11.7109375" customWidth="1"/>
    <col min="11031" max="11031" width="1.42578125" customWidth="1"/>
    <col min="11265" max="11265" width="0" hidden="1" customWidth="1"/>
    <col min="11266" max="11266" width="1.42578125" customWidth="1"/>
    <col min="11267" max="11267" width="8.85546875" customWidth="1"/>
    <col min="11268" max="11268" width="1.42578125" customWidth="1"/>
    <col min="11269" max="11269" width="4.42578125" customWidth="1"/>
    <col min="11270" max="11270" width="3" customWidth="1"/>
    <col min="11271" max="11271" width="5.85546875" customWidth="1"/>
    <col min="11272" max="11272" width="1.42578125" customWidth="1"/>
    <col min="11273" max="11273" width="5.85546875" customWidth="1"/>
    <col min="11274" max="11276" width="1.42578125" customWidth="1"/>
    <col min="11277" max="11277" width="3" customWidth="1"/>
    <col min="11278" max="11278" width="1.42578125" customWidth="1"/>
    <col min="11279" max="11279" width="13.140625" customWidth="1"/>
    <col min="11280" max="11280" width="11.7109375" customWidth="1"/>
    <col min="11281" max="11281" width="1.42578125" customWidth="1"/>
    <col min="11282" max="11282" width="14.7109375" customWidth="1"/>
    <col min="11283" max="11283" width="1.42578125" customWidth="1"/>
    <col min="11284" max="11284" width="13.140625" customWidth="1"/>
    <col min="11285" max="11285" width="1.42578125" customWidth="1"/>
    <col min="11286" max="11286" width="11.7109375" customWidth="1"/>
    <col min="11287" max="11287" width="1.42578125" customWidth="1"/>
    <col min="11521" max="11521" width="0" hidden="1" customWidth="1"/>
    <col min="11522" max="11522" width="1.42578125" customWidth="1"/>
    <col min="11523" max="11523" width="8.85546875" customWidth="1"/>
    <col min="11524" max="11524" width="1.42578125" customWidth="1"/>
    <col min="11525" max="11525" width="4.42578125" customWidth="1"/>
    <col min="11526" max="11526" width="3" customWidth="1"/>
    <col min="11527" max="11527" width="5.85546875" customWidth="1"/>
    <col min="11528" max="11528" width="1.42578125" customWidth="1"/>
    <col min="11529" max="11529" width="5.85546875" customWidth="1"/>
    <col min="11530" max="11532" width="1.42578125" customWidth="1"/>
    <col min="11533" max="11533" width="3" customWidth="1"/>
    <col min="11534" max="11534" width="1.42578125" customWidth="1"/>
    <col min="11535" max="11535" width="13.140625" customWidth="1"/>
    <col min="11536" max="11536" width="11.7109375" customWidth="1"/>
    <col min="11537" max="11537" width="1.42578125" customWidth="1"/>
    <col min="11538" max="11538" width="14.7109375" customWidth="1"/>
    <col min="11539" max="11539" width="1.42578125" customWidth="1"/>
    <col min="11540" max="11540" width="13.140625" customWidth="1"/>
    <col min="11541" max="11541" width="1.42578125" customWidth="1"/>
    <col min="11542" max="11542" width="11.7109375" customWidth="1"/>
    <col min="11543" max="11543" width="1.42578125" customWidth="1"/>
    <col min="11777" max="11777" width="0" hidden="1" customWidth="1"/>
    <col min="11778" max="11778" width="1.42578125" customWidth="1"/>
    <col min="11779" max="11779" width="8.85546875" customWidth="1"/>
    <col min="11780" max="11780" width="1.42578125" customWidth="1"/>
    <col min="11781" max="11781" width="4.42578125" customWidth="1"/>
    <col min="11782" max="11782" width="3" customWidth="1"/>
    <col min="11783" max="11783" width="5.85546875" customWidth="1"/>
    <col min="11784" max="11784" width="1.42578125" customWidth="1"/>
    <col min="11785" max="11785" width="5.85546875" customWidth="1"/>
    <col min="11786" max="11788" width="1.42578125" customWidth="1"/>
    <col min="11789" max="11789" width="3" customWidth="1"/>
    <col min="11790" max="11790" width="1.42578125" customWidth="1"/>
    <col min="11791" max="11791" width="13.140625" customWidth="1"/>
    <col min="11792" max="11792" width="11.7109375" customWidth="1"/>
    <col min="11793" max="11793" width="1.42578125" customWidth="1"/>
    <col min="11794" max="11794" width="14.7109375" customWidth="1"/>
    <col min="11795" max="11795" width="1.42578125" customWidth="1"/>
    <col min="11796" max="11796" width="13.140625" customWidth="1"/>
    <col min="11797" max="11797" width="1.42578125" customWidth="1"/>
    <col min="11798" max="11798" width="11.7109375" customWidth="1"/>
    <col min="11799" max="11799" width="1.42578125" customWidth="1"/>
    <col min="12033" max="12033" width="0" hidden="1" customWidth="1"/>
    <col min="12034" max="12034" width="1.42578125" customWidth="1"/>
    <col min="12035" max="12035" width="8.85546875" customWidth="1"/>
    <col min="12036" max="12036" width="1.42578125" customWidth="1"/>
    <col min="12037" max="12037" width="4.42578125" customWidth="1"/>
    <col min="12038" max="12038" width="3" customWidth="1"/>
    <col min="12039" max="12039" width="5.85546875" customWidth="1"/>
    <col min="12040" max="12040" width="1.42578125" customWidth="1"/>
    <col min="12041" max="12041" width="5.85546875" customWidth="1"/>
    <col min="12042" max="12044" width="1.42578125" customWidth="1"/>
    <col min="12045" max="12045" width="3" customWidth="1"/>
    <col min="12046" max="12046" width="1.42578125" customWidth="1"/>
    <col min="12047" max="12047" width="13.140625" customWidth="1"/>
    <col min="12048" max="12048" width="11.7109375" customWidth="1"/>
    <col min="12049" max="12049" width="1.42578125" customWidth="1"/>
    <col min="12050" max="12050" width="14.7109375" customWidth="1"/>
    <col min="12051" max="12051" width="1.42578125" customWidth="1"/>
    <col min="12052" max="12052" width="13.140625" customWidth="1"/>
    <col min="12053" max="12053" width="1.42578125" customWidth="1"/>
    <col min="12054" max="12054" width="11.7109375" customWidth="1"/>
    <col min="12055" max="12055" width="1.42578125" customWidth="1"/>
    <col min="12289" max="12289" width="0" hidden="1" customWidth="1"/>
    <col min="12290" max="12290" width="1.42578125" customWidth="1"/>
    <col min="12291" max="12291" width="8.85546875" customWidth="1"/>
    <col min="12292" max="12292" width="1.42578125" customWidth="1"/>
    <col min="12293" max="12293" width="4.42578125" customWidth="1"/>
    <col min="12294" max="12294" width="3" customWidth="1"/>
    <col min="12295" max="12295" width="5.85546875" customWidth="1"/>
    <col min="12296" max="12296" width="1.42578125" customWidth="1"/>
    <col min="12297" max="12297" width="5.85546875" customWidth="1"/>
    <col min="12298" max="12300" width="1.42578125" customWidth="1"/>
    <col min="12301" max="12301" width="3" customWidth="1"/>
    <col min="12302" max="12302" width="1.42578125" customWidth="1"/>
    <col min="12303" max="12303" width="13.140625" customWidth="1"/>
    <col min="12304" max="12304" width="11.7109375" customWidth="1"/>
    <col min="12305" max="12305" width="1.42578125" customWidth="1"/>
    <col min="12306" max="12306" width="14.7109375" customWidth="1"/>
    <col min="12307" max="12307" width="1.42578125" customWidth="1"/>
    <col min="12308" max="12308" width="13.140625" customWidth="1"/>
    <col min="12309" max="12309" width="1.42578125" customWidth="1"/>
    <col min="12310" max="12310" width="11.7109375" customWidth="1"/>
    <col min="12311" max="12311" width="1.42578125" customWidth="1"/>
    <col min="12545" max="12545" width="0" hidden="1" customWidth="1"/>
    <col min="12546" max="12546" width="1.42578125" customWidth="1"/>
    <col min="12547" max="12547" width="8.85546875" customWidth="1"/>
    <col min="12548" max="12548" width="1.42578125" customWidth="1"/>
    <col min="12549" max="12549" width="4.42578125" customWidth="1"/>
    <col min="12550" max="12550" width="3" customWidth="1"/>
    <col min="12551" max="12551" width="5.85546875" customWidth="1"/>
    <col min="12552" max="12552" width="1.42578125" customWidth="1"/>
    <col min="12553" max="12553" width="5.85546875" customWidth="1"/>
    <col min="12554" max="12556" width="1.42578125" customWidth="1"/>
    <col min="12557" max="12557" width="3" customWidth="1"/>
    <col min="12558" max="12558" width="1.42578125" customWidth="1"/>
    <col min="12559" max="12559" width="13.140625" customWidth="1"/>
    <col min="12560" max="12560" width="11.7109375" customWidth="1"/>
    <col min="12561" max="12561" width="1.42578125" customWidth="1"/>
    <col min="12562" max="12562" width="14.7109375" customWidth="1"/>
    <col min="12563" max="12563" width="1.42578125" customWidth="1"/>
    <col min="12564" max="12564" width="13.140625" customWidth="1"/>
    <col min="12565" max="12565" width="1.42578125" customWidth="1"/>
    <col min="12566" max="12566" width="11.7109375" customWidth="1"/>
    <col min="12567" max="12567" width="1.42578125" customWidth="1"/>
    <col min="12801" max="12801" width="0" hidden="1" customWidth="1"/>
    <col min="12802" max="12802" width="1.42578125" customWidth="1"/>
    <col min="12803" max="12803" width="8.85546875" customWidth="1"/>
    <col min="12804" max="12804" width="1.42578125" customWidth="1"/>
    <col min="12805" max="12805" width="4.42578125" customWidth="1"/>
    <col min="12806" max="12806" width="3" customWidth="1"/>
    <col min="12807" max="12807" width="5.85546875" customWidth="1"/>
    <col min="12808" max="12808" width="1.42578125" customWidth="1"/>
    <col min="12809" max="12809" width="5.85546875" customWidth="1"/>
    <col min="12810" max="12812" width="1.42578125" customWidth="1"/>
    <col min="12813" max="12813" width="3" customWidth="1"/>
    <col min="12814" max="12814" width="1.42578125" customWidth="1"/>
    <col min="12815" max="12815" width="13.140625" customWidth="1"/>
    <col min="12816" max="12816" width="11.7109375" customWidth="1"/>
    <col min="12817" max="12817" width="1.42578125" customWidth="1"/>
    <col min="12818" max="12818" width="14.7109375" customWidth="1"/>
    <col min="12819" max="12819" width="1.42578125" customWidth="1"/>
    <col min="12820" max="12820" width="13.140625" customWidth="1"/>
    <col min="12821" max="12821" width="1.42578125" customWidth="1"/>
    <col min="12822" max="12822" width="11.7109375" customWidth="1"/>
    <col min="12823" max="12823" width="1.42578125" customWidth="1"/>
    <col min="13057" max="13057" width="0" hidden="1" customWidth="1"/>
    <col min="13058" max="13058" width="1.42578125" customWidth="1"/>
    <col min="13059" max="13059" width="8.85546875" customWidth="1"/>
    <col min="13060" max="13060" width="1.42578125" customWidth="1"/>
    <col min="13061" max="13061" width="4.42578125" customWidth="1"/>
    <col min="13062" max="13062" width="3" customWidth="1"/>
    <col min="13063" max="13063" width="5.85546875" customWidth="1"/>
    <col min="13064" max="13064" width="1.42578125" customWidth="1"/>
    <col min="13065" max="13065" width="5.85546875" customWidth="1"/>
    <col min="13066" max="13068" width="1.42578125" customWidth="1"/>
    <col min="13069" max="13069" width="3" customWidth="1"/>
    <col min="13070" max="13070" width="1.42578125" customWidth="1"/>
    <col min="13071" max="13071" width="13.140625" customWidth="1"/>
    <col min="13072" max="13072" width="11.7109375" customWidth="1"/>
    <col min="13073" max="13073" width="1.42578125" customWidth="1"/>
    <col min="13074" max="13074" width="14.7109375" customWidth="1"/>
    <col min="13075" max="13075" width="1.42578125" customWidth="1"/>
    <col min="13076" max="13076" width="13.140625" customWidth="1"/>
    <col min="13077" max="13077" width="1.42578125" customWidth="1"/>
    <col min="13078" max="13078" width="11.7109375" customWidth="1"/>
    <col min="13079" max="13079" width="1.42578125" customWidth="1"/>
    <col min="13313" max="13313" width="0" hidden="1" customWidth="1"/>
    <col min="13314" max="13314" width="1.42578125" customWidth="1"/>
    <col min="13315" max="13315" width="8.85546875" customWidth="1"/>
    <col min="13316" max="13316" width="1.42578125" customWidth="1"/>
    <col min="13317" max="13317" width="4.42578125" customWidth="1"/>
    <col min="13318" max="13318" width="3" customWidth="1"/>
    <col min="13319" max="13319" width="5.85546875" customWidth="1"/>
    <col min="13320" max="13320" width="1.42578125" customWidth="1"/>
    <col min="13321" max="13321" width="5.85546875" customWidth="1"/>
    <col min="13322" max="13324" width="1.42578125" customWidth="1"/>
    <col min="13325" max="13325" width="3" customWidth="1"/>
    <col min="13326" max="13326" width="1.42578125" customWidth="1"/>
    <col min="13327" max="13327" width="13.140625" customWidth="1"/>
    <col min="13328" max="13328" width="11.7109375" customWidth="1"/>
    <col min="13329" max="13329" width="1.42578125" customWidth="1"/>
    <col min="13330" max="13330" width="14.7109375" customWidth="1"/>
    <col min="13331" max="13331" width="1.42578125" customWidth="1"/>
    <col min="13332" max="13332" width="13.140625" customWidth="1"/>
    <col min="13333" max="13333" width="1.42578125" customWidth="1"/>
    <col min="13334" max="13334" width="11.7109375" customWidth="1"/>
    <col min="13335" max="13335" width="1.42578125" customWidth="1"/>
    <col min="13569" max="13569" width="0" hidden="1" customWidth="1"/>
    <col min="13570" max="13570" width="1.42578125" customWidth="1"/>
    <col min="13571" max="13571" width="8.85546875" customWidth="1"/>
    <col min="13572" max="13572" width="1.42578125" customWidth="1"/>
    <col min="13573" max="13573" width="4.42578125" customWidth="1"/>
    <col min="13574" max="13574" width="3" customWidth="1"/>
    <col min="13575" max="13575" width="5.85546875" customWidth="1"/>
    <col min="13576" max="13576" width="1.42578125" customWidth="1"/>
    <col min="13577" max="13577" width="5.85546875" customWidth="1"/>
    <col min="13578" max="13580" width="1.42578125" customWidth="1"/>
    <col min="13581" max="13581" width="3" customWidth="1"/>
    <col min="13582" max="13582" width="1.42578125" customWidth="1"/>
    <col min="13583" max="13583" width="13.140625" customWidth="1"/>
    <col min="13584" max="13584" width="11.7109375" customWidth="1"/>
    <col min="13585" max="13585" width="1.42578125" customWidth="1"/>
    <col min="13586" max="13586" width="14.7109375" customWidth="1"/>
    <col min="13587" max="13587" width="1.42578125" customWidth="1"/>
    <col min="13588" max="13588" width="13.140625" customWidth="1"/>
    <col min="13589" max="13589" width="1.42578125" customWidth="1"/>
    <col min="13590" max="13590" width="11.7109375" customWidth="1"/>
    <col min="13591" max="13591" width="1.42578125" customWidth="1"/>
    <col min="13825" max="13825" width="0" hidden="1" customWidth="1"/>
    <col min="13826" max="13826" width="1.42578125" customWidth="1"/>
    <col min="13827" max="13827" width="8.85546875" customWidth="1"/>
    <col min="13828" max="13828" width="1.42578125" customWidth="1"/>
    <col min="13829" max="13829" width="4.42578125" customWidth="1"/>
    <col min="13830" max="13830" width="3" customWidth="1"/>
    <col min="13831" max="13831" width="5.85546875" customWidth="1"/>
    <col min="13832" max="13832" width="1.42578125" customWidth="1"/>
    <col min="13833" max="13833" width="5.85546875" customWidth="1"/>
    <col min="13834" max="13836" width="1.42578125" customWidth="1"/>
    <col min="13837" max="13837" width="3" customWidth="1"/>
    <col min="13838" max="13838" width="1.42578125" customWidth="1"/>
    <col min="13839" max="13839" width="13.140625" customWidth="1"/>
    <col min="13840" max="13840" width="11.7109375" customWidth="1"/>
    <col min="13841" max="13841" width="1.42578125" customWidth="1"/>
    <col min="13842" max="13842" width="14.7109375" customWidth="1"/>
    <col min="13843" max="13843" width="1.42578125" customWidth="1"/>
    <col min="13844" max="13844" width="13.140625" customWidth="1"/>
    <col min="13845" max="13845" width="1.42578125" customWidth="1"/>
    <col min="13846" max="13846" width="11.7109375" customWidth="1"/>
    <col min="13847" max="13847" width="1.42578125" customWidth="1"/>
    <col min="14081" max="14081" width="0" hidden="1" customWidth="1"/>
    <col min="14082" max="14082" width="1.42578125" customWidth="1"/>
    <col min="14083" max="14083" width="8.85546875" customWidth="1"/>
    <col min="14084" max="14084" width="1.42578125" customWidth="1"/>
    <col min="14085" max="14085" width="4.42578125" customWidth="1"/>
    <col min="14086" max="14086" width="3" customWidth="1"/>
    <col min="14087" max="14087" width="5.85546875" customWidth="1"/>
    <col min="14088" max="14088" width="1.42578125" customWidth="1"/>
    <col min="14089" max="14089" width="5.85546875" customWidth="1"/>
    <col min="14090" max="14092" width="1.42578125" customWidth="1"/>
    <col min="14093" max="14093" width="3" customWidth="1"/>
    <col min="14094" max="14094" width="1.42578125" customWidth="1"/>
    <col min="14095" max="14095" width="13.140625" customWidth="1"/>
    <col min="14096" max="14096" width="11.7109375" customWidth="1"/>
    <col min="14097" max="14097" width="1.42578125" customWidth="1"/>
    <col min="14098" max="14098" width="14.7109375" customWidth="1"/>
    <col min="14099" max="14099" width="1.42578125" customWidth="1"/>
    <col min="14100" max="14100" width="13.140625" customWidth="1"/>
    <col min="14101" max="14101" width="1.42578125" customWidth="1"/>
    <col min="14102" max="14102" width="11.7109375" customWidth="1"/>
    <col min="14103" max="14103" width="1.42578125" customWidth="1"/>
    <col min="14337" max="14337" width="0" hidden="1" customWidth="1"/>
    <col min="14338" max="14338" width="1.42578125" customWidth="1"/>
    <col min="14339" max="14339" width="8.85546875" customWidth="1"/>
    <col min="14340" max="14340" width="1.42578125" customWidth="1"/>
    <col min="14341" max="14341" width="4.42578125" customWidth="1"/>
    <col min="14342" max="14342" width="3" customWidth="1"/>
    <col min="14343" max="14343" width="5.85546875" customWidth="1"/>
    <col min="14344" max="14344" width="1.42578125" customWidth="1"/>
    <col min="14345" max="14345" width="5.85546875" customWidth="1"/>
    <col min="14346" max="14348" width="1.42578125" customWidth="1"/>
    <col min="14349" max="14349" width="3" customWidth="1"/>
    <col min="14350" max="14350" width="1.42578125" customWidth="1"/>
    <col min="14351" max="14351" width="13.140625" customWidth="1"/>
    <col min="14352" max="14352" width="11.7109375" customWidth="1"/>
    <col min="14353" max="14353" width="1.42578125" customWidth="1"/>
    <col min="14354" max="14354" width="14.7109375" customWidth="1"/>
    <col min="14355" max="14355" width="1.42578125" customWidth="1"/>
    <col min="14356" max="14356" width="13.140625" customWidth="1"/>
    <col min="14357" max="14357" width="1.42578125" customWidth="1"/>
    <col min="14358" max="14358" width="11.7109375" customWidth="1"/>
    <col min="14359" max="14359" width="1.42578125" customWidth="1"/>
    <col min="14593" max="14593" width="0" hidden="1" customWidth="1"/>
    <col min="14594" max="14594" width="1.42578125" customWidth="1"/>
    <col min="14595" max="14595" width="8.85546875" customWidth="1"/>
    <col min="14596" max="14596" width="1.42578125" customWidth="1"/>
    <col min="14597" max="14597" width="4.42578125" customWidth="1"/>
    <col min="14598" max="14598" width="3" customWidth="1"/>
    <col min="14599" max="14599" width="5.85546875" customWidth="1"/>
    <col min="14600" max="14600" width="1.42578125" customWidth="1"/>
    <col min="14601" max="14601" width="5.85546875" customWidth="1"/>
    <col min="14602" max="14604" width="1.42578125" customWidth="1"/>
    <col min="14605" max="14605" width="3" customWidth="1"/>
    <col min="14606" max="14606" width="1.42578125" customWidth="1"/>
    <col min="14607" max="14607" width="13.140625" customWidth="1"/>
    <col min="14608" max="14608" width="11.7109375" customWidth="1"/>
    <col min="14609" max="14609" width="1.42578125" customWidth="1"/>
    <col min="14610" max="14610" width="14.7109375" customWidth="1"/>
    <col min="14611" max="14611" width="1.42578125" customWidth="1"/>
    <col min="14612" max="14612" width="13.140625" customWidth="1"/>
    <col min="14613" max="14613" width="1.42578125" customWidth="1"/>
    <col min="14614" max="14614" width="11.7109375" customWidth="1"/>
    <col min="14615" max="14615" width="1.42578125" customWidth="1"/>
    <col min="14849" max="14849" width="0" hidden="1" customWidth="1"/>
    <col min="14850" max="14850" width="1.42578125" customWidth="1"/>
    <col min="14851" max="14851" width="8.85546875" customWidth="1"/>
    <col min="14852" max="14852" width="1.42578125" customWidth="1"/>
    <col min="14853" max="14853" width="4.42578125" customWidth="1"/>
    <col min="14854" max="14854" width="3" customWidth="1"/>
    <col min="14855" max="14855" width="5.85546875" customWidth="1"/>
    <col min="14856" max="14856" width="1.42578125" customWidth="1"/>
    <col min="14857" max="14857" width="5.85546875" customWidth="1"/>
    <col min="14858" max="14860" width="1.42578125" customWidth="1"/>
    <col min="14861" max="14861" width="3" customWidth="1"/>
    <col min="14862" max="14862" width="1.42578125" customWidth="1"/>
    <col min="14863" max="14863" width="13.140625" customWidth="1"/>
    <col min="14864" max="14864" width="11.7109375" customWidth="1"/>
    <col min="14865" max="14865" width="1.42578125" customWidth="1"/>
    <col min="14866" max="14866" width="14.7109375" customWidth="1"/>
    <col min="14867" max="14867" width="1.42578125" customWidth="1"/>
    <col min="14868" max="14868" width="13.140625" customWidth="1"/>
    <col min="14869" max="14869" width="1.42578125" customWidth="1"/>
    <col min="14870" max="14870" width="11.7109375" customWidth="1"/>
    <col min="14871" max="14871" width="1.42578125" customWidth="1"/>
    <col min="15105" max="15105" width="0" hidden="1" customWidth="1"/>
    <col min="15106" max="15106" width="1.42578125" customWidth="1"/>
    <col min="15107" max="15107" width="8.85546875" customWidth="1"/>
    <col min="15108" max="15108" width="1.42578125" customWidth="1"/>
    <col min="15109" max="15109" width="4.42578125" customWidth="1"/>
    <col min="15110" max="15110" width="3" customWidth="1"/>
    <col min="15111" max="15111" width="5.85546875" customWidth="1"/>
    <col min="15112" max="15112" width="1.42578125" customWidth="1"/>
    <col min="15113" max="15113" width="5.85546875" customWidth="1"/>
    <col min="15114" max="15116" width="1.42578125" customWidth="1"/>
    <col min="15117" max="15117" width="3" customWidth="1"/>
    <col min="15118" max="15118" width="1.42578125" customWidth="1"/>
    <col min="15119" max="15119" width="13.140625" customWidth="1"/>
    <col min="15120" max="15120" width="11.7109375" customWidth="1"/>
    <col min="15121" max="15121" width="1.42578125" customWidth="1"/>
    <col min="15122" max="15122" width="14.7109375" customWidth="1"/>
    <col min="15123" max="15123" width="1.42578125" customWidth="1"/>
    <col min="15124" max="15124" width="13.140625" customWidth="1"/>
    <col min="15125" max="15125" width="1.42578125" customWidth="1"/>
    <col min="15126" max="15126" width="11.7109375" customWidth="1"/>
    <col min="15127" max="15127" width="1.42578125" customWidth="1"/>
    <col min="15361" max="15361" width="0" hidden="1" customWidth="1"/>
    <col min="15362" max="15362" width="1.42578125" customWidth="1"/>
    <col min="15363" max="15363" width="8.85546875" customWidth="1"/>
    <col min="15364" max="15364" width="1.42578125" customWidth="1"/>
    <col min="15365" max="15365" width="4.42578125" customWidth="1"/>
    <col min="15366" max="15366" width="3" customWidth="1"/>
    <col min="15367" max="15367" width="5.85546875" customWidth="1"/>
    <col min="15368" max="15368" width="1.42578125" customWidth="1"/>
    <col min="15369" max="15369" width="5.85546875" customWidth="1"/>
    <col min="15370" max="15372" width="1.42578125" customWidth="1"/>
    <col min="15373" max="15373" width="3" customWidth="1"/>
    <col min="15374" max="15374" width="1.42578125" customWidth="1"/>
    <col min="15375" max="15375" width="13.140625" customWidth="1"/>
    <col min="15376" max="15376" width="11.7109375" customWidth="1"/>
    <col min="15377" max="15377" width="1.42578125" customWidth="1"/>
    <col min="15378" max="15378" width="14.7109375" customWidth="1"/>
    <col min="15379" max="15379" width="1.42578125" customWidth="1"/>
    <col min="15380" max="15380" width="13.140625" customWidth="1"/>
    <col min="15381" max="15381" width="1.42578125" customWidth="1"/>
    <col min="15382" max="15382" width="11.7109375" customWidth="1"/>
    <col min="15383" max="15383" width="1.42578125" customWidth="1"/>
    <col min="15617" max="15617" width="0" hidden="1" customWidth="1"/>
    <col min="15618" max="15618" width="1.42578125" customWidth="1"/>
    <col min="15619" max="15619" width="8.85546875" customWidth="1"/>
    <col min="15620" max="15620" width="1.42578125" customWidth="1"/>
    <col min="15621" max="15621" width="4.42578125" customWidth="1"/>
    <col min="15622" max="15622" width="3" customWidth="1"/>
    <col min="15623" max="15623" width="5.85546875" customWidth="1"/>
    <col min="15624" max="15624" width="1.42578125" customWidth="1"/>
    <col min="15625" max="15625" width="5.85546875" customWidth="1"/>
    <col min="15626" max="15628" width="1.42578125" customWidth="1"/>
    <col min="15629" max="15629" width="3" customWidth="1"/>
    <col min="15630" max="15630" width="1.42578125" customWidth="1"/>
    <col min="15631" max="15631" width="13.140625" customWidth="1"/>
    <col min="15632" max="15632" width="11.7109375" customWidth="1"/>
    <col min="15633" max="15633" width="1.42578125" customWidth="1"/>
    <col min="15634" max="15634" width="14.7109375" customWidth="1"/>
    <col min="15635" max="15635" width="1.42578125" customWidth="1"/>
    <col min="15636" max="15636" width="13.140625" customWidth="1"/>
    <col min="15637" max="15637" width="1.42578125" customWidth="1"/>
    <col min="15638" max="15638" width="11.7109375" customWidth="1"/>
    <col min="15639" max="15639" width="1.42578125" customWidth="1"/>
    <col min="15873" max="15873" width="0" hidden="1" customWidth="1"/>
    <col min="15874" max="15874" width="1.42578125" customWidth="1"/>
    <col min="15875" max="15875" width="8.85546875" customWidth="1"/>
    <col min="15876" max="15876" width="1.42578125" customWidth="1"/>
    <col min="15877" max="15877" width="4.42578125" customWidth="1"/>
    <col min="15878" max="15878" width="3" customWidth="1"/>
    <col min="15879" max="15879" width="5.85546875" customWidth="1"/>
    <col min="15880" max="15880" width="1.42578125" customWidth="1"/>
    <col min="15881" max="15881" width="5.85546875" customWidth="1"/>
    <col min="15882" max="15884" width="1.42578125" customWidth="1"/>
    <col min="15885" max="15885" width="3" customWidth="1"/>
    <col min="15886" max="15886" width="1.42578125" customWidth="1"/>
    <col min="15887" max="15887" width="13.140625" customWidth="1"/>
    <col min="15888" max="15888" width="11.7109375" customWidth="1"/>
    <col min="15889" max="15889" width="1.42578125" customWidth="1"/>
    <col min="15890" max="15890" width="14.7109375" customWidth="1"/>
    <col min="15891" max="15891" width="1.42578125" customWidth="1"/>
    <col min="15892" max="15892" width="13.140625" customWidth="1"/>
    <col min="15893" max="15893" width="1.42578125" customWidth="1"/>
    <col min="15894" max="15894" width="11.7109375" customWidth="1"/>
    <col min="15895" max="15895" width="1.42578125" customWidth="1"/>
    <col min="16129" max="16129" width="0" hidden="1" customWidth="1"/>
    <col min="16130" max="16130" width="1.42578125" customWidth="1"/>
    <col min="16131" max="16131" width="8.85546875" customWidth="1"/>
    <col min="16132" max="16132" width="1.42578125" customWidth="1"/>
    <col min="16133" max="16133" width="4.42578125" customWidth="1"/>
    <col min="16134" max="16134" width="3" customWidth="1"/>
    <col min="16135" max="16135" width="5.85546875" customWidth="1"/>
    <col min="16136" max="16136" width="1.42578125" customWidth="1"/>
    <col min="16137" max="16137" width="5.85546875" customWidth="1"/>
    <col min="16138" max="16140" width="1.42578125" customWidth="1"/>
    <col min="16141" max="16141" width="3" customWidth="1"/>
    <col min="16142" max="16142" width="1.42578125" customWidth="1"/>
    <col min="16143" max="16143" width="13.140625" customWidth="1"/>
    <col min="16144" max="16144" width="11.7109375" customWidth="1"/>
    <col min="16145" max="16145" width="1.42578125" customWidth="1"/>
    <col min="16146" max="16146" width="14.7109375" customWidth="1"/>
    <col min="16147" max="16147" width="1.42578125" customWidth="1"/>
    <col min="16148" max="16148" width="13.140625" customWidth="1"/>
    <col min="16149" max="16149" width="1.42578125" customWidth="1"/>
    <col min="16150" max="16150" width="11.7109375" customWidth="1"/>
    <col min="16151" max="16151" width="1.42578125" customWidth="1"/>
  </cols>
  <sheetData>
    <row r="1" spans="2:23" ht="18" x14ac:dyDescent="0.2">
      <c r="B1" s="1" t="s">
        <v>1</v>
      </c>
      <c r="S1" s="55" t="s">
        <v>2</v>
      </c>
      <c r="T1" s="50"/>
      <c r="U1" s="50"/>
      <c r="V1" s="50"/>
      <c r="W1" s="50"/>
    </row>
    <row r="2" spans="2:23" ht="12.75" thickBot="1" x14ac:dyDescent="0.25">
      <c r="B2" s="10" t="s">
        <v>3</v>
      </c>
      <c r="C2" s="6"/>
      <c r="D2" s="6"/>
      <c r="E2" s="6"/>
      <c r="F2" s="6"/>
      <c r="G2" s="6"/>
      <c r="H2" s="6"/>
      <c r="I2" s="6"/>
      <c r="J2" s="6"/>
      <c r="K2" s="6" t="s">
        <v>5</v>
      </c>
      <c r="L2" s="6"/>
      <c r="M2" s="6"/>
      <c r="N2" s="6"/>
      <c r="O2" s="6"/>
      <c r="P2" s="6" t="s">
        <v>4</v>
      </c>
      <c r="Q2" s="6" t="s">
        <v>2730</v>
      </c>
      <c r="R2" s="6"/>
      <c r="S2" s="56" t="s">
        <v>6</v>
      </c>
      <c r="T2" s="57"/>
      <c r="U2" s="57"/>
      <c r="V2" s="57"/>
      <c r="W2" s="57"/>
    </row>
    <row r="3" spans="2:23" ht="12.75" thickTop="1" x14ac:dyDescent="0.2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2:23" ht="15.75" x14ac:dyDescent="0.2">
      <c r="B4" s="3" t="s">
        <v>7</v>
      </c>
      <c r="F4" t="s">
        <v>2749</v>
      </c>
    </row>
    <row r="6" spans="2:23" x14ac:dyDescent="0.2">
      <c r="B6" s="8"/>
      <c r="C6" s="20" t="s">
        <v>8</v>
      </c>
      <c r="D6" s="8"/>
      <c r="E6" s="20" t="s">
        <v>9</v>
      </c>
      <c r="F6" s="8"/>
      <c r="G6" s="8"/>
      <c r="H6" s="8"/>
      <c r="I6" s="20" t="s">
        <v>13</v>
      </c>
      <c r="J6" s="8"/>
      <c r="K6" s="8"/>
      <c r="L6" s="20" t="s">
        <v>12</v>
      </c>
      <c r="M6" s="8"/>
      <c r="N6" s="8"/>
      <c r="O6" s="8"/>
      <c r="P6" s="20" t="s">
        <v>14</v>
      </c>
      <c r="Q6" s="8"/>
      <c r="R6" s="8"/>
      <c r="S6" s="8"/>
      <c r="T6" s="21" t="s">
        <v>11</v>
      </c>
      <c r="U6" s="8"/>
      <c r="V6" s="58" t="s">
        <v>10</v>
      </c>
      <c r="W6" s="59"/>
    </row>
    <row r="7" spans="2:23" x14ac:dyDescent="0.2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</row>
    <row r="8" spans="2:23" ht="15" x14ac:dyDescent="0.2">
      <c r="B8" s="4" t="s">
        <v>15</v>
      </c>
    </row>
    <row r="10" spans="2:23" x14ac:dyDescent="0.2">
      <c r="B10" s="22" t="s">
        <v>22</v>
      </c>
      <c r="E10" s="22" t="s">
        <v>23</v>
      </c>
    </row>
    <row r="11" spans="2:23" x14ac:dyDescent="0.2">
      <c r="C11" s="2" t="s">
        <v>25</v>
      </c>
      <c r="E11" s="2" t="s">
        <v>24</v>
      </c>
      <c r="I11" s="2" t="s">
        <v>19</v>
      </c>
      <c r="P11" s="2" t="s">
        <v>26</v>
      </c>
      <c r="T11" s="5">
        <v>61755</v>
      </c>
      <c r="V11" s="49">
        <v>0</v>
      </c>
      <c r="W11" s="50"/>
    </row>
    <row r="12" spans="2:23" x14ac:dyDescent="0.2">
      <c r="C12" s="2" t="s">
        <v>28</v>
      </c>
      <c r="E12" s="2" t="s">
        <v>27</v>
      </c>
      <c r="I12" s="2" t="s">
        <v>19</v>
      </c>
      <c r="P12" s="2" t="s">
        <v>29</v>
      </c>
      <c r="T12" s="5">
        <v>72020</v>
      </c>
      <c r="V12" s="49">
        <v>0</v>
      </c>
      <c r="W12" s="50"/>
    </row>
    <row r="13" spans="2:23" x14ac:dyDescent="0.2">
      <c r="C13" s="2" t="s">
        <v>31</v>
      </c>
      <c r="E13" s="2" t="s">
        <v>30</v>
      </c>
      <c r="I13" s="2" t="s">
        <v>19</v>
      </c>
      <c r="P13" s="2" t="s">
        <v>32</v>
      </c>
      <c r="T13" s="5">
        <v>62000</v>
      </c>
      <c r="V13" s="49">
        <v>0</v>
      </c>
      <c r="W13" s="50"/>
    </row>
    <row r="14" spans="2:23" x14ac:dyDescent="0.2">
      <c r="C14" s="2" t="s">
        <v>34</v>
      </c>
      <c r="E14" s="2" t="s">
        <v>33</v>
      </c>
      <c r="I14" s="2" t="s">
        <v>19</v>
      </c>
      <c r="P14" s="2" t="s">
        <v>35</v>
      </c>
      <c r="T14" s="5">
        <v>55725</v>
      </c>
      <c r="V14" s="49">
        <v>0</v>
      </c>
      <c r="W14" s="50"/>
    </row>
    <row r="15" spans="2:23" x14ac:dyDescent="0.2">
      <c r="C15" s="2" t="s">
        <v>37</v>
      </c>
      <c r="E15" s="2" t="s">
        <v>36</v>
      </c>
      <c r="I15" s="2" t="s">
        <v>19</v>
      </c>
      <c r="P15" s="2" t="s">
        <v>38</v>
      </c>
      <c r="T15" s="5">
        <v>36550</v>
      </c>
      <c r="V15" s="49">
        <v>0</v>
      </c>
      <c r="W15" s="50"/>
    </row>
    <row r="16" spans="2:23" x14ac:dyDescent="0.2">
      <c r="C16" s="2" t="s">
        <v>40</v>
      </c>
      <c r="E16" s="2" t="s">
        <v>39</v>
      </c>
      <c r="I16" s="2" t="s">
        <v>19</v>
      </c>
      <c r="P16" s="2" t="s">
        <v>41</v>
      </c>
      <c r="T16" s="5">
        <v>54395</v>
      </c>
      <c r="V16" s="49">
        <v>0</v>
      </c>
      <c r="W16" s="50"/>
    </row>
    <row r="17" spans="2:23" x14ac:dyDescent="0.2">
      <c r="C17" s="2" t="s">
        <v>43</v>
      </c>
      <c r="E17" s="2" t="s">
        <v>42</v>
      </c>
      <c r="I17" s="2" t="s">
        <v>19</v>
      </c>
      <c r="P17" s="2" t="s">
        <v>44</v>
      </c>
      <c r="T17" s="5">
        <v>35850</v>
      </c>
      <c r="V17" s="49">
        <v>0</v>
      </c>
      <c r="W17" s="50"/>
    </row>
    <row r="18" spans="2:23" x14ac:dyDescent="0.2">
      <c r="C18" s="2" t="s">
        <v>46</v>
      </c>
      <c r="E18" s="2" t="s">
        <v>45</v>
      </c>
      <c r="I18" s="2" t="s">
        <v>19</v>
      </c>
      <c r="P18" s="2" t="s">
        <v>47</v>
      </c>
      <c r="T18" s="5">
        <v>64340</v>
      </c>
      <c r="V18" s="49">
        <v>0</v>
      </c>
      <c r="W18" s="50"/>
    </row>
    <row r="19" spans="2:23" x14ac:dyDescent="0.2">
      <c r="C19" s="2" t="s">
        <v>49</v>
      </c>
      <c r="E19" s="2" t="s">
        <v>48</v>
      </c>
      <c r="I19" s="2" t="s">
        <v>19</v>
      </c>
      <c r="P19" s="2" t="s">
        <v>50</v>
      </c>
      <c r="T19" s="5">
        <v>63455</v>
      </c>
      <c r="V19" s="49">
        <v>0</v>
      </c>
      <c r="W19" s="50"/>
    </row>
    <row r="20" spans="2:23" x14ac:dyDescent="0.2">
      <c r="C20" s="2" t="s">
        <v>52</v>
      </c>
      <c r="E20" s="2" t="s">
        <v>51</v>
      </c>
      <c r="I20" s="2" t="s">
        <v>19</v>
      </c>
      <c r="P20" s="2" t="s">
        <v>53</v>
      </c>
      <c r="T20" s="5">
        <v>49675</v>
      </c>
      <c r="V20" s="49">
        <v>0</v>
      </c>
      <c r="W20" s="50"/>
    </row>
    <row r="21" spans="2:23" x14ac:dyDescent="0.2">
      <c r="C21" s="2" t="s">
        <v>55</v>
      </c>
      <c r="E21" s="2" t="s">
        <v>54</v>
      </c>
      <c r="I21" s="2" t="s">
        <v>19</v>
      </c>
      <c r="P21" s="2" t="s">
        <v>56</v>
      </c>
      <c r="T21" s="5">
        <v>67470</v>
      </c>
      <c r="V21" s="49">
        <v>0</v>
      </c>
      <c r="W21" s="50"/>
    </row>
    <row r="22" spans="2:23" x14ac:dyDescent="0.2">
      <c r="C22" s="2" t="s">
        <v>20</v>
      </c>
      <c r="E22" s="2" t="s">
        <v>57</v>
      </c>
      <c r="I22" s="2" t="s">
        <v>19</v>
      </c>
      <c r="P22" s="2" t="s">
        <v>58</v>
      </c>
      <c r="T22" s="5">
        <v>51650</v>
      </c>
      <c r="V22" s="49">
        <v>0</v>
      </c>
      <c r="W22" s="50"/>
    </row>
    <row r="23" spans="2:23" x14ac:dyDescent="0.2">
      <c r="C23" s="2" t="s">
        <v>20</v>
      </c>
      <c r="E23" s="2" t="s">
        <v>59</v>
      </c>
      <c r="I23" s="2" t="s">
        <v>19</v>
      </c>
      <c r="P23" s="2" t="s">
        <v>60</v>
      </c>
      <c r="T23" s="5">
        <v>-674885</v>
      </c>
      <c r="V23" s="49">
        <v>0</v>
      </c>
      <c r="W23" s="50"/>
    </row>
    <row r="24" spans="2:23" x14ac:dyDescent="0.2">
      <c r="B24" s="22" t="s">
        <v>22</v>
      </c>
      <c r="E24" s="22" t="s">
        <v>23</v>
      </c>
      <c r="S24" s="51">
        <v>0</v>
      </c>
      <c r="T24" s="50"/>
      <c r="U24" s="51">
        <v>0</v>
      </c>
      <c r="V24" s="50"/>
      <c r="W24" s="50"/>
    </row>
    <row r="26" spans="2:23" x14ac:dyDescent="0.2">
      <c r="B26" s="22" t="s">
        <v>2731</v>
      </c>
      <c r="E26" s="22" t="s">
        <v>2732</v>
      </c>
    </row>
    <row r="27" spans="2:23" x14ac:dyDescent="0.2">
      <c r="C27" s="2" t="s">
        <v>20</v>
      </c>
      <c r="E27" s="2" t="s">
        <v>79</v>
      </c>
      <c r="I27" s="2" t="s">
        <v>19</v>
      </c>
      <c r="P27" s="2" t="s">
        <v>80</v>
      </c>
      <c r="T27" s="5">
        <v>982</v>
      </c>
      <c r="V27" s="49">
        <v>0</v>
      </c>
      <c r="W27" s="50"/>
    </row>
    <row r="28" spans="2:23" x14ac:dyDescent="0.2">
      <c r="B28" s="22" t="s">
        <v>2731</v>
      </c>
      <c r="E28" s="22" t="s">
        <v>2732</v>
      </c>
      <c r="S28" s="51">
        <v>982</v>
      </c>
      <c r="T28" s="50"/>
      <c r="U28" s="51">
        <v>0</v>
      </c>
      <c r="V28" s="50"/>
      <c r="W28" s="50"/>
    </row>
    <row r="30" spans="2:23" x14ac:dyDescent="0.2">
      <c r="B30" s="22" t="s">
        <v>61</v>
      </c>
      <c r="E30" s="22" t="s">
        <v>62</v>
      </c>
    </row>
    <row r="31" spans="2:23" x14ac:dyDescent="0.2">
      <c r="C31" s="2" t="s">
        <v>25</v>
      </c>
      <c r="E31" s="2" t="s">
        <v>63</v>
      </c>
      <c r="I31" s="2" t="s">
        <v>64</v>
      </c>
      <c r="P31" s="2" t="s">
        <v>65</v>
      </c>
      <c r="T31" s="5">
        <v>10</v>
      </c>
      <c r="V31" s="49">
        <v>0</v>
      </c>
      <c r="W31" s="50"/>
    </row>
    <row r="32" spans="2:23" x14ac:dyDescent="0.2">
      <c r="C32" s="2" t="s">
        <v>28</v>
      </c>
      <c r="E32" s="2" t="s">
        <v>66</v>
      </c>
      <c r="I32" s="2" t="s">
        <v>64</v>
      </c>
      <c r="P32" s="2" t="s">
        <v>65</v>
      </c>
      <c r="T32" s="5">
        <v>10</v>
      </c>
      <c r="V32" s="49">
        <v>0</v>
      </c>
      <c r="W32" s="50"/>
    </row>
    <row r="33" spans="2:23" x14ac:dyDescent="0.2">
      <c r="C33" s="2" t="s">
        <v>31</v>
      </c>
      <c r="E33" s="2" t="s">
        <v>67</v>
      </c>
      <c r="I33" s="2" t="s">
        <v>64</v>
      </c>
      <c r="P33" s="2" t="s">
        <v>65</v>
      </c>
      <c r="T33" s="5">
        <v>10</v>
      </c>
      <c r="V33" s="49">
        <v>0</v>
      </c>
      <c r="W33" s="50"/>
    </row>
    <row r="34" spans="2:23" x14ac:dyDescent="0.2">
      <c r="C34" s="2" t="s">
        <v>34</v>
      </c>
      <c r="E34" s="2" t="s">
        <v>68</v>
      </c>
      <c r="I34" s="2" t="s">
        <v>64</v>
      </c>
      <c r="P34" s="2" t="s">
        <v>65</v>
      </c>
      <c r="T34" s="5">
        <v>10</v>
      </c>
      <c r="V34" s="49">
        <v>0</v>
      </c>
      <c r="W34" s="50"/>
    </row>
    <row r="35" spans="2:23" x14ac:dyDescent="0.2">
      <c r="C35" s="2" t="s">
        <v>37</v>
      </c>
      <c r="E35" s="2" t="s">
        <v>69</v>
      </c>
      <c r="I35" s="2" t="s">
        <v>64</v>
      </c>
      <c r="P35" s="2" t="s">
        <v>65</v>
      </c>
      <c r="T35" s="5">
        <v>10</v>
      </c>
      <c r="V35" s="49">
        <v>0</v>
      </c>
      <c r="W35" s="50"/>
    </row>
    <row r="36" spans="2:23" x14ac:dyDescent="0.2">
      <c r="C36" s="2" t="s">
        <v>40</v>
      </c>
      <c r="E36" s="2" t="s">
        <v>70</v>
      </c>
      <c r="I36" s="2" t="s">
        <v>64</v>
      </c>
      <c r="P36" s="2" t="s">
        <v>65</v>
      </c>
      <c r="T36" s="5">
        <v>10</v>
      </c>
      <c r="V36" s="49">
        <v>0</v>
      </c>
      <c r="W36" s="50"/>
    </row>
    <row r="37" spans="2:23" x14ac:dyDescent="0.2">
      <c r="C37" s="2" t="s">
        <v>43</v>
      </c>
      <c r="E37" s="2" t="s">
        <v>71</v>
      </c>
      <c r="I37" s="2" t="s">
        <v>64</v>
      </c>
      <c r="P37" s="2" t="s">
        <v>65</v>
      </c>
      <c r="T37" s="5">
        <v>10</v>
      </c>
      <c r="V37" s="49">
        <v>0</v>
      </c>
      <c r="W37" s="50"/>
    </row>
    <row r="38" spans="2:23" x14ac:dyDescent="0.2">
      <c r="C38" s="2" t="s">
        <v>46</v>
      </c>
      <c r="E38" s="2" t="s">
        <v>72</v>
      </c>
      <c r="I38" s="2" t="s">
        <v>64</v>
      </c>
      <c r="P38" s="2" t="s">
        <v>65</v>
      </c>
      <c r="T38" s="5">
        <v>10</v>
      </c>
      <c r="V38" s="49">
        <v>0</v>
      </c>
      <c r="W38" s="50"/>
    </row>
    <row r="39" spans="2:23" x14ac:dyDescent="0.2">
      <c r="C39" s="2" t="s">
        <v>49</v>
      </c>
      <c r="E39" s="2" t="s">
        <v>73</v>
      </c>
      <c r="I39" s="2" t="s">
        <v>64</v>
      </c>
      <c r="P39" s="2" t="s">
        <v>65</v>
      </c>
      <c r="T39" s="5">
        <v>10</v>
      </c>
      <c r="V39" s="49">
        <v>0</v>
      </c>
      <c r="W39" s="50"/>
    </row>
    <row r="40" spans="2:23" x14ac:dyDescent="0.2">
      <c r="C40" s="2" t="s">
        <v>52</v>
      </c>
      <c r="E40" s="2" t="s">
        <v>74</v>
      </c>
      <c r="I40" s="2" t="s">
        <v>64</v>
      </c>
      <c r="P40" s="2" t="s">
        <v>65</v>
      </c>
      <c r="T40" s="5">
        <v>10</v>
      </c>
      <c r="V40" s="49">
        <v>0</v>
      </c>
      <c r="W40" s="50"/>
    </row>
    <row r="41" spans="2:23" x14ac:dyDescent="0.2">
      <c r="C41" s="2" t="s">
        <v>55</v>
      </c>
      <c r="E41" s="2" t="s">
        <v>75</v>
      </c>
      <c r="I41" s="2" t="s">
        <v>64</v>
      </c>
      <c r="P41" s="2" t="s">
        <v>65</v>
      </c>
      <c r="T41" s="5">
        <v>10</v>
      </c>
      <c r="V41" s="49">
        <v>0</v>
      </c>
      <c r="W41" s="50"/>
    </row>
    <row r="42" spans="2:23" x14ac:dyDescent="0.2">
      <c r="C42" s="2" t="s">
        <v>20</v>
      </c>
      <c r="E42" s="2" t="s">
        <v>76</v>
      </c>
      <c r="I42" s="2" t="s">
        <v>64</v>
      </c>
      <c r="P42" s="2" t="s">
        <v>65</v>
      </c>
      <c r="T42" s="5">
        <v>10</v>
      </c>
      <c r="V42" s="49">
        <v>0</v>
      </c>
      <c r="W42" s="50"/>
    </row>
    <row r="43" spans="2:23" x14ac:dyDescent="0.2">
      <c r="B43" s="22" t="s">
        <v>61</v>
      </c>
      <c r="E43" s="22" t="s">
        <v>62</v>
      </c>
      <c r="S43" s="51">
        <v>120</v>
      </c>
      <c r="T43" s="50"/>
      <c r="U43" s="51">
        <v>0</v>
      </c>
      <c r="V43" s="50"/>
      <c r="W43" s="50"/>
    </row>
    <row r="45" spans="2:23" x14ac:dyDescent="0.2">
      <c r="B45" s="22" t="s">
        <v>77</v>
      </c>
      <c r="E45" s="22" t="s">
        <v>78</v>
      </c>
    </row>
    <row r="46" spans="2:23" x14ac:dyDescent="0.2">
      <c r="C46" s="2" t="s">
        <v>20</v>
      </c>
      <c r="E46" s="2" t="s">
        <v>79</v>
      </c>
      <c r="I46" s="2" t="s">
        <v>19</v>
      </c>
      <c r="P46" s="2" t="s">
        <v>80</v>
      </c>
      <c r="T46" s="5">
        <v>-33291</v>
      </c>
      <c r="V46" s="49">
        <v>0</v>
      </c>
      <c r="W46" s="50"/>
    </row>
    <row r="47" spans="2:23" x14ac:dyDescent="0.2">
      <c r="B47" s="22" t="s">
        <v>77</v>
      </c>
      <c r="E47" s="22" t="s">
        <v>78</v>
      </c>
      <c r="S47" s="51">
        <v>-33291</v>
      </c>
      <c r="T47" s="50"/>
      <c r="U47" s="51">
        <v>0</v>
      </c>
      <c r="V47" s="50"/>
      <c r="W47" s="50"/>
    </row>
    <row r="48" spans="2:23" x14ac:dyDescent="0.2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</row>
    <row r="49" spans="2:23" x14ac:dyDescent="0.2"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52">
        <v>-32189</v>
      </c>
      <c r="T49" s="53"/>
      <c r="U49" s="52">
        <v>0</v>
      </c>
      <c r="V49" s="53"/>
      <c r="W49" s="53"/>
    </row>
    <row r="50" spans="2:23" x14ac:dyDescent="0.2">
      <c r="B50" s="8"/>
      <c r="C50" s="8"/>
      <c r="D50" s="20" t="s">
        <v>81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11">
        <v>-32189</v>
      </c>
      <c r="S50" s="8"/>
      <c r="T50" s="8"/>
      <c r="U50" s="8"/>
      <c r="V50" s="8"/>
      <c r="W50" s="8"/>
    </row>
    <row r="51" spans="2:23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</row>
    <row r="52" spans="2:23" x14ac:dyDescent="0.2">
      <c r="B52" s="22" t="s">
        <v>7</v>
      </c>
      <c r="O52" s="20" t="s">
        <v>97</v>
      </c>
      <c r="P52" s="8"/>
      <c r="Q52" s="8"/>
      <c r="R52" s="11">
        <v>32189</v>
      </c>
    </row>
    <row r="53" spans="2:23" x14ac:dyDescent="0.2">
      <c r="O53" s="9"/>
      <c r="P53" s="9"/>
      <c r="Q53" s="9"/>
      <c r="R53" s="9"/>
    </row>
    <row r="54" spans="2:23" x14ac:dyDescent="0.2">
      <c r="B54" s="2" t="s">
        <v>98</v>
      </c>
    </row>
    <row r="56" spans="2:23" ht="24" customHeight="1" x14ac:dyDescent="0.2">
      <c r="B56" s="54" t="s">
        <v>0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</row>
    <row r="57" spans="2:23" ht="18" x14ac:dyDescent="0.2">
      <c r="B57" s="1" t="s">
        <v>1</v>
      </c>
      <c r="S57" s="55" t="s">
        <v>99</v>
      </c>
      <c r="T57" s="50"/>
      <c r="U57" s="50"/>
      <c r="V57" s="50"/>
      <c r="W57" s="50"/>
    </row>
    <row r="58" spans="2:23" ht="12.75" thickBot="1" x14ac:dyDescent="0.25">
      <c r="B58" s="10" t="s">
        <v>3</v>
      </c>
      <c r="C58" s="6"/>
      <c r="D58" s="6"/>
      <c r="E58" s="6"/>
      <c r="F58" s="6"/>
      <c r="G58" s="6"/>
      <c r="H58" s="6"/>
      <c r="I58" s="6"/>
      <c r="J58" s="6"/>
      <c r="K58" s="6" t="s">
        <v>5</v>
      </c>
      <c r="L58" s="6"/>
      <c r="M58" s="6"/>
      <c r="N58" s="6"/>
      <c r="O58" s="6"/>
      <c r="P58" s="6" t="s">
        <v>4</v>
      </c>
      <c r="Q58" s="6" t="s">
        <v>2730</v>
      </c>
      <c r="R58" s="6"/>
      <c r="S58" s="56" t="s">
        <v>6</v>
      </c>
      <c r="T58" s="57"/>
      <c r="U58" s="57"/>
      <c r="V58" s="57"/>
      <c r="W58" s="57"/>
    </row>
    <row r="59" spans="2:23" ht="12.75" thickTop="1" x14ac:dyDescent="0.2"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2:23" ht="15.75" x14ac:dyDescent="0.2">
      <c r="B60" s="3" t="s">
        <v>7</v>
      </c>
      <c r="F60" s="3" t="s">
        <v>101</v>
      </c>
    </row>
    <row r="62" spans="2:23" x14ac:dyDescent="0.2">
      <c r="B62" s="8"/>
      <c r="C62" s="20" t="s">
        <v>8</v>
      </c>
      <c r="D62" s="8"/>
      <c r="E62" s="20" t="s">
        <v>9</v>
      </c>
      <c r="F62" s="8"/>
      <c r="G62" s="8"/>
      <c r="H62" s="8"/>
      <c r="I62" s="20" t="s">
        <v>13</v>
      </c>
      <c r="J62" s="8"/>
      <c r="K62" s="8"/>
      <c r="L62" s="20" t="s">
        <v>12</v>
      </c>
      <c r="M62" s="8"/>
      <c r="N62" s="8"/>
      <c r="O62" s="8"/>
      <c r="P62" s="20" t="s">
        <v>14</v>
      </c>
      <c r="Q62" s="8"/>
      <c r="R62" s="8"/>
      <c r="S62" s="8"/>
      <c r="T62" s="21" t="s">
        <v>11</v>
      </c>
      <c r="U62" s="8"/>
      <c r="V62" s="58" t="s">
        <v>10</v>
      </c>
      <c r="W62" s="59"/>
    </row>
    <row r="63" spans="2:23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</row>
    <row r="64" spans="2:23" ht="15" x14ac:dyDescent="0.2">
      <c r="B64" s="4" t="s">
        <v>15</v>
      </c>
    </row>
    <row r="66" spans="2:23" x14ac:dyDescent="0.2">
      <c r="B66" s="22" t="s">
        <v>102</v>
      </c>
      <c r="E66" s="22" t="s">
        <v>103</v>
      </c>
    </row>
    <row r="67" spans="2:23" x14ac:dyDescent="0.2">
      <c r="C67" s="2" t="s">
        <v>107</v>
      </c>
      <c r="E67" s="2" t="s">
        <v>104</v>
      </c>
      <c r="I67" s="2" t="s">
        <v>106</v>
      </c>
      <c r="L67" s="2" t="s">
        <v>105</v>
      </c>
      <c r="P67" s="2" t="s">
        <v>108</v>
      </c>
      <c r="T67" s="5">
        <v>9387</v>
      </c>
      <c r="V67" s="49">
        <v>0</v>
      </c>
      <c r="W67" s="50"/>
    </row>
    <row r="68" spans="2:23" x14ac:dyDescent="0.2">
      <c r="B68" s="22" t="s">
        <v>102</v>
      </c>
      <c r="E68" s="22" t="s">
        <v>103</v>
      </c>
      <c r="S68" s="51">
        <v>9387</v>
      </c>
      <c r="T68" s="50"/>
      <c r="U68" s="51">
        <v>0</v>
      </c>
      <c r="V68" s="50"/>
      <c r="W68" s="50"/>
    </row>
    <row r="70" spans="2:23" x14ac:dyDescent="0.2">
      <c r="B70" s="22" t="s">
        <v>109</v>
      </c>
      <c r="E70" s="22" t="s">
        <v>110</v>
      </c>
    </row>
    <row r="71" spans="2:23" x14ac:dyDescent="0.2">
      <c r="C71" s="2" t="s">
        <v>25</v>
      </c>
      <c r="E71" s="2" t="s">
        <v>111</v>
      </c>
      <c r="I71" s="2" t="s">
        <v>106</v>
      </c>
      <c r="L71" s="2" t="s">
        <v>112</v>
      </c>
      <c r="P71" s="2" t="s">
        <v>113</v>
      </c>
      <c r="T71" s="5">
        <v>13000</v>
      </c>
      <c r="V71" s="49">
        <v>0</v>
      </c>
      <c r="W71" s="50"/>
    </row>
    <row r="72" spans="2:23" x14ac:dyDescent="0.2">
      <c r="C72" s="2" t="s">
        <v>28</v>
      </c>
      <c r="E72" s="2" t="s">
        <v>114</v>
      </c>
      <c r="I72" s="2" t="s">
        <v>106</v>
      </c>
      <c r="L72" s="2" t="s">
        <v>112</v>
      </c>
      <c r="P72" s="2" t="s">
        <v>115</v>
      </c>
      <c r="T72" s="5">
        <v>13000</v>
      </c>
      <c r="V72" s="49">
        <v>0</v>
      </c>
      <c r="W72" s="50"/>
    </row>
    <row r="73" spans="2:23" x14ac:dyDescent="0.2">
      <c r="C73" s="2" t="s">
        <v>118</v>
      </c>
      <c r="E73" s="2" t="s">
        <v>116</v>
      </c>
      <c r="I73" s="2" t="s">
        <v>106</v>
      </c>
      <c r="L73" s="2" t="s">
        <v>117</v>
      </c>
      <c r="P73" s="2" t="s">
        <v>119</v>
      </c>
      <c r="T73" s="5">
        <v>14560</v>
      </c>
      <c r="V73" s="49">
        <v>0</v>
      </c>
      <c r="W73" s="50"/>
    </row>
    <row r="74" spans="2:23" x14ac:dyDescent="0.2">
      <c r="C74" s="2" t="s">
        <v>31</v>
      </c>
      <c r="E74" s="2" t="s">
        <v>120</v>
      </c>
      <c r="I74" s="2" t="s">
        <v>106</v>
      </c>
      <c r="L74" s="2" t="s">
        <v>112</v>
      </c>
      <c r="P74" s="2" t="s">
        <v>121</v>
      </c>
      <c r="T74" s="5">
        <v>13000</v>
      </c>
      <c r="V74" s="49">
        <v>0</v>
      </c>
      <c r="W74" s="50"/>
    </row>
    <row r="75" spans="2:23" x14ac:dyDescent="0.2">
      <c r="C75" s="2" t="s">
        <v>34</v>
      </c>
      <c r="E75" s="2" t="s">
        <v>122</v>
      </c>
      <c r="I75" s="2" t="s">
        <v>106</v>
      </c>
      <c r="L75" s="2" t="s">
        <v>112</v>
      </c>
      <c r="P75" s="2" t="s">
        <v>123</v>
      </c>
      <c r="T75" s="5">
        <v>13000</v>
      </c>
      <c r="V75" s="49">
        <v>0</v>
      </c>
      <c r="W75" s="50"/>
    </row>
    <row r="76" spans="2:23" x14ac:dyDescent="0.2">
      <c r="C76" s="2" t="s">
        <v>37</v>
      </c>
      <c r="E76" s="2" t="s">
        <v>124</v>
      </c>
      <c r="I76" s="2" t="s">
        <v>106</v>
      </c>
      <c r="L76" s="2" t="s">
        <v>112</v>
      </c>
      <c r="P76" s="2" t="s">
        <v>125</v>
      </c>
      <c r="T76" s="5">
        <v>12000</v>
      </c>
      <c r="V76" s="49">
        <v>0</v>
      </c>
      <c r="W76" s="50"/>
    </row>
    <row r="77" spans="2:23" x14ac:dyDescent="0.2">
      <c r="C77" s="2" t="s">
        <v>40</v>
      </c>
      <c r="E77" s="2" t="s">
        <v>126</v>
      </c>
      <c r="I77" s="2" t="s">
        <v>106</v>
      </c>
      <c r="L77" s="2" t="s">
        <v>112</v>
      </c>
      <c r="P77" s="2" t="s">
        <v>127</v>
      </c>
      <c r="T77" s="5">
        <v>12000</v>
      </c>
      <c r="V77" s="49">
        <v>0</v>
      </c>
      <c r="W77" s="50"/>
    </row>
    <row r="78" spans="2:23" x14ac:dyDescent="0.2">
      <c r="C78" s="2" t="s">
        <v>129</v>
      </c>
      <c r="E78" s="2" t="s">
        <v>128</v>
      </c>
      <c r="I78" s="2" t="s">
        <v>106</v>
      </c>
      <c r="L78" s="2" t="s">
        <v>117</v>
      </c>
      <c r="P78" s="2" t="s">
        <v>119</v>
      </c>
      <c r="T78" s="5">
        <v>24680</v>
      </c>
      <c r="V78" s="49">
        <v>0</v>
      </c>
      <c r="W78" s="50"/>
    </row>
    <row r="79" spans="2:23" x14ac:dyDescent="0.2">
      <c r="C79" s="2" t="s">
        <v>43</v>
      </c>
      <c r="E79" s="2" t="s">
        <v>130</v>
      </c>
      <c r="I79" s="2" t="s">
        <v>106</v>
      </c>
      <c r="L79" s="2" t="s">
        <v>112</v>
      </c>
      <c r="P79" s="2" t="s">
        <v>131</v>
      </c>
      <c r="T79" s="5">
        <v>12000</v>
      </c>
      <c r="V79" s="49">
        <v>0</v>
      </c>
      <c r="W79" s="50"/>
    </row>
    <row r="80" spans="2:23" x14ac:dyDescent="0.2">
      <c r="C80" s="2" t="s">
        <v>46</v>
      </c>
      <c r="E80" s="2" t="s">
        <v>132</v>
      </c>
      <c r="I80" s="2" t="s">
        <v>106</v>
      </c>
      <c r="L80" s="2" t="s">
        <v>133</v>
      </c>
      <c r="P80" s="2" t="s">
        <v>134</v>
      </c>
      <c r="T80" s="5">
        <v>4000</v>
      </c>
      <c r="V80" s="49">
        <v>0</v>
      </c>
      <c r="W80" s="50"/>
    </row>
    <row r="81" spans="2:23" x14ac:dyDescent="0.2">
      <c r="C81" s="2" t="s">
        <v>46</v>
      </c>
      <c r="E81" s="2" t="s">
        <v>135</v>
      </c>
      <c r="I81" s="2" t="s">
        <v>106</v>
      </c>
      <c r="L81" s="2" t="s">
        <v>112</v>
      </c>
      <c r="P81" s="2" t="s">
        <v>136</v>
      </c>
      <c r="T81" s="5">
        <v>12000</v>
      </c>
      <c r="V81" s="49">
        <v>0</v>
      </c>
      <c r="W81" s="50"/>
    </row>
    <row r="82" spans="2:23" x14ac:dyDescent="0.2">
      <c r="C82" s="2" t="s">
        <v>49</v>
      </c>
      <c r="E82" s="2" t="s">
        <v>137</v>
      </c>
      <c r="I82" s="2" t="s">
        <v>106</v>
      </c>
      <c r="L82" s="2" t="s">
        <v>112</v>
      </c>
      <c r="P82" s="2" t="s">
        <v>138</v>
      </c>
      <c r="T82" s="5">
        <v>12000</v>
      </c>
      <c r="V82" s="49">
        <v>0</v>
      </c>
      <c r="W82" s="50"/>
    </row>
    <row r="83" spans="2:23" x14ac:dyDescent="0.2">
      <c r="C83" s="2" t="s">
        <v>52</v>
      </c>
      <c r="E83" s="2" t="s">
        <v>139</v>
      </c>
      <c r="I83" s="2" t="s">
        <v>106</v>
      </c>
      <c r="L83" s="2" t="s">
        <v>112</v>
      </c>
      <c r="P83" s="2" t="s">
        <v>140</v>
      </c>
      <c r="T83" s="5">
        <v>12000</v>
      </c>
      <c r="V83" s="49">
        <v>0</v>
      </c>
      <c r="W83" s="50"/>
    </row>
    <row r="84" spans="2:23" x14ac:dyDescent="0.2">
      <c r="C84" s="2" t="s">
        <v>52</v>
      </c>
      <c r="E84" s="2" t="s">
        <v>141</v>
      </c>
      <c r="I84" s="2" t="s">
        <v>106</v>
      </c>
      <c r="L84" s="2" t="s">
        <v>117</v>
      </c>
      <c r="P84" s="2" t="s">
        <v>119</v>
      </c>
      <c r="T84" s="5">
        <v>32720</v>
      </c>
      <c r="V84" s="49">
        <v>0</v>
      </c>
      <c r="W84" s="50"/>
    </row>
    <row r="85" spans="2:23" x14ac:dyDescent="0.2">
      <c r="C85" s="2" t="s">
        <v>55</v>
      </c>
      <c r="E85" s="2" t="s">
        <v>142</v>
      </c>
      <c r="I85" s="2" t="s">
        <v>106</v>
      </c>
      <c r="L85" s="2" t="s">
        <v>112</v>
      </c>
      <c r="P85" s="2" t="s">
        <v>143</v>
      </c>
      <c r="T85" s="5">
        <v>12000</v>
      </c>
      <c r="V85" s="49">
        <v>0</v>
      </c>
      <c r="W85" s="50"/>
    </row>
    <row r="86" spans="2:23" x14ac:dyDescent="0.2">
      <c r="C86" s="2" t="s">
        <v>20</v>
      </c>
      <c r="E86" s="2" t="s">
        <v>144</v>
      </c>
      <c r="I86" s="2" t="s">
        <v>106</v>
      </c>
      <c r="L86" s="2" t="s">
        <v>112</v>
      </c>
      <c r="P86" s="2" t="s">
        <v>145</v>
      </c>
      <c r="T86" s="5">
        <v>12000</v>
      </c>
      <c r="V86" s="49">
        <v>0</v>
      </c>
      <c r="W86" s="50"/>
    </row>
    <row r="87" spans="2:23" x14ac:dyDescent="0.2">
      <c r="C87" s="2" t="s">
        <v>20</v>
      </c>
      <c r="E87" s="2" t="s">
        <v>146</v>
      </c>
      <c r="I87" s="2" t="s">
        <v>106</v>
      </c>
      <c r="L87" s="2" t="s">
        <v>117</v>
      </c>
      <c r="P87" s="2" t="s">
        <v>119</v>
      </c>
      <c r="T87" s="5">
        <v>26050</v>
      </c>
      <c r="V87" s="49">
        <v>0</v>
      </c>
      <c r="W87" s="50"/>
    </row>
    <row r="88" spans="2:23" x14ac:dyDescent="0.2">
      <c r="B88" s="22" t="s">
        <v>109</v>
      </c>
      <c r="E88" s="22" t="s">
        <v>110</v>
      </c>
      <c r="S88" s="51">
        <v>250010</v>
      </c>
      <c r="T88" s="50"/>
      <c r="U88" s="51">
        <v>0</v>
      </c>
      <c r="V88" s="50"/>
      <c r="W88" s="50"/>
    </row>
    <row r="90" spans="2:23" x14ac:dyDescent="0.2">
      <c r="B90" s="22" t="s">
        <v>147</v>
      </c>
      <c r="E90" s="22" t="s">
        <v>148</v>
      </c>
    </row>
    <row r="91" spans="2:23" x14ac:dyDescent="0.2">
      <c r="C91" s="2" t="s">
        <v>151</v>
      </c>
      <c r="E91" s="2" t="s">
        <v>149</v>
      </c>
      <c r="I91" s="2" t="s">
        <v>106</v>
      </c>
      <c r="L91" s="2" t="s">
        <v>150</v>
      </c>
      <c r="P91" s="2" t="s">
        <v>152</v>
      </c>
      <c r="T91" s="5">
        <v>16000</v>
      </c>
      <c r="V91" s="49">
        <v>0</v>
      </c>
      <c r="W91" s="50"/>
    </row>
    <row r="92" spans="2:23" x14ac:dyDescent="0.2">
      <c r="B92" s="22" t="s">
        <v>147</v>
      </c>
      <c r="E92" s="22" t="s">
        <v>148</v>
      </c>
      <c r="S92" s="51">
        <v>16000</v>
      </c>
      <c r="T92" s="50"/>
      <c r="U92" s="51">
        <v>0</v>
      </c>
      <c r="V92" s="50"/>
      <c r="W92" s="50"/>
    </row>
    <row r="94" spans="2:23" x14ac:dyDescent="0.2">
      <c r="B94" s="22" t="s">
        <v>16</v>
      </c>
      <c r="E94" s="22" t="s">
        <v>17</v>
      </c>
    </row>
    <row r="95" spans="2:23" x14ac:dyDescent="0.2">
      <c r="C95" s="2" t="s">
        <v>20</v>
      </c>
      <c r="E95" s="2" t="s">
        <v>18</v>
      </c>
      <c r="I95" s="2" t="s">
        <v>19</v>
      </c>
      <c r="P95" s="2" t="s">
        <v>21</v>
      </c>
      <c r="T95" s="5">
        <v>135991.67000000001</v>
      </c>
      <c r="V95" s="49">
        <v>0</v>
      </c>
      <c r="W95" s="50"/>
    </row>
    <row r="96" spans="2:23" x14ac:dyDescent="0.2">
      <c r="B96" s="22" t="s">
        <v>16</v>
      </c>
      <c r="E96" s="22" t="s">
        <v>17</v>
      </c>
      <c r="S96" s="51">
        <v>135991.67000000001</v>
      </c>
      <c r="T96" s="50"/>
      <c r="U96" s="51">
        <v>0</v>
      </c>
      <c r="V96" s="50"/>
      <c r="W96" s="50"/>
    </row>
    <row r="98" spans="2:23" x14ac:dyDescent="0.2">
      <c r="B98" s="22" t="s">
        <v>153</v>
      </c>
      <c r="E98" s="22" t="s">
        <v>154</v>
      </c>
    </row>
    <row r="99" spans="2:23" x14ac:dyDescent="0.2">
      <c r="C99" s="2" t="s">
        <v>157</v>
      </c>
      <c r="E99" s="2" t="s">
        <v>155</v>
      </c>
      <c r="I99" s="2" t="s">
        <v>106</v>
      </c>
      <c r="L99" s="2" t="s">
        <v>156</v>
      </c>
      <c r="P99" s="2" t="s">
        <v>158</v>
      </c>
      <c r="T99" s="5">
        <v>-1600</v>
      </c>
      <c r="V99" s="49">
        <v>0</v>
      </c>
      <c r="W99" s="50"/>
    </row>
    <row r="100" spans="2:23" x14ac:dyDescent="0.2">
      <c r="C100" s="2" t="s">
        <v>160</v>
      </c>
      <c r="E100" s="2" t="s">
        <v>159</v>
      </c>
      <c r="I100" s="2" t="s">
        <v>106</v>
      </c>
      <c r="L100" s="2" t="s">
        <v>156</v>
      </c>
      <c r="P100" s="2" t="s">
        <v>158</v>
      </c>
      <c r="T100" s="5">
        <v>36020</v>
      </c>
      <c r="V100" s="49">
        <v>0</v>
      </c>
      <c r="W100" s="50"/>
    </row>
    <row r="101" spans="2:23" x14ac:dyDescent="0.2">
      <c r="B101" s="22" t="s">
        <v>153</v>
      </c>
      <c r="E101" s="22" t="s">
        <v>154</v>
      </c>
      <c r="S101" s="51">
        <v>34420</v>
      </c>
      <c r="T101" s="50"/>
      <c r="U101" s="51">
        <v>0</v>
      </c>
      <c r="V101" s="50"/>
      <c r="W101" s="50"/>
    </row>
    <row r="103" spans="2:23" x14ac:dyDescent="0.2">
      <c r="B103" s="22" t="s">
        <v>161</v>
      </c>
      <c r="E103" s="22" t="s">
        <v>162</v>
      </c>
    </row>
    <row r="104" spans="2:23" x14ac:dyDescent="0.2">
      <c r="C104" s="2" t="s">
        <v>165</v>
      </c>
      <c r="E104" s="2" t="s">
        <v>163</v>
      </c>
      <c r="I104" s="2" t="s">
        <v>106</v>
      </c>
      <c r="L104" s="2" t="s">
        <v>164</v>
      </c>
      <c r="P104" s="2" t="s">
        <v>166</v>
      </c>
      <c r="T104" s="5">
        <v>12000</v>
      </c>
      <c r="V104" s="49">
        <v>0</v>
      </c>
      <c r="W104" s="50"/>
    </row>
    <row r="105" spans="2:23" x14ac:dyDescent="0.2">
      <c r="C105" s="2" t="s">
        <v>169</v>
      </c>
      <c r="E105" s="2" t="s">
        <v>167</v>
      </c>
      <c r="I105" s="2" t="s">
        <v>106</v>
      </c>
      <c r="L105" s="2" t="s">
        <v>168</v>
      </c>
      <c r="P105" s="2" t="s">
        <v>170</v>
      </c>
      <c r="T105" s="5">
        <v>10000</v>
      </c>
      <c r="V105" s="49">
        <v>0</v>
      </c>
      <c r="W105" s="50"/>
    </row>
    <row r="106" spans="2:23" x14ac:dyDescent="0.2">
      <c r="C106" s="2" t="s">
        <v>46</v>
      </c>
      <c r="E106" s="2" t="s">
        <v>171</v>
      </c>
      <c r="I106" s="2" t="s">
        <v>106</v>
      </c>
      <c r="L106" s="2" t="s">
        <v>172</v>
      </c>
      <c r="P106" s="2" t="s">
        <v>173</v>
      </c>
      <c r="T106" s="5">
        <v>10000</v>
      </c>
      <c r="V106" s="49">
        <v>0</v>
      </c>
      <c r="W106" s="50"/>
    </row>
    <row r="107" spans="2:23" x14ac:dyDescent="0.2">
      <c r="C107" s="2" t="s">
        <v>176</v>
      </c>
      <c r="E107" s="2" t="s">
        <v>174</v>
      </c>
      <c r="I107" s="2" t="s">
        <v>106</v>
      </c>
      <c r="L107" s="2" t="s">
        <v>175</v>
      </c>
      <c r="P107" s="2" t="s">
        <v>177</v>
      </c>
      <c r="T107" s="5">
        <v>5000</v>
      </c>
      <c r="V107" s="49">
        <v>0</v>
      </c>
      <c r="W107" s="50"/>
    </row>
    <row r="108" spans="2:23" x14ac:dyDescent="0.2">
      <c r="B108" s="22" t="s">
        <v>161</v>
      </c>
      <c r="E108" s="22" t="s">
        <v>162</v>
      </c>
      <c r="S108" s="51">
        <v>37000</v>
      </c>
      <c r="T108" s="50"/>
      <c r="U108" s="51">
        <v>0</v>
      </c>
      <c r="V108" s="50"/>
      <c r="W108" s="50"/>
    </row>
    <row r="110" spans="2:23" x14ac:dyDescent="0.2">
      <c r="B110" s="22" t="s">
        <v>178</v>
      </c>
      <c r="E110" s="22" t="s">
        <v>179</v>
      </c>
    </row>
    <row r="111" spans="2:23" x14ac:dyDescent="0.2">
      <c r="C111" s="2" t="s">
        <v>181</v>
      </c>
      <c r="E111" s="2" t="s">
        <v>180</v>
      </c>
      <c r="I111" s="2" t="s">
        <v>19</v>
      </c>
      <c r="P111" s="2" t="s">
        <v>182</v>
      </c>
      <c r="T111" s="5">
        <v>1770</v>
      </c>
      <c r="V111" s="49">
        <v>0</v>
      </c>
      <c r="W111" s="50"/>
    </row>
    <row r="112" spans="2:23" x14ac:dyDescent="0.2">
      <c r="C112" s="2" t="s">
        <v>184</v>
      </c>
      <c r="E112" s="2" t="s">
        <v>183</v>
      </c>
      <c r="I112" s="2" t="s">
        <v>19</v>
      </c>
      <c r="P112" s="2" t="s">
        <v>182</v>
      </c>
      <c r="T112" s="5">
        <v>1635</v>
      </c>
      <c r="V112" s="49">
        <v>0</v>
      </c>
      <c r="W112" s="50"/>
    </row>
    <row r="113" spans="2:23" x14ac:dyDescent="0.2">
      <c r="C113" s="2" t="s">
        <v>186</v>
      </c>
      <c r="E113" s="2" t="s">
        <v>185</v>
      </c>
      <c r="I113" s="2" t="s">
        <v>19</v>
      </c>
      <c r="P113" s="2" t="s">
        <v>182</v>
      </c>
      <c r="T113" s="5">
        <v>1870</v>
      </c>
      <c r="V113" s="49">
        <v>0</v>
      </c>
      <c r="W113" s="50"/>
    </row>
    <row r="114" spans="2:23" x14ac:dyDescent="0.2">
      <c r="C114" s="2" t="s">
        <v>188</v>
      </c>
      <c r="E114" s="2" t="s">
        <v>187</v>
      </c>
      <c r="I114" s="2" t="s">
        <v>19</v>
      </c>
      <c r="P114" s="2" t="s">
        <v>182</v>
      </c>
      <c r="T114" s="5">
        <v>1870</v>
      </c>
      <c r="V114" s="49">
        <v>0</v>
      </c>
      <c r="W114" s="50"/>
    </row>
    <row r="115" spans="2:23" x14ac:dyDescent="0.2">
      <c r="C115" s="2" t="s">
        <v>190</v>
      </c>
      <c r="E115" s="2" t="s">
        <v>189</v>
      </c>
      <c r="I115" s="2" t="s">
        <v>19</v>
      </c>
      <c r="P115" s="2" t="s">
        <v>191</v>
      </c>
      <c r="T115" s="5">
        <v>10790</v>
      </c>
      <c r="V115" s="49">
        <v>0</v>
      </c>
      <c r="W115" s="50"/>
    </row>
    <row r="116" spans="2:23" x14ac:dyDescent="0.2">
      <c r="C116" s="2" t="s">
        <v>193</v>
      </c>
      <c r="E116" s="2" t="s">
        <v>192</v>
      </c>
      <c r="I116" s="2" t="s">
        <v>19</v>
      </c>
      <c r="P116" s="2" t="s">
        <v>194</v>
      </c>
      <c r="T116" s="5">
        <v>1770</v>
      </c>
      <c r="V116" s="49">
        <v>0</v>
      </c>
      <c r="W116" s="50"/>
    </row>
    <row r="117" spans="2:23" x14ac:dyDescent="0.2">
      <c r="C117" s="2" t="s">
        <v>196</v>
      </c>
      <c r="E117" s="2" t="s">
        <v>195</v>
      </c>
      <c r="I117" s="2" t="s">
        <v>19</v>
      </c>
      <c r="P117" s="2" t="s">
        <v>197</v>
      </c>
      <c r="T117" s="5">
        <v>1500</v>
      </c>
      <c r="V117" s="49">
        <v>0</v>
      </c>
      <c r="W117" s="50"/>
    </row>
    <row r="118" spans="2:23" x14ac:dyDescent="0.2">
      <c r="C118" s="2" t="s">
        <v>199</v>
      </c>
      <c r="E118" s="2" t="s">
        <v>198</v>
      </c>
      <c r="I118" s="2" t="s">
        <v>19</v>
      </c>
      <c r="P118" s="2" t="s">
        <v>197</v>
      </c>
      <c r="T118" s="5">
        <v>1860</v>
      </c>
      <c r="V118" s="49">
        <v>0</v>
      </c>
      <c r="W118" s="50"/>
    </row>
    <row r="119" spans="2:23" x14ac:dyDescent="0.2">
      <c r="C119" s="2" t="s">
        <v>201</v>
      </c>
      <c r="E119" s="2" t="s">
        <v>200</v>
      </c>
      <c r="I119" s="2" t="s">
        <v>19</v>
      </c>
      <c r="P119" s="2" t="s">
        <v>197</v>
      </c>
      <c r="T119" s="5">
        <v>1770</v>
      </c>
      <c r="V119" s="49">
        <v>0</v>
      </c>
      <c r="W119" s="50"/>
    </row>
    <row r="120" spans="2:23" x14ac:dyDescent="0.2">
      <c r="C120" s="2" t="s">
        <v>203</v>
      </c>
      <c r="E120" s="2" t="s">
        <v>202</v>
      </c>
      <c r="I120" s="2" t="s">
        <v>19</v>
      </c>
      <c r="P120" s="2" t="s">
        <v>197</v>
      </c>
      <c r="T120" s="5">
        <v>1890</v>
      </c>
      <c r="V120" s="49">
        <v>0</v>
      </c>
      <c r="W120" s="50"/>
    </row>
    <row r="121" spans="2:23" x14ac:dyDescent="0.2">
      <c r="C121" s="2" t="s">
        <v>205</v>
      </c>
      <c r="E121" s="2" t="s">
        <v>204</v>
      </c>
      <c r="I121" s="2" t="s">
        <v>19</v>
      </c>
      <c r="P121" s="2" t="s">
        <v>197</v>
      </c>
      <c r="T121" s="5">
        <v>1890</v>
      </c>
      <c r="V121" s="49">
        <v>0</v>
      </c>
      <c r="W121" s="50"/>
    </row>
    <row r="122" spans="2:23" x14ac:dyDescent="0.2">
      <c r="B122" s="22" t="s">
        <v>178</v>
      </c>
      <c r="E122" s="22" t="s">
        <v>179</v>
      </c>
      <c r="S122" s="51">
        <v>28615</v>
      </c>
      <c r="T122" s="50"/>
      <c r="U122" s="51">
        <v>0</v>
      </c>
      <c r="V122" s="50"/>
      <c r="W122" s="50"/>
    </row>
    <row r="124" spans="2:23" x14ac:dyDescent="0.2">
      <c r="B124" s="22" t="s">
        <v>206</v>
      </c>
      <c r="E124" s="22" t="s">
        <v>207</v>
      </c>
    </row>
    <row r="125" spans="2:23" x14ac:dyDescent="0.2">
      <c r="C125" s="2" t="s">
        <v>181</v>
      </c>
      <c r="E125" s="2" t="s">
        <v>208</v>
      </c>
      <c r="I125" s="2" t="s">
        <v>209</v>
      </c>
      <c r="P125" s="2" t="s">
        <v>210</v>
      </c>
      <c r="T125" s="5">
        <v>1200</v>
      </c>
      <c r="V125" s="49">
        <v>0</v>
      </c>
      <c r="W125" s="50"/>
    </row>
    <row r="126" spans="2:23" x14ac:dyDescent="0.2">
      <c r="C126" s="2" t="s">
        <v>184</v>
      </c>
      <c r="E126" s="2" t="s">
        <v>211</v>
      </c>
      <c r="I126" s="2" t="s">
        <v>209</v>
      </c>
      <c r="P126" s="2" t="s">
        <v>210</v>
      </c>
      <c r="T126" s="5">
        <v>1200</v>
      </c>
      <c r="V126" s="49">
        <v>0</v>
      </c>
      <c r="W126" s="50"/>
    </row>
    <row r="127" spans="2:23" ht="18" x14ac:dyDescent="0.2">
      <c r="B127" s="1" t="s">
        <v>1</v>
      </c>
      <c r="S127" s="55" t="s">
        <v>100</v>
      </c>
      <c r="T127" s="50"/>
      <c r="U127" s="50"/>
      <c r="V127" s="50"/>
      <c r="W127" s="50"/>
    </row>
    <row r="128" spans="2:23" ht="12.75" thickBot="1" x14ac:dyDescent="0.25">
      <c r="B128" s="10" t="s">
        <v>3</v>
      </c>
      <c r="C128" s="6"/>
      <c r="D128" s="6"/>
      <c r="E128" s="6"/>
      <c r="F128" s="6"/>
      <c r="G128" s="6"/>
      <c r="H128" s="6"/>
      <c r="I128" s="6"/>
      <c r="J128" s="6"/>
      <c r="K128" s="6" t="s">
        <v>5</v>
      </c>
      <c r="L128" s="6"/>
      <c r="M128" s="6"/>
      <c r="N128" s="6"/>
      <c r="O128" s="6"/>
      <c r="P128" s="6" t="s">
        <v>4</v>
      </c>
      <c r="Q128" s="6" t="s">
        <v>2730</v>
      </c>
      <c r="R128" s="6"/>
      <c r="S128" s="56" t="s">
        <v>6</v>
      </c>
      <c r="T128" s="57"/>
      <c r="U128" s="57"/>
      <c r="V128" s="57"/>
      <c r="W128" s="57"/>
    </row>
    <row r="129" spans="2:23" ht="12.75" thickTop="1" x14ac:dyDescent="0.2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2:23" x14ac:dyDescent="0.2">
      <c r="C130" s="2" t="s">
        <v>214</v>
      </c>
      <c r="E130" s="2" t="s">
        <v>213</v>
      </c>
      <c r="I130" s="2" t="s">
        <v>209</v>
      </c>
      <c r="P130" s="2" t="s">
        <v>210</v>
      </c>
      <c r="T130" s="5">
        <v>1200</v>
      </c>
      <c r="V130" s="49">
        <v>0</v>
      </c>
      <c r="W130" s="50"/>
    </row>
    <row r="131" spans="2:23" x14ac:dyDescent="0.2">
      <c r="C131" s="2" t="s">
        <v>186</v>
      </c>
      <c r="E131" s="2" t="s">
        <v>215</v>
      </c>
      <c r="I131" s="2" t="s">
        <v>209</v>
      </c>
      <c r="P131" s="2" t="s">
        <v>210</v>
      </c>
      <c r="T131" s="5">
        <v>1200</v>
      </c>
      <c r="V131" s="49">
        <v>0</v>
      </c>
      <c r="W131" s="50"/>
    </row>
    <row r="132" spans="2:23" x14ac:dyDescent="0.2">
      <c r="C132" s="2" t="s">
        <v>188</v>
      </c>
      <c r="E132" s="2" t="s">
        <v>216</v>
      </c>
      <c r="I132" s="2" t="s">
        <v>209</v>
      </c>
      <c r="P132" s="2" t="s">
        <v>210</v>
      </c>
      <c r="T132" s="5">
        <v>1200</v>
      </c>
      <c r="V132" s="49">
        <v>0</v>
      </c>
      <c r="W132" s="50"/>
    </row>
    <row r="133" spans="2:23" x14ac:dyDescent="0.2">
      <c r="C133" s="2" t="s">
        <v>218</v>
      </c>
      <c r="E133" s="2" t="s">
        <v>217</v>
      </c>
      <c r="I133" s="2" t="s">
        <v>209</v>
      </c>
      <c r="P133" s="2" t="s">
        <v>210</v>
      </c>
      <c r="T133" s="5">
        <v>9000</v>
      </c>
      <c r="V133" s="49">
        <v>0</v>
      </c>
      <c r="W133" s="50"/>
    </row>
    <row r="134" spans="2:23" x14ac:dyDescent="0.2">
      <c r="C134" s="2" t="s">
        <v>220</v>
      </c>
      <c r="E134" s="2" t="s">
        <v>219</v>
      </c>
      <c r="I134" s="2" t="s">
        <v>209</v>
      </c>
      <c r="P134" s="2" t="s">
        <v>210</v>
      </c>
      <c r="T134" s="5">
        <v>5250</v>
      </c>
      <c r="V134" s="49">
        <v>0</v>
      </c>
      <c r="W134" s="50"/>
    </row>
    <row r="135" spans="2:23" x14ac:dyDescent="0.2">
      <c r="C135" s="2" t="s">
        <v>196</v>
      </c>
      <c r="E135" s="2" t="s">
        <v>221</v>
      </c>
      <c r="I135" s="2" t="s">
        <v>209</v>
      </c>
      <c r="P135" s="2" t="s">
        <v>210</v>
      </c>
      <c r="T135" s="5">
        <v>1200</v>
      </c>
      <c r="V135" s="49">
        <v>0</v>
      </c>
      <c r="W135" s="50"/>
    </row>
    <row r="136" spans="2:23" x14ac:dyDescent="0.2">
      <c r="C136" s="2" t="s">
        <v>201</v>
      </c>
      <c r="E136" s="2" t="s">
        <v>222</v>
      </c>
      <c r="I136" s="2" t="s">
        <v>209</v>
      </c>
      <c r="P136" s="2" t="s">
        <v>210</v>
      </c>
      <c r="T136" s="5">
        <v>1200</v>
      </c>
      <c r="V136" s="49">
        <v>0</v>
      </c>
      <c r="W136" s="50"/>
    </row>
    <row r="137" spans="2:23" x14ac:dyDescent="0.2">
      <c r="C137" s="2" t="s">
        <v>203</v>
      </c>
      <c r="E137" s="2" t="s">
        <v>223</v>
      </c>
      <c r="I137" s="2" t="s">
        <v>209</v>
      </c>
      <c r="P137" s="2" t="s">
        <v>210</v>
      </c>
      <c r="T137" s="5">
        <v>1200</v>
      </c>
      <c r="V137" s="49">
        <v>0</v>
      </c>
      <c r="W137" s="50"/>
    </row>
    <row r="138" spans="2:23" x14ac:dyDescent="0.2">
      <c r="C138" s="2" t="s">
        <v>205</v>
      </c>
      <c r="E138" s="2" t="s">
        <v>224</v>
      </c>
      <c r="I138" s="2" t="s">
        <v>209</v>
      </c>
      <c r="P138" s="2" t="s">
        <v>210</v>
      </c>
      <c r="T138" s="5">
        <v>1200</v>
      </c>
      <c r="V138" s="49">
        <v>0</v>
      </c>
      <c r="W138" s="50"/>
    </row>
    <row r="139" spans="2:23" x14ac:dyDescent="0.2">
      <c r="B139" s="22" t="s">
        <v>206</v>
      </c>
      <c r="E139" s="22" t="s">
        <v>207</v>
      </c>
      <c r="S139" s="51">
        <v>25050</v>
      </c>
      <c r="T139" s="50"/>
      <c r="U139" s="51">
        <v>0</v>
      </c>
      <c r="V139" s="50"/>
      <c r="W139" s="50"/>
    </row>
    <row r="140" spans="2:23" x14ac:dyDescent="0.2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</row>
    <row r="141" spans="2:23" x14ac:dyDescent="0.2"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52">
        <v>536473.66999999993</v>
      </c>
      <c r="T141" s="53"/>
      <c r="U141" s="52">
        <v>0</v>
      </c>
      <c r="V141" s="53"/>
      <c r="W141" s="53"/>
    </row>
    <row r="142" spans="2:23" x14ac:dyDescent="0.2">
      <c r="B142" s="8"/>
      <c r="C142" s="8"/>
      <c r="D142" s="20" t="s">
        <v>81</v>
      </c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11">
        <v>536473.66999999993</v>
      </c>
      <c r="S142" s="8"/>
      <c r="T142" s="8"/>
      <c r="U142" s="8"/>
      <c r="V142" s="8"/>
      <c r="W142" s="8"/>
    </row>
    <row r="143" spans="2:23" x14ac:dyDescent="0.2"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</row>
    <row r="145" spans="2:23" ht="15" x14ac:dyDescent="0.2">
      <c r="B145" s="4" t="s">
        <v>82</v>
      </c>
    </row>
    <row r="147" spans="2:23" x14ac:dyDescent="0.2">
      <c r="B147" s="22" t="s">
        <v>225</v>
      </c>
      <c r="E147" s="22" t="s">
        <v>226</v>
      </c>
    </row>
    <row r="148" spans="2:23" x14ac:dyDescent="0.2">
      <c r="C148" s="2" t="s">
        <v>160</v>
      </c>
      <c r="E148" s="2" t="s">
        <v>227</v>
      </c>
      <c r="I148" s="2" t="s">
        <v>87</v>
      </c>
      <c r="L148" s="2" t="s">
        <v>228</v>
      </c>
      <c r="P148" s="2" t="s">
        <v>229</v>
      </c>
      <c r="T148" s="5">
        <v>0</v>
      </c>
      <c r="V148" s="49">
        <v>2000</v>
      </c>
      <c r="W148" s="50"/>
    </row>
    <row r="149" spans="2:23" x14ac:dyDescent="0.2">
      <c r="C149" s="2" t="s">
        <v>253</v>
      </c>
      <c r="E149" s="2" t="s">
        <v>251</v>
      </c>
      <c r="I149" s="2" t="s">
        <v>87</v>
      </c>
      <c r="L149" s="2" t="s">
        <v>252</v>
      </c>
      <c r="P149" s="2" t="s">
        <v>254</v>
      </c>
      <c r="T149" s="5">
        <v>0</v>
      </c>
      <c r="V149" s="49">
        <v>3000</v>
      </c>
      <c r="W149" s="50"/>
    </row>
    <row r="150" spans="2:23" x14ac:dyDescent="0.2">
      <c r="C150" s="2" t="s">
        <v>232</v>
      </c>
      <c r="E150" s="2" t="s">
        <v>230</v>
      </c>
      <c r="I150" s="2" t="s">
        <v>87</v>
      </c>
      <c r="L150" s="2" t="s">
        <v>231</v>
      </c>
      <c r="P150" s="2" t="s">
        <v>233</v>
      </c>
      <c r="T150" s="5">
        <v>0</v>
      </c>
      <c r="V150" s="49">
        <v>3000</v>
      </c>
      <c r="W150" s="50"/>
    </row>
    <row r="151" spans="2:23" x14ac:dyDescent="0.2">
      <c r="B151" s="22" t="s">
        <v>225</v>
      </c>
      <c r="E151" s="22" t="s">
        <v>226</v>
      </c>
      <c r="S151" s="51">
        <v>0</v>
      </c>
      <c r="T151" s="50"/>
      <c r="U151" s="51">
        <v>8000</v>
      </c>
      <c r="V151" s="50"/>
      <c r="W151" s="50"/>
    </row>
    <row r="153" spans="2:23" x14ac:dyDescent="0.2">
      <c r="B153" s="22" t="s">
        <v>234</v>
      </c>
      <c r="E153" s="22" t="s">
        <v>235</v>
      </c>
    </row>
    <row r="154" spans="2:23" x14ac:dyDescent="0.2">
      <c r="C154" s="2" t="s">
        <v>46</v>
      </c>
      <c r="E154" s="2" t="s">
        <v>236</v>
      </c>
      <c r="I154" s="2" t="s">
        <v>87</v>
      </c>
      <c r="L154" s="2" t="s">
        <v>237</v>
      </c>
      <c r="P154" s="2" t="s">
        <v>238</v>
      </c>
      <c r="T154" s="5">
        <v>0</v>
      </c>
      <c r="V154" s="49">
        <v>4000</v>
      </c>
      <c r="W154" s="50"/>
    </row>
    <row r="155" spans="2:23" x14ac:dyDescent="0.2">
      <c r="C155" s="2" t="s">
        <v>46</v>
      </c>
      <c r="E155" s="2" t="s">
        <v>239</v>
      </c>
      <c r="I155" s="2" t="s">
        <v>87</v>
      </c>
      <c r="L155" s="2" t="s">
        <v>240</v>
      </c>
      <c r="P155" s="2" t="s">
        <v>238</v>
      </c>
      <c r="T155" s="5">
        <v>0</v>
      </c>
      <c r="V155" s="49">
        <v>4000</v>
      </c>
      <c r="W155" s="50"/>
    </row>
    <row r="156" spans="2:23" x14ac:dyDescent="0.2">
      <c r="C156" s="2" t="s">
        <v>46</v>
      </c>
      <c r="E156" s="2" t="s">
        <v>241</v>
      </c>
      <c r="I156" s="2" t="s">
        <v>87</v>
      </c>
      <c r="L156" s="2" t="s">
        <v>242</v>
      </c>
      <c r="P156" s="2" t="s">
        <v>238</v>
      </c>
      <c r="T156" s="5">
        <v>0</v>
      </c>
      <c r="V156" s="49">
        <v>4000</v>
      </c>
      <c r="W156" s="50"/>
    </row>
    <row r="157" spans="2:23" x14ac:dyDescent="0.2">
      <c r="C157" s="2" t="s">
        <v>46</v>
      </c>
      <c r="E157" s="2" t="s">
        <v>243</v>
      </c>
      <c r="I157" s="2" t="s">
        <v>87</v>
      </c>
      <c r="L157" s="2" t="s">
        <v>244</v>
      </c>
      <c r="P157" s="2" t="s">
        <v>238</v>
      </c>
      <c r="T157" s="5">
        <v>0</v>
      </c>
      <c r="V157" s="49">
        <v>4000</v>
      </c>
      <c r="W157" s="50"/>
    </row>
    <row r="158" spans="2:23" x14ac:dyDescent="0.2">
      <c r="B158" s="22" t="s">
        <v>234</v>
      </c>
      <c r="E158" s="22" t="s">
        <v>235</v>
      </c>
      <c r="S158" s="51">
        <v>0</v>
      </c>
      <c r="T158" s="50"/>
      <c r="U158" s="51">
        <v>16000</v>
      </c>
      <c r="V158" s="50"/>
      <c r="W158" s="50"/>
    </row>
    <row r="160" spans="2:23" x14ac:dyDescent="0.2">
      <c r="B160" s="22" t="s">
        <v>245</v>
      </c>
      <c r="E160" s="22" t="s">
        <v>246</v>
      </c>
    </row>
    <row r="161" spans="2:23" x14ac:dyDescent="0.2">
      <c r="C161" s="2" t="s">
        <v>34</v>
      </c>
      <c r="E161" s="2" t="s">
        <v>247</v>
      </c>
      <c r="I161" s="2" t="s">
        <v>19</v>
      </c>
      <c r="P161" s="2" t="s">
        <v>248</v>
      </c>
      <c r="T161" s="5">
        <v>0</v>
      </c>
      <c r="V161" s="49">
        <v>1650</v>
      </c>
      <c r="W161" s="50"/>
    </row>
    <row r="162" spans="2:23" x14ac:dyDescent="0.2">
      <c r="C162" s="2" t="s">
        <v>43</v>
      </c>
      <c r="E162" s="2" t="s">
        <v>249</v>
      </c>
      <c r="I162" s="2" t="s">
        <v>19</v>
      </c>
      <c r="P162" s="2" t="s">
        <v>250</v>
      </c>
      <c r="T162" s="5">
        <v>0</v>
      </c>
      <c r="V162" s="49">
        <v>44900</v>
      </c>
      <c r="W162" s="50"/>
    </row>
    <row r="163" spans="2:23" x14ac:dyDescent="0.2">
      <c r="B163" s="22" t="s">
        <v>245</v>
      </c>
      <c r="E163" s="22" t="s">
        <v>246</v>
      </c>
      <c r="S163" s="51">
        <v>0</v>
      </c>
      <c r="T163" s="50"/>
      <c r="U163" s="51">
        <v>46550</v>
      </c>
      <c r="V163" s="50"/>
      <c r="W163" s="50"/>
    </row>
    <row r="165" spans="2:23" x14ac:dyDescent="0.2">
      <c r="B165" s="22" t="s">
        <v>89</v>
      </c>
      <c r="E165" s="22" t="s">
        <v>90</v>
      </c>
    </row>
    <row r="166" spans="2:23" x14ac:dyDescent="0.2">
      <c r="C166" s="2" t="s">
        <v>256</v>
      </c>
      <c r="E166" s="2" t="s">
        <v>255</v>
      </c>
      <c r="I166" s="2" t="s">
        <v>64</v>
      </c>
      <c r="P166" s="2" t="s">
        <v>257</v>
      </c>
      <c r="T166" s="5">
        <v>0</v>
      </c>
      <c r="V166" s="49">
        <v>4400</v>
      </c>
      <c r="W166" s="50"/>
    </row>
    <row r="167" spans="2:23" x14ac:dyDescent="0.2">
      <c r="C167" s="2" t="s">
        <v>256</v>
      </c>
      <c r="E167" s="2" t="s">
        <v>258</v>
      </c>
      <c r="I167" s="2" t="s">
        <v>64</v>
      </c>
      <c r="P167" s="2" t="s">
        <v>259</v>
      </c>
      <c r="T167" s="5">
        <v>0</v>
      </c>
      <c r="V167" s="49">
        <v>4400</v>
      </c>
      <c r="W167" s="50"/>
    </row>
    <row r="168" spans="2:23" x14ac:dyDescent="0.2">
      <c r="C168" s="2" t="s">
        <v>261</v>
      </c>
      <c r="E168" s="2" t="s">
        <v>260</v>
      </c>
      <c r="I168" s="2" t="s">
        <v>64</v>
      </c>
      <c r="P168" s="2" t="s">
        <v>262</v>
      </c>
      <c r="T168" s="5">
        <v>0</v>
      </c>
      <c r="V168" s="49">
        <v>4400</v>
      </c>
      <c r="W168" s="50"/>
    </row>
    <row r="169" spans="2:23" x14ac:dyDescent="0.2">
      <c r="C169" s="2" t="s">
        <v>264</v>
      </c>
      <c r="E169" s="2" t="s">
        <v>263</v>
      </c>
      <c r="I169" s="2" t="s">
        <v>64</v>
      </c>
      <c r="P169" s="2" t="s">
        <v>265</v>
      </c>
      <c r="T169" s="5">
        <v>0</v>
      </c>
      <c r="V169" s="49">
        <v>4400</v>
      </c>
      <c r="W169" s="50"/>
    </row>
    <row r="170" spans="2:23" x14ac:dyDescent="0.2">
      <c r="C170" s="2" t="s">
        <v>267</v>
      </c>
      <c r="E170" s="2" t="s">
        <v>266</v>
      </c>
      <c r="I170" s="2" t="s">
        <v>64</v>
      </c>
      <c r="P170" s="2" t="s">
        <v>268</v>
      </c>
      <c r="T170" s="5">
        <v>0</v>
      </c>
      <c r="V170" s="49">
        <v>2200</v>
      </c>
      <c r="W170" s="50"/>
    </row>
    <row r="171" spans="2:23" x14ac:dyDescent="0.2">
      <c r="C171" s="2" t="s">
        <v>49</v>
      </c>
      <c r="E171" s="2" t="s">
        <v>91</v>
      </c>
      <c r="I171" s="2" t="s">
        <v>19</v>
      </c>
      <c r="P171" s="2" t="s">
        <v>93</v>
      </c>
      <c r="T171" s="5">
        <v>0</v>
      </c>
      <c r="V171" s="49">
        <v>13372.55</v>
      </c>
      <c r="W171" s="50"/>
    </row>
    <row r="172" spans="2:23" x14ac:dyDescent="0.2">
      <c r="C172" s="2" t="s">
        <v>270</v>
      </c>
      <c r="E172" s="2" t="s">
        <v>269</v>
      </c>
      <c r="I172" s="2" t="s">
        <v>64</v>
      </c>
      <c r="P172" s="2" t="s">
        <v>271</v>
      </c>
      <c r="T172" s="5">
        <v>0</v>
      </c>
      <c r="V172" s="49">
        <v>4400</v>
      </c>
      <c r="W172" s="50"/>
    </row>
    <row r="173" spans="2:23" x14ac:dyDescent="0.2">
      <c r="C173" s="2" t="s">
        <v>270</v>
      </c>
      <c r="E173" s="2" t="s">
        <v>272</v>
      </c>
      <c r="I173" s="2" t="s">
        <v>64</v>
      </c>
      <c r="P173" s="2" t="s">
        <v>268</v>
      </c>
      <c r="T173" s="5">
        <v>0</v>
      </c>
      <c r="V173" s="49">
        <v>2200</v>
      </c>
      <c r="W173" s="50"/>
    </row>
    <row r="174" spans="2:23" x14ac:dyDescent="0.2">
      <c r="C174" s="2" t="s">
        <v>274</v>
      </c>
      <c r="E174" s="2" t="s">
        <v>273</v>
      </c>
      <c r="I174" s="2" t="s">
        <v>64</v>
      </c>
      <c r="P174" s="2" t="s">
        <v>275</v>
      </c>
      <c r="T174" s="5">
        <v>0</v>
      </c>
      <c r="V174" s="49">
        <v>4400</v>
      </c>
      <c r="W174" s="50"/>
    </row>
    <row r="175" spans="2:23" x14ac:dyDescent="0.2">
      <c r="C175" s="2" t="s">
        <v>277</v>
      </c>
      <c r="E175" s="2" t="s">
        <v>276</v>
      </c>
      <c r="I175" s="2" t="s">
        <v>64</v>
      </c>
      <c r="P175" s="2" t="s">
        <v>278</v>
      </c>
      <c r="T175" s="5">
        <v>0</v>
      </c>
      <c r="V175" s="49">
        <v>750</v>
      </c>
      <c r="W175" s="50"/>
    </row>
    <row r="176" spans="2:23" x14ac:dyDescent="0.2">
      <c r="C176" s="2" t="s">
        <v>277</v>
      </c>
      <c r="E176" s="2" t="s">
        <v>279</v>
      </c>
      <c r="I176" s="2" t="s">
        <v>64</v>
      </c>
      <c r="P176" s="2" t="s">
        <v>280</v>
      </c>
      <c r="T176" s="5">
        <v>0</v>
      </c>
      <c r="V176" s="49">
        <v>750</v>
      </c>
      <c r="W176" s="50"/>
    </row>
    <row r="177" spans="3:23" x14ac:dyDescent="0.2">
      <c r="C177" s="2" t="s">
        <v>282</v>
      </c>
      <c r="E177" s="2" t="s">
        <v>281</v>
      </c>
      <c r="I177" s="2" t="s">
        <v>64</v>
      </c>
      <c r="P177" s="2" t="s">
        <v>283</v>
      </c>
      <c r="T177" s="5">
        <v>0</v>
      </c>
      <c r="V177" s="49">
        <v>4400</v>
      </c>
      <c r="W177" s="50"/>
    </row>
    <row r="178" spans="3:23" x14ac:dyDescent="0.2">
      <c r="C178" s="2" t="s">
        <v>282</v>
      </c>
      <c r="E178" s="2" t="s">
        <v>284</v>
      </c>
      <c r="I178" s="2" t="s">
        <v>64</v>
      </c>
      <c r="P178" s="2" t="s">
        <v>285</v>
      </c>
      <c r="T178" s="5">
        <v>0</v>
      </c>
      <c r="V178" s="49">
        <v>750</v>
      </c>
      <c r="W178" s="50"/>
    </row>
    <row r="179" spans="3:23" x14ac:dyDescent="0.2">
      <c r="C179" s="2" t="s">
        <v>287</v>
      </c>
      <c r="E179" s="2" t="s">
        <v>286</v>
      </c>
      <c r="I179" s="2" t="s">
        <v>64</v>
      </c>
      <c r="P179" s="2" t="s">
        <v>288</v>
      </c>
      <c r="T179" s="5">
        <v>0</v>
      </c>
      <c r="V179" s="49">
        <v>750</v>
      </c>
      <c r="W179" s="50"/>
    </row>
    <row r="180" spans="3:23" x14ac:dyDescent="0.2">
      <c r="C180" s="2" t="s">
        <v>290</v>
      </c>
      <c r="E180" s="2" t="s">
        <v>289</v>
      </c>
      <c r="I180" s="2" t="s">
        <v>64</v>
      </c>
      <c r="P180" s="2" t="s">
        <v>291</v>
      </c>
      <c r="T180" s="5">
        <v>0</v>
      </c>
      <c r="V180" s="49">
        <v>750</v>
      </c>
      <c r="W180" s="50"/>
    </row>
    <row r="181" spans="3:23" x14ac:dyDescent="0.2">
      <c r="C181" s="2" t="s">
        <v>293</v>
      </c>
      <c r="E181" s="2" t="s">
        <v>292</v>
      </c>
      <c r="I181" s="2" t="s">
        <v>64</v>
      </c>
      <c r="P181" s="2" t="s">
        <v>294</v>
      </c>
      <c r="T181" s="5">
        <v>0</v>
      </c>
      <c r="V181" s="49">
        <v>750</v>
      </c>
      <c r="W181" s="50"/>
    </row>
    <row r="182" spans="3:23" x14ac:dyDescent="0.2">
      <c r="C182" s="2" t="s">
        <v>296</v>
      </c>
      <c r="E182" s="2" t="s">
        <v>295</v>
      </c>
      <c r="I182" s="2" t="s">
        <v>64</v>
      </c>
      <c r="P182" s="2" t="s">
        <v>297</v>
      </c>
      <c r="T182" s="5">
        <v>0</v>
      </c>
      <c r="V182" s="49">
        <v>4400</v>
      </c>
      <c r="W182" s="50"/>
    </row>
    <row r="183" spans="3:23" x14ac:dyDescent="0.2">
      <c r="C183" s="2" t="s">
        <v>299</v>
      </c>
      <c r="E183" s="2" t="s">
        <v>298</v>
      </c>
      <c r="I183" s="2" t="s">
        <v>64</v>
      </c>
      <c r="P183" s="2" t="s">
        <v>300</v>
      </c>
      <c r="T183" s="5">
        <v>0</v>
      </c>
      <c r="V183" s="49">
        <v>3000</v>
      </c>
      <c r="W183" s="50"/>
    </row>
    <row r="184" spans="3:23" x14ac:dyDescent="0.2">
      <c r="C184" s="2" t="s">
        <v>299</v>
      </c>
      <c r="E184" s="2" t="s">
        <v>301</v>
      </c>
      <c r="I184" s="2" t="s">
        <v>64</v>
      </c>
      <c r="P184" s="2" t="s">
        <v>302</v>
      </c>
      <c r="T184" s="5">
        <v>0</v>
      </c>
      <c r="V184" s="49">
        <v>750</v>
      </c>
      <c r="W184" s="50"/>
    </row>
    <row r="185" spans="3:23" x14ac:dyDescent="0.2">
      <c r="C185" s="2" t="s">
        <v>304</v>
      </c>
      <c r="E185" s="2" t="s">
        <v>303</v>
      </c>
      <c r="I185" s="2" t="s">
        <v>64</v>
      </c>
      <c r="P185" s="2" t="s">
        <v>305</v>
      </c>
      <c r="T185" s="5">
        <v>0</v>
      </c>
      <c r="V185" s="49">
        <v>4400</v>
      </c>
      <c r="W185" s="50"/>
    </row>
    <row r="186" spans="3:23" x14ac:dyDescent="0.2">
      <c r="C186" s="2" t="s">
        <v>307</v>
      </c>
      <c r="E186" s="2" t="s">
        <v>306</v>
      </c>
      <c r="I186" s="2" t="s">
        <v>64</v>
      </c>
      <c r="P186" s="2" t="s">
        <v>308</v>
      </c>
      <c r="T186" s="5">
        <v>0</v>
      </c>
      <c r="V186" s="49">
        <v>4400</v>
      </c>
      <c r="W186" s="50"/>
    </row>
    <row r="187" spans="3:23" x14ac:dyDescent="0.2">
      <c r="C187" s="2" t="s">
        <v>201</v>
      </c>
      <c r="E187" s="2" t="s">
        <v>309</v>
      </c>
      <c r="I187" s="2" t="s">
        <v>64</v>
      </c>
      <c r="P187" s="2" t="s">
        <v>95</v>
      </c>
      <c r="T187" s="5">
        <v>0</v>
      </c>
      <c r="V187" s="49">
        <v>2500</v>
      </c>
      <c r="W187" s="50"/>
    </row>
    <row r="188" spans="3:23" x14ac:dyDescent="0.2">
      <c r="C188" s="2" t="s">
        <v>311</v>
      </c>
      <c r="E188" s="2" t="s">
        <v>310</v>
      </c>
      <c r="I188" s="2" t="s">
        <v>64</v>
      </c>
      <c r="P188" s="2" t="s">
        <v>312</v>
      </c>
      <c r="T188" s="5">
        <v>0</v>
      </c>
      <c r="V188" s="49">
        <v>750</v>
      </c>
      <c r="W188" s="50"/>
    </row>
    <row r="189" spans="3:23" x14ac:dyDescent="0.2">
      <c r="C189" s="2" t="s">
        <v>311</v>
      </c>
      <c r="E189" s="2" t="s">
        <v>313</v>
      </c>
      <c r="I189" s="2" t="s">
        <v>64</v>
      </c>
      <c r="P189" s="2" t="s">
        <v>314</v>
      </c>
      <c r="T189" s="5">
        <v>0</v>
      </c>
      <c r="V189" s="49">
        <v>750</v>
      </c>
      <c r="W189" s="50"/>
    </row>
    <row r="190" spans="3:23" x14ac:dyDescent="0.2">
      <c r="C190" s="2" t="s">
        <v>311</v>
      </c>
      <c r="E190" s="2" t="s">
        <v>315</v>
      </c>
      <c r="I190" s="2" t="s">
        <v>64</v>
      </c>
      <c r="P190" s="2" t="s">
        <v>316</v>
      </c>
      <c r="T190" s="5">
        <v>0</v>
      </c>
      <c r="V190" s="49">
        <v>750</v>
      </c>
      <c r="W190" s="50"/>
    </row>
    <row r="191" spans="3:23" x14ac:dyDescent="0.2">
      <c r="C191" s="2" t="s">
        <v>318</v>
      </c>
      <c r="E191" s="2" t="s">
        <v>317</v>
      </c>
      <c r="I191" s="2" t="s">
        <v>64</v>
      </c>
      <c r="P191" s="2" t="s">
        <v>319</v>
      </c>
      <c r="T191" s="5">
        <v>0</v>
      </c>
      <c r="V191" s="49">
        <v>750</v>
      </c>
      <c r="W191" s="50"/>
    </row>
    <row r="192" spans="3:23" x14ac:dyDescent="0.2">
      <c r="C192" s="2" t="s">
        <v>318</v>
      </c>
      <c r="E192" s="2" t="s">
        <v>320</v>
      </c>
      <c r="I192" s="2" t="s">
        <v>64</v>
      </c>
      <c r="P192" s="2" t="s">
        <v>321</v>
      </c>
      <c r="T192" s="5">
        <v>0</v>
      </c>
      <c r="V192" s="49">
        <v>4400</v>
      </c>
      <c r="W192" s="50"/>
    </row>
    <row r="193" spans="2:23" x14ac:dyDescent="0.2">
      <c r="C193" s="2" t="s">
        <v>318</v>
      </c>
      <c r="E193" s="2" t="s">
        <v>322</v>
      </c>
      <c r="I193" s="2" t="s">
        <v>64</v>
      </c>
      <c r="P193" s="2" t="s">
        <v>323</v>
      </c>
      <c r="T193" s="5">
        <v>0</v>
      </c>
      <c r="V193" s="49">
        <v>4400</v>
      </c>
      <c r="W193" s="50"/>
    </row>
    <row r="194" spans="2:23" x14ac:dyDescent="0.2">
      <c r="C194" s="2" t="s">
        <v>318</v>
      </c>
      <c r="E194" s="2" t="s">
        <v>324</v>
      </c>
      <c r="I194" s="2" t="s">
        <v>64</v>
      </c>
      <c r="P194" s="2" t="s">
        <v>325</v>
      </c>
      <c r="T194" s="5">
        <v>0</v>
      </c>
      <c r="V194" s="49">
        <v>750</v>
      </c>
      <c r="W194" s="50"/>
    </row>
    <row r="195" spans="2:23" x14ac:dyDescent="0.2">
      <c r="C195" s="2" t="s">
        <v>318</v>
      </c>
      <c r="E195" s="2" t="s">
        <v>326</v>
      </c>
      <c r="I195" s="2" t="s">
        <v>64</v>
      </c>
      <c r="P195" s="2" t="s">
        <v>327</v>
      </c>
      <c r="T195" s="5">
        <v>0</v>
      </c>
      <c r="V195" s="49">
        <v>4400</v>
      </c>
      <c r="W195" s="50"/>
    </row>
    <row r="196" spans="2:23" x14ac:dyDescent="0.2">
      <c r="C196" s="2" t="s">
        <v>318</v>
      </c>
      <c r="E196" s="2" t="s">
        <v>329</v>
      </c>
      <c r="I196" s="2" t="s">
        <v>64</v>
      </c>
      <c r="P196" s="2" t="s">
        <v>330</v>
      </c>
      <c r="T196" s="5">
        <v>0</v>
      </c>
      <c r="V196" s="49">
        <v>750</v>
      </c>
      <c r="W196" s="50"/>
    </row>
    <row r="197" spans="2:23" x14ac:dyDescent="0.2">
      <c r="C197" s="2" t="s">
        <v>55</v>
      </c>
      <c r="E197" s="2" t="s">
        <v>331</v>
      </c>
      <c r="I197" s="2" t="s">
        <v>64</v>
      </c>
      <c r="P197" s="2" t="s">
        <v>332</v>
      </c>
      <c r="T197" s="5">
        <v>0</v>
      </c>
      <c r="V197" s="49">
        <v>2200</v>
      </c>
      <c r="W197" s="50"/>
    </row>
    <row r="198" spans="2:23" x14ac:dyDescent="0.2">
      <c r="C198" s="2" t="s">
        <v>334</v>
      </c>
      <c r="E198" s="2" t="s">
        <v>333</v>
      </c>
      <c r="I198" s="2" t="s">
        <v>64</v>
      </c>
      <c r="P198" s="2" t="s">
        <v>335</v>
      </c>
      <c r="T198" s="5">
        <v>0</v>
      </c>
      <c r="V198" s="49">
        <v>750</v>
      </c>
      <c r="W198" s="50"/>
    </row>
    <row r="199" spans="2:23" ht="18" x14ac:dyDescent="0.2">
      <c r="B199" s="1" t="s">
        <v>1</v>
      </c>
      <c r="S199" s="55" t="s">
        <v>212</v>
      </c>
      <c r="T199" s="50"/>
      <c r="U199" s="50"/>
      <c r="V199" s="50"/>
      <c r="W199" s="50"/>
    </row>
    <row r="200" spans="2:23" ht="12.75" thickBot="1" x14ac:dyDescent="0.25">
      <c r="B200" s="10" t="s">
        <v>3</v>
      </c>
      <c r="C200" s="6"/>
      <c r="D200" s="6"/>
      <c r="E200" s="6"/>
      <c r="F200" s="6"/>
      <c r="G200" s="6"/>
      <c r="H200" s="6"/>
      <c r="I200" s="6"/>
      <c r="J200" s="6"/>
      <c r="K200" s="6" t="s">
        <v>5</v>
      </c>
      <c r="L200" s="6"/>
      <c r="M200" s="6"/>
      <c r="N200" s="6"/>
      <c r="O200" s="6"/>
      <c r="P200" s="6" t="s">
        <v>4</v>
      </c>
      <c r="Q200" s="6" t="s">
        <v>2730</v>
      </c>
      <c r="R200" s="6"/>
      <c r="S200" s="56" t="s">
        <v>6</v>
      </c>
      <c r="T200" s="57"/>
      <c r="U200" s="57"/>
      <c r="V200" s="57"/>
      <c r="W200" s="57"/>
    </row>
    <row r="201" spans="2:23" ht="12.75" thickTop="1" x14ac:dyDescent="0.2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2:23" x14ac:dyDescent="0.2">
      <c r="C202" s="2" t="s">
        <v>232</v>
      </c>
      <c r="E202" s="2" t="s">
        <v>336</v>
      </c>
      <c r="I202" s="2" t="s">
        <v>64</v>
      </c>
      <c r="P202" s="2" t="s">
        <v>337</v>
      </c>
      <c r="T202" s="5">
        <v>0</v>
      </c>
      <c r="V202" s="49">
        <v>750</v>
      </c>
      <c r="W202" s="50"/>
    </row>
    <row r="203" spans="2:23" x14ac:dyDescent="0.2">
      <c r="C203" s="2" t="s">
        <v>20</v>
      </c>
      <c r="E203" s="2" t="s">
        <v>338</v>
      </c>
      <c r="I203" s="2" t="s">
        <v>19</v>
      </c>
      <c r="P203" s="2" t="s">
        <v>339</v>
      </c>
      <c r="T203" s="5">
        <v>0</v>
      </c>
      <c r="V203" s="49">
        <v>-16320.59</v>
      </c>
      <c r="W203" s="50"/>
    </row>
    <row r="204" spans="2:23" x14ac:dyDescent="0.2">
      <c r="B204" s="22" t="s">
        <v>89</v>
      </c>
      <c r="E204" s="22" t="s">
        <v>90</v>
      </c>
      <c r="S204" s="51">
        <v>0</v>
      </c>
      <c r="T204" s="50"/>
      <c r="U204" s="51">
        <v>77601.959999999992</v>
      </c>
      <c r="V204" s="50"/>
      <c r="W204" s="50"/>
    </row>
    <row r="205" spans="2:23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</row>
    <row r="206" spans="2:23" x14ac:dyDescent="0.2"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52">
        <v>0</v>
      </c>
      <c r="T206" s="53"/>
      <c r="U206" s="52">
        <v>148151.96</v>
      </c>
      <c r="V206" s="53"/>
      <c r="W206" s="53"/>
    </row>
    <row r="207" spans="2:23" x14ac:dyDescent="0.2">
      <c r="B207" s="8"/>
      <c r="C207" s="8"/>
      <c r="D207" s="20" t="s">
        <v>96</v>
      </c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11">
        <v>148151.96</v>
      </c>
      <c r="S207" s="8"/>
      <c r="T207" s="8"/>
      <c r="U207" s="8"/>
      <c r="V207" s="8"/>
      <c r="W207" s="8"/>
    </row>
    <row r="208" spans="2:23" x14ac:dyDescent="0.2"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</row>
    <row r="209" spans="2:23" x14ac:dyDescent="0.2">
      <c r="B209" s="22" t="s">
        <v>7</v>
      </c>
      <c r="D209" s="22" t="s">
        <v>101</v>
      </c>
      <c r="O209" s="20" t="s">
        <v>97</v>
      </c>
      <c r="P209" s="8"/>
      <c r="Q209" s="8"/>
      <c r="R209" s="11">
        <v>-388321.71</v>
      </c>
    </row>
    <row r="210" spans="2:23" x14ac:dyDescent="0.2">
      <c r="O210" s="9"/>
      <c r="P210" s="9"/>
      <c r="Q210" s="9"/>
      <c r="R210" s="9"/>
    </row>
    <row r="211" spans="2:23" x14ac:dyDescent="0.2">
      <c r="B211" s="2" t="s">
        <v>98</v>
      </c>
    </row>
    <row r="213" spans="2:23" ht="24" customHeight="1" x14ac:dyDescent="0.2">
      <c r="B213" s="54" t="s">
        <v>0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</row>
    <row r="214" spans="2:23" ht="18" x14ac:dyDescent="0.2">
      <c r="B214" s="1" t="s">
        <v>1</v>
      </c>
      <c r="S214" s="55" t="s">
        <v>328</v>
      </c>
      <c r="T214" s="50"/>
      <c r="U214" s="50"/>
      <c r="V214" s="50"/>
      <c r="W214" s="50"/>
    </row>
    <row r="215" spans="2:23" ht="12.75" thickBot="1" x14ac:dyDescent="0.25">
      <c r="B215" s="10" t="s">
        <v>3</v>
      </c>
      <c r="C215" s="6"/>
      <c r="D215" s="6"/>
      <c r="E215" s="6"/>
      <c r="F215" s="6"/>
      <c r="G215" s="6"/>
      <c r="H215" s="6"/>
      <c r="I215" s="6"/>
      <c r="J215" s="6"/>
      <c r="K215" s="6" t="s">
        <v>5</v>
      </c>
      <c r="L215" s="6"/>
      <c r="M215" s="6"/>
      <c r="N215" s="6"/>
      <c r="O215" s="6"/>
      <c r="P215" s="6" t="s">
        <v>4</v>
      </c>
      <c r="Q215" s="6" t="s">
        <v>2730</v>
      </c>
      <c r="R215" s="6"/>
      <c r="S215" s="56" t="s">
        <v>6</v>
      </c>
      <c r="T215" s="57"/>
      <c r="U215" s="57"/>
      <c r="V215" s="57"/>
      <c r="W215" s="57"/>
    </row>
    <row r="216" spans="2:23" ht="12.75" thickTop="1" x14ac:dyDescent="0.2"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</row>
    <row r="217" spans="2:23" ht="15.75" x14ac:dyDescent="0.2">
      <c r="B217" s="3" t="s">
        <v>7</v>
      </c>
      <c r="F217" s="3" t="s">
        <v>341</v>
      </c>
    </row>
    <row r="219" spans="2:23" x14ac:dyDescent="0.2">
      <c r="B219" s="8"/>
      <c r="C219" s="20" t="s">
        <v>8</v>
      </c>
      <c r="D219" s="8"/>
      <c r="E219" s="20" t="s">
        <v>9</v>
      </c>
      <c r="F219" s="8"/>
      <c r="G219" s="8"/>
      <c r="H219" s="8"/>
      <c r="I219" s="20" t="s">
        <v>13</v>
      </c>
      <c r="J219" s="8"/>
      <c r="K219" s="8"/>
      <c r="L219" s="20" t="s">
        <v>12</v>
      </c>
      <c r="M219" s="8"/>
      <c r="N219" s="8"/>
      <c r="O219" s="8"/>
      <c r="P219" s="20" t="s">
        <v>14</v>
      </c>
      <c r="Q219" s="8"/>
      <c r="R219" s="8"/>
      <c r="S219" s="8"/>
      <c r="T219" s="21" t="s">
        <v>11</v>
      </c>
      <c r="U219" s="8"/>
      <c r="V219" s="58" t="s">
        <v>10</v>
      </c>
      <c r="W219" s="59"/>
    </row>
    <row r="220" spans="2:23" x14ac:dyDescent="0.2"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</row>
    <row r="221" spans="2:23" ht="15" x14ac:dyDescent="0.2">
      <c r="B221" s="4" t="s">
        <v>15</v>
      </c>
    </row>
    <row r="223" spans="2:23" x14ac:dyDescent="0.2">
      <c r="B223" s="22" t="s">
        <v>178</v>
      </c>
      <c r="E223" s="22" t="s">
        <v>179</v>
      </c>
    </row>
    <row r="224" spans="2:23" x14ac:dyDescent="0.2">
      <c r="C224" s="2" t="s">
        <v>343</v>
      </c>
      <c r="E224" s="2" t="s">
        <v>342</v>
      </c>
      <c r="I224" s="2" t="s">
        <v>19</v>
      </c>
      <c r="P224" s="2" t="s">
        <v>344</v>
      </c>
      <c r="T224" s="5">
        <v>3160</v>
      </c>
      <c r="V224" s="49">
        <v>0</v>
      </c>
      <c r="W224" s="50"/>
    </row>
    <row r="225" spans="2:23" x14ac:dyDescent="0.2">
      <c r="C225" s="2" t="s">
        <v>203</v>
      </c>
      <c r="E225" s="2" t="s">
        <v>345</v>
      </c>
      <c r="I225" s="2" t="s">
        <v>19</v>
      </c>
      <c r="P225" s="2" t="s">
        <v>344</v>
      </c>
      <c r="T225" s="5">
        <v>4625</v>
      </c>
      <c r="V225" s="49">
        <v>0</v>
      </c>
      <c r="W225" s="50"/>
    </row>
    <row r="226" spans="2:23" x14ac:dyDescent="0.2">
      <c r="B226" s="22" t="s">
        <v>178</v>
      </c>
      <c r="E226" s="22" t="s">
        <v>179</v>
      </c>
      <c r="S226" s="51">
        <v>7785</v>
      </c>
      <c r="T226" s="50"/>
      <c r="U226" s="51">
        <v>0</v>
      </c>
      <c r="V226" s="50"/>
      <c r="W226" s="50"/>
    </row>
    <row r="227" spans="2:23" x14ac:dyDescent="0.2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</row>
    <row r="228" spans="2:23" x14ac:dyDescent="0.2"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52">
        <v>7785</v>
      </c>
      <c r="T228" s="53"/>
      <c r="U228" s="52">
        <v>0</v>
      </c>
      <c r="V228" s="53"/>
      <c r="W228" s="53"/>
    </row>
    <row r="229" spans="2:23" x14ac:dyDescent="0.2">
      <c r="B229" s="8"/>
      <c r="C229" s="8"/>
      <c r="D229" s="20" t="s">
        <v>81</v>
      </c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11">
        <v>7785</v>
      </c>
      <c r="S229" s="8"/>
      <c r="T229" s="8"/>
      <c r="U229" s="8"/>
      <c r="V229" s="8"/>
      <c r="W229" s="8"/>
    </row>
    <row r="230" spans="2:23" x14ac:dyDescent="0.2"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</row>
    <row r="232" spans="2:23" ht="15" x14ac:dyDescent="0.2">
      <c r="B232" s="4" t="s">
        <v>82</v>
      </c>
    </row>
    <row r="234" spans="2:23" x14ac:dyDescent="0.2">
      <c r="B234" s="22" t="s">
        <v>89</v>
      </c>
      <c r="E234" s="22" t="s">
        <v>90</v>
      </c>
    </row>
    <row r="235" spans="2:23" x14ac:dyDescent="0.2">
      <c r="C235" s="2" t="s">
        <v>261</v>
      </c>
      <c r="E235" s="2" t="s">
        <v>346</v>
      </c>
      <c r="I235" s="2" t="s">
        <v>64</v>
      </c>
      <c r="P235" s="2" t="s">
        <v>347</v>
      </c>
      <c r="T235" s="5">
        <v>0</v>
      </c>
      <c r="V235" s="49">
        <v>750</v>
      </c>
      <c r="W235" s="50"/>
    </row>
    <row r="236" spans="2:23" x14ac:dyDescent="0.2">
      <c r="C236" s="2" t="s">
        <v>49</v>
      </c>
      <c r="E236" s="2" t="s">
        <v>91</v>
      </c>
      <c r="I236" s="2" t="s">
        <v>19</v>
      </c>
      <c r="P236" s="2" t="s">
        <v>93</v>
      </c>
      <c r="T236" s="5">
        <v>0</v>
      </c>
      <c r="V236" s="49">
        <v>6584.9699999999993</v>
      </c>
      <c r="W236" s="50"/>
    </row>
    <row r="237" spans="2:23" x14ac:dyDescent="0.2">
      <c r="C237" s="2" t="s">
        <v>349</v>
      </c>
      <c r="E237" s="2" t="s">
        <v>348</v>
      </c>
      <c r="I237" s="2" t="s">
        <v>64</v>
      </c>
      <c r="P237" s="2" t="s">
        <v>350</v>
      </c>
      <c r="T237" s="5">
        <v>0</v>
      </c>
      <c r="V237" s="49">
        <v>750</v>
      </c>
      <c r="W237" s="50"/>
    </row>
    <row r="238" spans="2:23" x14ac:dyDescent="0.2">
      <c r="C238" s="2" t="s">
        <v>352</v>
      </c>
      <c r="E238" s="2" t="s">
        <v>351</v>
      </c>
      <c r="I238" s="2" t="s">
        <v>64</v>
      </c>
      <c r="P238" s="2" t="s">
        <v>353</v>
      </c>
      <c r="T238" s="5">
        <v>0</v>
      </c>
      <c r="V238" s="49">
        <v>35000</v>
      </c>
      <c r="W238" s="50"/>
    </row>
    <row r="239" spans="2:23" x14ac:dyDescent="0.2">
      <c r="C239" s="2" t="s">
        <v>20</v>
      </c>
      <c r="E239" s="2" t="s">
        <v>338</v>
      </c>
      <c r="I239" s="2" t="s">
        <v>19</v>
      </c>
      <c r="P239" s="2" t="s">
        <v>339</v>
      </c>
      <c r="T239" s="5">
        <v>0</v>
      </c>
      <c r="V239" s="49">
        <v>-7395.42</v>
      </c>
      <c r="W239" s="50"/>
    </row>
    <row r="240" spans="2:23" x14ac:dyDescent="0.2">
      <c r="B240" s="22" t="s">
        <v>89</v>
      </c>
      <c r="E240" s="22" t="s">
        <v>90</v>
      </c>
      <c r="S240" s="51">
        <v>0</v>
      </c>
      <c r="T240" s="50"/>
      <c r="U240" s="51">
        <v>35689.550000000003</v>
      </c>
      <c r="V240" s="50"/>
      <c r="W240" s="50"/>
    </row>
    <row r="241" spans="2:23" x14ac:dyDescent="0.2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</row>
    <row r="242" spans="2:23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52">
        <v>0</v>
      </c>
      <c r="T242" s="53"/>
      <c r="U242" s="52">
        <v>35689.550000000003</v>
      </c>
      <c r="V242" s="53"/>
      <c r="W242" s="53"/>
    </row>
    <row r="243" spans="2:23" x14ac:dyDescent="0.2">
      <c r="B243" s="8"/>
      <c r="C243" s="8"/>
      <c r="D243" s="20" t="s">
        <v>96</v>
      </c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11">
        <v>35689.550000000003</v>
      </c>
      <c r="S243" s="8"/>
      <c r="T243" s="8"/>
      <c r="U243" s="8"/>
      <c r="V243" s="8"/>
      <c r="W243" s="8"/>
    </row>
    <row r="244" spans="2:23" x14ac:dyDescent="0.2"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</row>
    <row r="245" spans="2:23" x14ac:dyDescent="0.2">
      <c r="B245" s="22" t="s">
        <v>7</v>
      </c>
      <c r="D245" s="22" t="s">
        <v>341</v>
      </c>
      <c r="O245" s="20" t="s">
        <v>97</v>
      </c>
      <c r="P245" s="8"/>
      <c r="Q245" s="8"/>
      <c r="R245" s="11">
        <v>27904.55</v>
      </c>
    </row>
    <row r="246" spans="2:23" x14ac:dyDescent="0.2">
      <c r="O246" s="9"/>
      <c r="P246" s="9"/>
      <c r="Q246" s="9"/>
      <c r="R246" s="9"/>
    </row>
    <row r="247" spans="2:23" x14ac:dyDescent="0.2">
      <c r="B247" s="2" t="s">
        <v>98</v>
      </c>
    </row>
    <row r="249" spans="2:23" ht="24" customHeight="1" x14ac:dyDescent="0.2">
      <c r="B249" s="54" t="s">
        <v>0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</row>
    <row r="250" spans="2:23" ht="18" x14ac:dyDescent="0.2">
      <c r="B250" s="1" t="s">
        <v>1</v>
      </c>
      <c r="S250" s="55" t="s">
        <v>340</v>
      </c>
      <c r="T250" s="50"/>
      <c r="U250" s="50"/>
      <c r="V250" s="50"/>
      <c r="W250" s="50"/>
    </row>
    <row r="251" spans="2:23" ht="12.75" thickBot="1" x14ac:dyDescent="0.25">
      <c r="B251" s="10" t="s">
        <v>3</v>
      </c>
      <c r="C251" s="6"/>
      <c r="D251" s="6"/>
      <c r="E251" s="6"/>
      <c r="F251" s="6"/>
      <c r="G251" s="6"/>
      <c r="H251" s="6"/>
      <c r="I251" s="6"/>
      <c r="J251" s="6"/>
      <c r="K251" s="6" t="s">
        <v>5</v>
      </c>
      <c r="L251" s="6"/>
      <c r="M251" s="6"/>
      <c r="N251" s="6"/>
      <c r="O251" s="6"/>
      <c r="P251" s="6" t="s">
        <v>4</v>
      </c>
      <c r="Q251" s="6" t="s">
        <v>2730</v>
      </c>
      <c r="R251" s="6"/>
      <c r="S251" s="56" t="s">
        <v>6</v>
      </c>
      <c r="T251" s="57"/>
      <c r="U251" s="57"/>
      <c r="V251" s="57"/>
      <c r="W251" s="57"/>
    </row>
    <row r="252" spans="2:23" ht="12.75" thickTop="1" x14ac:dyDescent="0.2"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</row>
    <row r="253" spans="2:23" ht="15.75" x14ac:dyDescent="0.2">
      <c r="B253" s="3" t="s">
        <v>7</v>
      </c>
      <c r="F253" s="3" t="s">
        <v>355</v>
      </c>
    </row>
    <row r="255" spans="2:23" x14ac:dyDescent="0.2">
      <c r="B255" s="8"/>
      <c r="C255" s="20" t="s">
        <v>8</v>
      </c>
      <c r="D255" s="8"/>
      <c r="E255" s="20" t="s">
        <v>9</v>
      </c>
      <c r="F255" s="8"/>
      <c r="G255" s="8"/>
      <c r="H255" s="8"/>
      <c r="I255" s="20" t="s">
        <v>13</v>
      </c>
      <c r="J255" s="8"/>
      <c r="K255" s="8"/>
      <c r="L255" s="20" t="s">
        <v>12</v>
      </c>
      <c r="M255" s="8"/>
      <c r="N255" s="8"/>
      <c r="O255" s="8"/>
      <c r="P255" s="20" t="s">
        <v>14</v>
      </c>
      <c r="Q255" s="8"/>
      <c r="R255" s="8"/>
      <c r="S255" s="8"/>
      <c r="T255" s="21" t="s">
        <v>11</v>
      </c>
      <c r="U255" s="8"/>
      <c r="V255" s="58" t="s">
        <v>10</v>
      </c>
      <c r="W255" s="59"/>
    </row>
    <row r="256" spans="2:23" x14ac:dyDescent="0.2"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</row>
    <row r="257" spans="2:23" ht="15" x14ac:dyDescent="0.2">
      <c r="B257" s="4" t="s">
        <v>15</v>
      </c>
    </row>
    <row r="259" spans="2:23" x14ac:dyDescent="0.2">
      <c r="B259" s="22" t="s">
        <v>102</v>
      </c>
      <c r="E259" s="22" t="s">
        <v>103</v>
      </c>
    </row>
    <row r="260" spans="2:23" x14ac:dyDescent="0.2">
      <c r="C260" s="2" t="s">
        <v>357</v>
      </c>
      <c r="E260" s="2" t="s">
        <v>356</v>
      </c>
      <c r="I260" s="2" t="s">
        <v>209</v>
      </c>
      <c r="P260" s="2" t="s">
        <v>358</v>
      </c>
      <c r="T260" s="5">
        <v>3300</v>
      </c>
      <c r="V260" s="49">
        <v>0</v>
      </c>
      <c r="W260" s="50"/>
    </row>
    <row r="261" spans="2:23" x14ac:dyDescent="0.2">
      <c r="B261" s="22" t="s">
        <v>102</v>
      </c>
      <c r="E261" s="22" t="s">
        <v>103</v>
      </c>
      <c r="S261" s="51">
        <v>3300</v>
      </c>
      <c r="T261" s="50"/>
      <c r="U261" s="51">
        <v>0</v>
      </c>
      <c r="V261" s="50"/>
      <c r="W261" s="50"/>
    </row>
    <row r="263" spans="2:23" x14ac:dyDescent="0.2">
      <c r="B263" s="22" t="s">
        <v>109</v>
      </c>
      <c r="E263" s="22" t="s">
        <v>110</v>
      </c>
    </row>
    <row r="264" spans="2:23" x14ac:dyDescent="0.2">
      <c r="C264" s="2" t="s">
        <v>25</v>
      </c>
      <c r="E264" s="2" t="s">
        <v>359</v>
      </c>
      <c r="I264" s="2" t="s">
        <v>106</v>
      </c>
      <c r="L264" s="2" t="s">
        <v>360</v>
      </c>
      <c r="P264" s="2" t="s">
        <v>361</v>
      </c>
      <c r="T264" s="5">
        <v>7000</v>
      </c>
      <c r="V264" s="49">
        <v>0</v>
      </c>
      <c r="W264" s="50"/>
    </row>
    <row r="265" spans="2:23" x14ac:dyDescent="0.2">
      <c r="C265" s="2" t="s">
        <v>28</v>
      </c>
      <c r="E265" s="2" t="s">
        <v>362</v>
      </c>
      <c r="I265" s="2" t="s">
        <v>106</v>
      </c>
      <c r="L265" s="2" t="s">
        <v>360</v>
      </c>
      <c r="P265" s="2" t="s">
        <v>363</v>
      </c>
      <c r="T265" s="5">
        <v>7000</v>
      </c>
      <c r="V265" s="49">
        <v>0</v>
      </c>
      <c r="W265" s="50"/>
    </row>
    <row r="266" spans="2:23" x14ac:dyDescent="0.2">
      <c r="C266" s="2" t="s">
        <v>31</v>
      </c>
      <c r="E266" s="2" t="s">
        <v>364</v>
      </c>
      <c r="I266" s="2" t="s">
        <v>106</v>
      </c>
      <c r="L266" s="2" t="s">
        <v>360</v>
      </c>
      <c r="P266" s="2" t="s">
        <v>365</v>
      </c>
      <c r="T266" s="5">
        <v>7000</v>
      </c>
      <c r="V266" s="49">
        <v>0</v>
      </c>
      <c r="W266" s="50"/>
    </row>
    <row r="267" spans="2:23" x14ac:dyDescent="0.2">
      <c r="C267" s="2" t="s">
        <v>34</v>
      </c>
      <c r="E267" s="2" t="s">
        <v>366</v>
      </c>
      <c r="I267" s="2" t="s">
        <v>106</v>
      </c>
      <c r="L267" s="2" t="s">
        <v>360</v>
      </c>
      <c r="P267" s="2" t="s">
        <v>367</v>
      </c>
      <c r="T267" s="5">
        <v>7000</v>
      </c>
      <c r="V267" s="49">
        <v>0</v>
      </c>
      <c r="W267" s="50"/>
    </row>
    <row r="268" spans="2:23" x14ac:dyDescent="0.2">
      <c r="C268" s="2" t="s">
        <v>37</v>
      </c>
      <c r="E268" s="2" t="s">
        <v>368</v>
      </c>
      <c r="I268" s="2" t="s">
        <v>106</v>
      </c>
      <c r="L268" s="2" t="s">
        <v>360</v>
      </c>
      <c r="P268" s="2" t="s">
        <v>369</v>
      </c>
      <c r="T268" s="5">
        <v>7000</v>
      </c>
      <c r="V268" s="49">
        <v>0</v>
      </c>
      <c r="W268" s="50"/>
    </row>
    <row r="269" spans="2:23" x14ac:dyDescent="0.2">
      <c r="C269" s="2" t="s">
        <v>371</v>
      </c>
      <c r="E269" s="2" t="s">
        <v>370</v>
      </c>
      <c r="I269" s="2" t="s">
        <v>106</v>
      </c>
      <c r="L269" s="2" t="s">
        <v>360</v>
      </c>
      <c r="P269" s="2" t="s">
        <v>372</v>
      </c>
      <c r="T269" s="5">
        <v>5500</v>
      </c>
      <c r="V269" s="49">
        <v>0</v>
      </c>
      <c r="W269" s="50"/>
    </row>
    <row r="270" spans="2:23" x14ac:dyDescent="0.2">
      <c r="C270" s="2" t="s">
        <v>40</v>
      </c>
      <c r="E270" s="2" t="s">
        <v>373</v>
      </c>
      <c r="I270" s="2" t="s">
        <v>106</v>
      </c>
      <c r="L270" s="2" t="s">
        <v>360</v>
      </c>
      <c r="P270" s="2" t="s">
        <v>374</v>
      </c>
      <c r="T270" s="5">
        <v>5000</v>
      </c>
      <c r="V270" s="49">
        <v>0</v>
      </c>
      <c r="W270" s="50"/>
    </row>
    <row r="271" spans="2:23" x14ac:dyDescent="0.2">
      <c r="B271" s="22" t="s">
        <v>109</v>
      </c>
      <c r="E271" s="22" t="s">
        <v>110</v>
      </c>
      <c r="S271" s="51">
        <v>45500</v>
      </c>
      <c r="T271" s="50"/>
      <c r="U271" s="51">
        <v>0</v>
      </c>
      <c r="V271" s="50"/>
      <c r="W271" s="50"/>
    </row>
    <row r="273" spans="2:23" x14ac:dyDescent="0.2">
      <c r="B273" s="22" t="s">
        <v>16</v>
      </c>
      <c r="E273" s="22" t="s">
        <v>17</v>
      </c>
    </row>
    <row r="274" spans="2:23" x14ac:dyDescent="0.2">
      <c r="C274" s="2" t="s">
        <v>20</v>
      </c>
      <c r="E274" s="2" t="s">
        <v>18</v>
      </c>
      <c r="I274" s="2" t="s">
        <v>19</v>
      </c>
      <c r="P274" s="2" t="s">
        <v>21</v>
      </c>
      <c r="T274" s="5">
        <v>120839.23</v>
      </c>
      <c r="V274" s="49">
        <v>0</v>
      </c>
      <c r="W274" s="50"/>
    </row>
    <row r="275" spans="2:23" x14ac:dyDescent="0.2">
      <c r="B275" s="22" t="s">
        <v>16</v>
      </c>
      <c r="E275" s="22" t="s">
        <v>17</v>
      </c>
      <c r="S275" s="51">
        <v>120839.23</v>
      </c>
      <c r="T275" s="50"/>
      <c r="U275" s="51">
        <v>0</v>
      </c>
      <c r="V275" s="50"/>
      <c r="W275" s="50"/>
    </row>
    <row r="277" spans="2:23" x14ac:dyDescent="0.2">
      <c r="B277" s="22" t="s">
        <v>178</v>
      </c>
      <c r="E277" s="22" t="s">
        <v>179</v>
      </c>
    </row>
    <row r="278" spans="2:23" x14ac:dyDescent="0.2">
      <c r="C278" s="2" t="s">
        <v>376</v>
      </c>
      <c r="E278" s="2" t="s">
        <v>375</v>
      </c>
      <c r="I278" s="2" t="s">
        <v>19</v>
      </c>
      <c r="P278" s="2" t="s">
        <v>377</v>
      </c>
      <c r="T278" s="5">
        <v>2120</v>
      </c>
      <c r="V278" s="49">
        <v>0</v>
      </c>
      <c r="W278" s="50"/>
    </row>
    <row r="279" spans="2:23" x14ac:dyDescent="0.2">
      <c r="C279" s="2" t="s">
        <v>379</v>
      </c>
      <c r="E279" s="2" t="s">
        <v>378</v>
      </c>
      <c r="I279" s="2" t="s">
        <v>19</v>
      </c>
      <c r="P279" s="2" t="s">
        <v>377</v>
      </c>
      <c r="T279" s="5">
        <v>2345</v>
      </c>
      <c r="V279" s="49">
        <v>0</v>
      </c>
      <c r="W279" s="50"/>
    </row>
    <row r="280" spans="2:23" x14ac:dyDescent="0.2">
      <c r="C280" s="2" t="s">
        <v>381</v>
      </c>
      <c r="E280" s="2" t="s">
        <v>380</v>
      </c>
      <c r="I280" s="2" t="s">
        <v>19</v>
      </c>
      <c r="P280" s="2" t="s">
        <v>377</v>
      </c>
      <c r="T280" s="5">
        <v>1675</v>
      </c>
      <c r="V280" s="49">
        <v>0</v>
      </c>
      <c r="W280" s="50"/>
    </row>
    <row r="281" spans="2:23" x14ac:dyDescent="0.2">
      <c r="C281" s="2" t="s">
        <v>383</v>
      </c>
      <c r="E281" s="2" t="s">
        <v>382</v>
      </c>
      <c r="I281" s="2" t="s">
        <v>19</v>
      </c>
      <c r="P281" s="2" t="s">
        <v>377</v>
      </c>
      <c r="T281" s="5">
        <v>2205</v>
      </c>
      <c r="V281" s="49">
        <v>0</v>
      </c>
      <c r="W281" s="50"/>
    </row>
    <row r="282" spans="2:23" x14ac:dyDescent="0.2">
      <c r="C282" s="2" t="s">
        <v>385</v>
      </c>
      <c r="E282" s="2" t="s">
        <v>384</v>
      </c>
      <c r="I282" s="2" t="s">
        <v>19</v>
      </c>
      <c r="P282" s="2" t="s">
        <v>377</v>
      </c>
      <c r="T282" s="5">
        <v>2305</v>
      </c>
      <c r="V282" s="49">
        <v>0</v>
      </c>
      <c r="W282" s="50"/>
    </row>
    <row r="283" spans="2:23" x14ac:dyDescent="0.2">
      <c r="C283" s="2" t="s">
        <v>387</v>
      </c>
      <c r="E283" s="2" t="s">
        <v>386</v>
      </c>
      <c r="I283" s="2" t="s">
        <v>19</v>
      </c>
      <c r="P283" s="2" t="s">
        <v>377</v>
      </c>
      <c r="T283" s="5">
        <v>1760</v>
      </c>
      <c r="V283" s="49">
        <v>0</v>
      </c>
      <c r="W283" s="50"/>
    </row>
    <row r="284" spans="2:23" x14ac:dyDescent="0.2">
      <c r="C284" s="2" t="s">
        <v>389</v>
      </c>
      <c r="E284" s="2" t="s">
        <v>388</v>
      </c>
      <c r="I284" s="2" t="s">
        <v>19</v>
      </c>
      <c r="P284" s="2" t="s">
        <v>377</v>
      </c>
      <c r="T284" s="5">
        <v>5320</v>
      </c>
      <c r="V284" s="49">
        <v>0</v>
      </c>
      <c r="W284" s="50"/>
    </row>
    <row r="285" spans="2:23" x14ac:dyDescent="0.2">
      <c r="B285" s="22" t="s">
        <v>178</v>
      </c>
      <c r="E285" s="22" t="s">
        <v>179</v>
      </c>
      <c r="S285" s="51">
        <v>17730</v>
      </c>
      <c r="T285" s="50"/>
      <c r="U285" s="51">
        <v>0</v>
      </c>
      <c r="V285" s="50"/>
      <c r="W285" s="50"/>
    </row>
    <row r="287" spans="2:23" x14ac:dyDescent="0.2">
      <c r="B287" s="22" t="s">
        <v>206</v>
      </c>
      <c r="E287" s="22" t="s">
        <v>207</v>
      </c>
    </row>
    <row r="288" spans="2:23" x14ac:dyDescent="0.2">
      <c r="C288" s="2" t="s">
        <v>391</v>
      </c>
      <c r="E288" s="2" t="s">
        <v>390</v>
      </c>
      <c r="I288" s="2" t="s">
        <v>209</v>
      </c>
      <c r="P288" s="2" t="s">
        <v>210</v>
      </c>
      <c r="T288" s="5">
        <v>1200</v>
      </c>
      <c r="V288" s="49">
        <v>0</v>
      </c>
      <c r="W288" s="50"/>
    </row>
    <row r="289" spans="2:23" x14ac:dyDescent="0.2">
      <c r="C289" s="2" t="s">
        <v>376</v>
      </c>
      <c r="E289" s="2" t="s">
        <v>392</v>
      </c>
      <c r="I289" s="2" t="s">
        <v>209</v>
      </c>
      <c r="P289" s="2" t="s">
        <v>210</v>
      </c>
      <c r="T289" s="5">
        <v>1200</v>
      </c>
      <c r="V289" s="49">
        <v>0</v>
      </c>
      <c r="W289" s="50"/>
    </row>
    <row r="290" spans="2:23" x14ac:dyDescent="0.2">
      <c r="C290" s="2" t="s">
        <v>379</v>
      </c>
      <c r="E290" s="2" t="s">
        <v>393</v>
      </c>
      <c r="I290" s="2" t="s">
        <v>209</v>
      </c>
      <c r="P290" s="2" t="s">
        <v>210</v>
      </c>
      <c r="T290" s="5">
        <v>1200</v>
      </c>
      <c r="V290" s="49">
        <v>0</v>
      </c>
      <c r="W290" s="50"/>
    </row>
    <row r="291" spans="2:23" x14ac:dyDescent="0.2">
      <c r="C291" s="2" t="s">
        <v>381</v>
      </c>
      <c r="E291" s="2" t="s">
        <v>394</v>
      </c>
      <c r="I291" s="2" t="s">
        <v>209</v>
      </c>
      <c r="P291" s="2" t="s">
        <v>210</v>
      </c>
      <c r="T291" s="5">
        <v>1200</v>
      </c>
      <c r="V291" s="49">
        <v>0</v>
      </c>
      <c r="W291" s="50"/>
    </row>
    <row r="292" spans="2:23" x14ac:dyDescent="0.2">
      <c r="C292" s="2" t="s">
        <v>383</v>
      </c>
      <c r="E292" s="2" t="s">
        <v>395</v>
      </c>
      <c r="I292" s="2" t="s">
        <v>209</v>
      </c>
      <c r="P292" s="2" t="s">
        <v>210</v>
      </c>
      <c r="T292" s="5">
        <v>1200</v>
      </c>
      <c r="V292" s="49">
        <v>0</v>
      </c>
      <c r="W292" s="50"/>
    </row>
    <row r="293" spans="2:23" x14ac:dyDescent="0.2">
      <c r="C293" s="2" t="s">
        <v>385</v>
      </c>
      <c r="E293" s="2" t="s">
        <v>396</v>
      </c>
      <c r="I293" s="2" t="s">
        <v>209</v>
      </c>
      <c r="P293" s="2" t="s">
        <v>210</v>
      </c>
      <c r="T293" s="5">
        <v>1200</v>
      </c>
      <c r="V293" s="49">
        <v>0</v>
      </c>
      <c r="W293" s="50"/>
    </row>
    <row r="294" spans="2:23" x14ac:dyDescent="0.2">
      <c r="C294" s="2" t="s">
        <v>387</v>
      </c>
      <c r="E294" s="2" t="s">
        <v>397</v>
      </c>
      <c r="I294" s="2" t="s">
        <v>209</v>
      </c>
      <c r="P294" s="2" t="s">
        <v>210</v>
      </c>
      <c r="T294" s="5">
        <v>1200</v>
      </c>
      <c r="V294" s="49">
        <v>0</v>
      </c>
      <c r="W294" s="50"/>
    </row>
    <row r="295" spans="2:23" x14ac:dyDescent="0.2">
      <c r="B295" s="22" t="s">
        <v>206</v>
      </c>
      <c r="E295" s="22" t="s">
        <v>207</v>
      </c>
      <c r="S295" s="51">
        <v>8400</v>
      </c>
      <c r="T295" s="50"/>
      <c r="U295" s="51">
        <v>0</v>
      </c>
      <c r="V295" s="50"/>
      <c r="W295" s="50"/>
    </row>
    <row r="297" spans="2:23" x14ac:dyDescent="0.2">
      <c r="B297" s="22" t="s">
        <v>22</v>
      </c>
      <c r="E297" s="22" t="s">
        <v>23</v>
      </c>
    </row>
    <row r="298" spans="2:23" x14ac:dyDescent="0.2">
      <c r="C298" s="2" t="s">
        <v>20</v>
      </c>
      <c r="E298" s="2" t="s">
        <v>59</v>
      </c>
      <c r="I298" s="2" t="s">
        <v>19</v>
      </c>
      <c r="P298" s="2" t="s">
        <v>60</v>
      </c>
      <c r="T298" s="5">
        <v>35855</v>
      </c>
      <c r="V298" s="49">
        <v>0</v>
      </c>
      <c r="W298" s="50"/>
    </row>
    <row r="299" spans="2:23" x14ac:dyDescent="0.2">
      <c r="B299" s="22" t="s">
        <v>22</v>
      </c>
      <c r="E299" s="22" t="s">
        <v>23</v>
      </c>
      <c r="S299" s="51">
        <v>35855</v>
      </c>
      <c r="T299" s="50"/>
      <c r="U299" s="51">
        <v>0</v>
      </c>
      <c r="V299" s="50"/>
      <c r="W299" s="50"/>
    </row>
    <row r="300" spans="2:23" x14ac:dyDescent="0.2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</row>
    <row r="301" spans="2:23" x14ac:dyDescent="0.2"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52">
        <v>231624.23</v>
      </c>
      <c r="T301" s="53"/>
      <c r="U301" s="52">
        <v>0</v>
      </c>
      <c r="V301" s="53"/>
      <c r="W301" s="53"/>
    </row>
    <row r="302" spans="2:23" x14ac:dyDescent="0.2">
      <c r="B302" s="8"/>
      <c r="C302" s="8"/>
      <c r="D302" s="20" t="s">
        <v>81</v>
      </c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11">
        <v>231624.23</v>
      </c>
      <c r="S302" s="8"/>
      <c r="T302" s="8"/>
      <c r="U302" s="8"/>
      <c r="V302" s="8"/>
      <c r="W302" s="8"/>
    </row>
    <row r="303" spans="2:23" x14ac:dyDescent="0.2"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</row>
    <row r="305" spans="2:23" ht="15" x14ac:dyDescent="0.2">
      <c r="B305" s="4" t="s">
        <v>82</v>
      </c>
    </row>
    <row r="307" spans="2:23" x14ac:dyDescent="0.2">
      <c r="B307" s="22" t="s">
        <v>89</v>
      </c>
      <c r="E307" s="22" t="s">
        <v>90</v>
      </c>
    </row>
    <row r="308" spans="2:23" x14ac:dyDescent="0.2">
      <c r="C308" s="2" t="s">
        <v>399</v>
      </c>
      <c r="E308" s="2" t="s">
        <v>398</v>
      </c>
      <c r="I308" s="2" t="s">
        <v>64</v>
      </c>
      <c r="P308" s="2" t="s">
        <v>400</v>
      </c>
      <c r="T308" s="5">
        <v>0</v>
      </c>
      <c r="V308" s="49">
        <v>4600</v>
      </c>
      <c r="W308" s="50"/>
    </row>
    <row r="309" spans="2:23" x14ac:dyDescent="0.2">
      <c r="C309" s="2" t="s">
        <v>399</v>
      </c>
      <c r="E309" s="2" t="s">
        <v>401</v>
      </c>
      <c r="I309" s="2" t="s">
        <v>64</v>
      </c>
      <c r="P309" s="2" t="s">
        <v>402</v>
      </c>
      <c r="T309" s="5">
        <v>0</v>
      </c>
      <c r="V309" s="49">
        <v>4600</v>
      </c>
      <c r="W309" s="50"/>
    </row>
    <row r="310" spans="2:23" x14ac:dyDescent="0.2">
      <c r="C310" s="2" t="s">
        <v>404</v>
      </c>
      <c r="E310" s="2" t="s">
        <v>403</v>
      </c>
      <c r="I310" s="2" t="s">
        <v>64</v>
      </c>
      <c r="P310" s="2" t="s">
        <v>405</v>
      </c>
      <c r="T310" s="5">
        <v>0</v>
      </c>
      <c r="V310" s="49">
        <v>4600</v>
      </c>
      <c r="W310" s="50"/>
    </row>
    <row r="311" spans="2:23" x14ac:dyDescent="0.2">
      <c r="C311" s="2" t="s">
        <v>407</v>
      </c>
      <c r="E311" s="2" t="s">
        <v>406</v>
      </c>
      <c r="I311" s="2" t="s">
        <v>64</v>
      </c>
      <c r="P311" s="2" t="s">
        <v>408</v>
      </c>
      <c r="T311" s="5">
        <v>0</v>
      </c>
      <c r="V311" s="49">
        <v>4600</v>
      </c>
      <c r="W311" s="50"/>
    </row>
    <row r="312" spans="2:23" x14ac:dyDescent="0.2">
      <c r="C312" s="2" t="s">
        <v>410</v>
      </c>
      <c r="E312" s="2" t="s">
        <v>409</v>
      </c>
      <c r="I312" s="2" t="s">
        <v>64</v>
      </c>
      <c r="P312" s="2" t="s">
        <v>411</v>
      </c>
      <c r="T312" s="5">
        <v>0</v>
      </c>
      <c r="V312" s="49">
        <v>4600</v>
      </c>
      <c r="W312" s="50"/>
    </row>
    <row r="313" spans="2:23" x14ac:dyDescent="0.2">
      <c r="C313" s="2" t="s">
        <v>413</v>
      </c>
      <c r="E313" s="2" t="s">
        <v>412</v>
      </c>
      <c r="I313" s="2" t="s">
        <v>64</v>
      </c>
      <c r="P313" s="2" t="s">
        <v>95</v>
      </c>
      <c r="T313" s="5">
        <v>0</v>
      </c>
      <c r="V313" s="49">
        <v>2300</v>
      </c>
      <c r="W313" s="50"/>
    </row>
    <row r="314" spans="2:23" x14ac:dyDescent="0.2">
      <c r="C314" s="2" t="s">
        <v>415</v>
      </c>
      <c r="E314" s="2" t="s">
        <v>414</v>
      </c>
      <c r="I314" s="2" t="s">
        <v>64</v>
      </c>
      <c r="P314" s="2" t="s">
        <v>416</v>
      </c>
      <c r="T314" s="5">
        <v>0</v>
      </c>
      <c r="V314" s="49">
        <v>1000</v>
      </c>
      <c r="W314" s="50"/>
    </row>
    <row r="315" spans="2:23" x14ac:dyDescent="0.2">
      <c r="C315" s="2" t="s">
        <v>418</v>
      </c>
      <c r="E315" s="2" t="s">
        <v>417</v>
      </c>
      <c r="I315" s="2" t="s">
        <v>64</v>
      </c>
      <c r="P315" s="2" t="s">
        <v>419</v>
      </c>
      <c r="T315" s="5">
        <v>0</v>
      </c>
      <c r="V315" s="49">
        <v>2300</v>
      </c>
      <c r="W315" s="50"/>
    </row>
    <row r="316" spans="2:23" x14ac:dyDescent="0.2">
      <c r="C316" s="2" t="s">
        <v>421</v>
      </c>
      <c r="E316" s="2" t="s">
        <v>420</v>
      </c>
      <c r="I316" s="2" t="s">
        <v>64</v>
      </c>
      <c r="P316" s="2" t="s">
        <v>95</v>
      </c>
      <c r="T316" s="5">
        <v>0</v>
      </c>
      <c r="V316" s="49">
        <v>2600</v>
      </c>
      <c r="W316" s="50"/>
    </row>
    <row r="317" spans="2:23" x14ac:dyDescent="0.2">
      <c r="C317" s="2" t="s">
        <v>423</v>
      </c>
      <c r="E317" s="2" t="s">
        <v>422</v>
      </c>
      <c r="I317" s="2" t="s">
        <v>64</v>
      </c>
      <c r="P317" s="2" t="s">
        <v>95</v>
      </c>
      <c r="T317" s="5">
        <v>0</v>
      </c>
      <c r="V317" s="49">
        <v>1000</v>
      </c>
      <c r="W317" s="50"/>
    </row>
    <row r="318" spans="2:23" x14ac:dyDescent="0.2">
      <c r="C318" s="2" t="s">
        <v>425</v>
      </c>
      <c r="E318" s="2" t="s">
        <v>424</v>
      </c>
      <c r="I318" s="2" t="s">
        <v>64</v>
      </c>
      <c r="P318" s="2" t="s">
        <v>426</v>
      </c>
      <c r="T318" s="5">
        <v>0</v>
      </c>
      <c r="V318" s="49">
        <v>4600</v>
      </c>
      <c r="W318" s="50"/>
    </row>
    <row r="319" spans="2:23" x14ac:dyDescent="0.2">
      <c r="C319" s="2" t="s">
        <v>425</v>
      </c>
      <c r="E319" s="2" t="s">
        <v>427</v>
      </c>
      <c r="I319" s="2" t="s">
        <v>64</v>
      </c>
      <c r="P319" s="2" t="s">
        <v>428</v>
      </c>
      <c r="T319" s="5">
        <v>0</v>
      </c>
      <c r="V319" s="49">
        <v>500</v>
      </c>
      <c r="W319" s="50"/>
    </row>
    <row r="321" spans="2:23" ht="18" x14ac:dyDescent="0.2">
      <c r="B321" s="1" t="s">
        <v>1</v>
      </c>
      <c r="S321" s="55" t="s">
        <v>354</v>
      </c>
      <c r="T321" s="50"/>
      <c r="U321" s="50"/>
      <c r="V321" s="50"/>
      <c r="W321" s="50"/>
    </row>
    <row r="322" spans="2:23" ht="12.75" thickBot="1" x14ac:dyDescent="0.25">
      <c r="B322" s="10" t="s">
        <v>3</v>
      </c>
      <c r="C322" s="6"/>
      <c r="D322" s="6"/>
      <c r="E322" s="6"/>
      <c r="F322" s="6"/>
      <c r="G322" s="6"/>
      <c r="H322" s="6"/>
      <c r="I322" s="6"/>
      <c r="J322" s="6"/>
      <c r="K322" s="6" t="s">
        <v>5</v>
      </c>
      <c r="L322" s="6"/>
      <c r="M322" s="6"/>
      <c r="N322" s="6"/>
      <c r="O322" s="6"/>
      <c r="P322" s="6" t="s">
        <v>4</v>
      </c>
      <c r="Q322" s="6" t="s">
        <v>2730</v>
      </c>
      <c r="R322" s="6"/>
      <c r="S322" s="56" t="s">
        <v>6</v>
      </c>
      <c r="T322" s="57"/>
      <c r="U322" s="57"/>
      <c r="V322" s="57"/>
      <c r="W322" s="57"/>
    </row>
    <row r="323" spans="2:23" ht="12.75" thickTop="1" x14ac:dyDescent="0.2"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</row>
    <row r="324" spans="2:23" x14ac:dyDescent="0.2">
      <c r="C324" s="2" t="s">
        <v>256</v>
      </c>
      <c r="E324" s="2" t="s">
        <v>430</v>
      </c>
      <c r="I324" s="2" t="s">
        <v>64</v>
      </c>
      <c r="P324" s="2" t="s">
        <v>431</v>
      </c>
      <c r="T324" s="5">
        <v>0</v>
      </c>
      <c r="V324" s="49">
        <v>5300</v>
      </c>
      <c r="W324" s="50"/>
    </row>
    <row r="325" spans="2:23" x14ac:dyDescent="0.2">
      <c r="C325" s="2" t="s">
        <v>433</v>
      </c>
      <c r="E325" s="2" t="s">
        <v>432</v>
      </c>
      <c r="I325" s="2" t="s">
        <v>64</v>
      </c>
      <c r="P325" s="2" t="s">
        <v>434</v>
      </c>
      <c r="T325" s="5">
        <v>0</v>
      </c>
      <c r="V325" s="49">
        <v>5300</v>
      </c>
      <c r="W325" s="50"/>
    </row>
    <row r="326" spans="2:23" x14ac:dyDescent="0.2">
      <c r="C326" s="2" t="s">
        <v>264</v>
      </c>
      <c r="E326" s="2" t="s">
        <v>435</v>
      </c>
      <c r="I326" s="2" t="s">
        <v>64</v>
      </c>
      <c r="P326" s="2" t="s">
        <v>436</v>
      </c>
      <c r="T326" s="5">
        <v>0</v>
      </c>
      <c r="V326" s="49">
        <v>5300</v>
      </c>
      <c r="W326" s="50"/>
    </row>
    <row r="327" spans="2:23" x14ac:dyDescent="0.2">
      <c r="C327" s="2" t="s">
        <v>264</v>
      </c>
      <c r="E327" s="2" t="s">
        <v>437</v>
      </c>
      <c r="I327" s="2" t="s">
        <v>64</v>
      </c>
      <c r="P327" s="2" t="s">
        <v>438</v>
      </c>
      <c r="T327" s="5">
        <v>0</v>
      </c>
      <c r="V327" s="49">
        <v>5300</v>
      </c>
      <c r="W327" s="50"/>
    </row>
    <row r="328" spans="2:23" x14ac:dyDescent="0.2">
      <c r="C328" s="2" t="s">
        <v>267</v>
      </c>
      <c r="E328" s="2" t="s">
        <v>439</v>
      </c>
      <c r="I328" s="2" t="s">
        <v>64</v>
      </c>
      <c r="P328" s="2" t="s">
        <v>440</v>
      </c>
      <c r="T328" s="5">
        <v>0</v>
      </c>
      <c r="V328" s="49">
        <v>5300</v>
      </c>
      <c r="W328" s="50"/>
    </row>
    <row r="329" spans="2:23" x14ac:dyDescent="0.2">
      <c r="C329" s="2" t="s">
        <v>267</v>
      </c>
      <c r="E329" s="2" t="s">
        <v>441</v>
      </c>
      <c r="I329" s="2" t="s">
        <v>64</v>
      </c>
      <c r="P329" s="2" t="s">
        <v>442</v>
      </c>
      <c r="T329" s="5">
        <v>0</v>
      </c>
      <c r="V329" s="49">
        <v>5300</v>
      </c>
      <c r="W329" s="50"/>
    </row>
    <row r="330" spans="2:23" x14ac:dyDescent="0.2">
      <c r="C330" s="2" t="s">
        <v>444</v>
      </c>
      <c r="E330" s="2" t="s">
        <v>443</v>
      </c>
      <c r="I330" s="2" t="s">
        <v>64</v>
      </c>
      <c r="P330" s="2" t="s">
        <v>445</v>
      </c>
      <c r="T330" s="5">
        <v>0</v>
      </c>
      <c r="V330" s="49">
        <v>5300</v>
      </c>
      <c r="W330" s="50"/>
    </row>
    <row r="331" spans="2:23" x14ac:dyDescent="0.2">
      <c r="C331" s="2" t="s">
        <v>49</v>
      </c>
      <c r="E331" s="2" t="s">
        <v>91</v>
      </c>
      <c r="I331" s="2" t="s">
        <v>19</v>
      </c>
      <c r="P331" s="2" t="s">
        <v>93</v>
      </c>
      <c r="T331" s="5">
        <v>0</v>
      </c>
      <c r="V331" s="49">
        <v>11143.79</v>
      </c>
      <c r="W331" s="50"/>
    </row>
    <row r="332" spans="2:23" x14ac:dyDescent="0.2">
      <c r="C332" s="2" t="s">
        <v>49</v>
      </c>
      <c r="E332" s="2" t="s">
        <v>446</v>
      </c>
      <c r="I332" s="2" t="s">
        <v>64</v>
      </c>
      <c r="P332" s="2" t="s">
        <v>447</v>
      </c>
      <c r="T332" s="5">
        <v>0</v>
      </c>
      <c r="V332" s="49">
        <v>5300</v>
      </c>
      <c r="W332" s="50"/>
    </row>
    <row r="333" spans="2:23" x14ac:dyDescent="0.2">
      <c r="C333" s="2" t="s">
        <v>349</v>
      </c>
      <c r="E333" s="2" t="s">
        <v>448</v>
      </c>
      <c r="I333" s="2" t="s">
        <v>64</v>
      </c>
      <c r="P333" s="2" t="s">
        <v>449</v>
      </c>
      <c r="T333" s="5">
        <v>0</v>
      </c>
      <c r="V333" s="49">
        <v>3500</v>
      </c>
      <c r="W333" s="50"/>
    </row>
    <row r="334" spans="2:23" x14ac:dyDescent="0.2">
      <c r="C334" s="2" t="s">
        <v>451</v>
      </c>
      <c r="E334" s="2" t="s">
        <v>450</v>
      </c>
      <c r="I334" s="2" t="s">
        <v>64</v>
      </c>
      <c r="P334" s="2" t="s">
        <v>452</v>
      </c>
      <c r="T334" s="5">
        <v>0</v>
      </c>
      <c r="V334" s="49">
        <v>5300</v>
      </c>
      <c r="W334" s="50"/>
    </row>
    <row r="335" spans="2:23" x14ac:dyDescent="0.2">
      <c r="C335" s="2" t="s">
        <v>282</v>
      </c>
      <c r="E335" s="2" t="s">
        <v>453</v>
      </c>
      <c r="I335" s="2" t="s">
        <v>64</v>
      </c>
      <c r="P335" s="2" t="s">
        <v>95</v>
      </c>
      <c r="T335" s="5">
        <v>0</v>
      </c>
      <c r="V335" s="49">
        <v>5300</v>
      </c>
      <c r="W335" s="50"/>
    </row>
    <row r="336" spans="2:23" x14ac:dyDescent="0.2">
      <c r="C336" s="2" t="s">
        <v>455</v>
      </c>
      <c r="E336" s="2" t="s">
        <v>454</v>
      </c>
      <c r="I336" s="2" t="s">
        <v>64</v>
      </c>
      <c r="P336" s="2" t="s">
        <v>456</v>
      </c>
      <c r="T336" s="5">
        <v>0</v>
      </c>
      <c r="V336" s="49">
        <v>750</v>
      </c>
      <c r="W336" s="50"/>
    </row>
    <row r="337" spans="2:23" x14ac:dyDescent="0.2">
      <c r="C337" s="2" t="s">
        <v>293</v>
      </c>
      <c r="E337" s="2" t="s">
        <v>457</v>
      </c>
      <c r="I337" s="2" t="s">
        <v>64</v>
      </c>
      <c r="P337" s="2" t="s">
        <v>95</v>
      </c>
      <c r="T337" s="5">
        <v>0</v>
      </c>
      <c r="V337" s="49">
        <v>5300</v>
      </c>
      <c r="W337" s="50"/>
    </row>
    <row r="338" spans="2:23" x14ac:dyDescent="0.2">
      <c r="C338" s="2" t="s">
        <v>459</v>
      </c>
      <c r="E338" s="2" t="s">
        <v>458</v>
      </c>
      <c r="I338" s="2" t="s">
        <v>64</v>
      </c>
      <c r="P338" s="2" t="s">
        <v>460</v>
      </c>
      <c r="T338" s="5">
        <v>0</v>
      </c>
      <c r="V338" s="49">
        <v>750</v>
      </c>
      <c r="W338" s="50"/>
    </row>
    <row r="339" spans="2:23" x14ac:dyDescent="0.2">
      <c r="C339" s="2" t="s">
        <v>462</v>
      </c>
      <c r="E339" s="2" t="s">
        <v>461</v>
      </c>
      <c r="I339" s="2" t="s">
        <v>64</v>
      </c>
      <c r="P339" s="2" t="s">
        <v>463</v>
      </c>
      <c r="T339" s="5">
        <v>0</v>
      </c>
      <c r="V339" s="49">
        <v>2000</v>
      </c>
      <c r="W339" s="50"/>
    </row>
    <row r="340" spans="2:23" x14ac:dyDescent="0.2">
      <c r="C340" s="2" t="s">
        <v>462</v>
      </c>
      <c r="E340" s="2" t="s">
        <v>464</v>
      </c>
      <c r="I340" s="2" t="s">
        <v>64</v>
      </c>
      <c r="P340" s="2" t="s">
        <v>465</v>
      </c>
      <c r="T340" s="5">
        <v>0</v>
      </c>
      <c r="V340" s="49">
        <v>750</v>
      </c>
      <c r="W340" s="50"/>
    </row>
    <row r="341" spans="2:23" x14ac:dyDescent="0.2">
      <c r="C341" s="2" t="s">
        <v>467</v>
      </c>
      <c r="E341" s="2" t="s">
        <v>466</v>
      </c>
      <c r="I341" s="2" t="s">
        <v>64</v>
      </c>
      <c r="P341" s="2" t="s">
        <v>95</v>
      </c>
      <c r="T341" s="5">
        <v>0</v>
      </c>
      <c r="V341" s="49">
        <v>750</v>
      </c>
      <c r="W341" s="50"/>
    </row>
    <row r="342" spans="2:23" x14ac:dyDescent="0.2">
      <c r="C342" s="2" t="s">
        <v>20</v>
      </c>
      <c r="E342" s="2" t="s">
        <v>338</v>
      </c>
      <c r="I342" s="2" t="s">
        <v>19</v>
      </c>
      <c r="P342" s="2" t="s">
        <v>339</v>
      </c>
      <c r="T342" s="5">
        <v>0</v>
      </c>
      <c r="V342" s="49">
        <v>-13635.949999999999</v>
      </c>
      <c r="W342" s="50"/>
    </row>
    <row r="343" spans="2:23" x14ac:dyDescent="0.2">
      <c r="B343" s="22" t="s">
        <v>89</v>
      </c>
      <c r="E343" s="22" t="s">
        <v>90</v>
      </c>
      <c r="S343" s="51">
        <v>0</v>
      </c>
      <c r="T343" s="50"/>
      <c r="U343" s="51">
        <v>101607.84</v>
      </c>
      <c r="V343" s="50"/>
      <c r="W343" s="50"/>
    </row>
    <row r="344" spans="2:23" x14ac:dyDescent="0.2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</row>
    <row r="345" spans="2:23" x14ac:dyDescent="0.2"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52">
        <v>0</v>
      </c>
      <c r="T345" s="53"/>
      <c r="U345" s="52">
        <v>101607.84</v>
      </c>
      <c r="V345" s="53"/>
      <c r="W345" s="53"/>
    </row>
    <row r="346" spans="2:23" x14ac:dyDescent="0.2">
      <c r="B346" s="8"/>
      <c r="C346" s="8"/>
      <c r="D346" s="20" t="s">
        <v>96</v>
      </c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11">
        <v>101607.84</v>
      </c>
      <c r="S346" s="8"/>
      <c r="T346" s="8"/>
      <c r="U346" s="8"/>
      <c r="V346" s="8"/>
      <c r="W346" s="8"/>
    </row>
    <row r="347" spans="2:23" x14ac:dyDescent="0.2"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</row>
    <row r="348" spans="2:23" x14ac:dyDescent="0.2">
      <c r="B348" s="22" t="s">
        <v>7</v>
      </c>
      <c r="D348" s="22" t="s">
        <v>355</v>
      </c>
      <c r="O348" s="20" t="s">
        <v>97</v>
      </c>
      <c r="P348" s="8"/>
      <c r="Q348" s="8"/>
      <c r="R348" s="11">
        <v>-130016.39</v>
      </c>
    </row>
    <row r="349" spans="2:23" x14ac:dyDescent="0.2">
      <c r="O349" s="9"/>
      <c r="P349" s="9"/>
      <c r="Q349" s="9"/>
      <c r="R349" s="9"/>
    </row>
    <row r="350" spans="2:23" x14ac:dyDescent="0.2">
      <c r="B350" s="2" t="s">
        <v>98</v>
      </c>
    </row>
    <row r="352" spans="2:23" ht="24" customHeight="1" x14ac:dyDescent="0.2">
      <c r="B352" s="54" t="s">
        <v>0</v>
      </c>
      <c r="C352" s="50"/>
      <c r="D352" s="50"/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</row>
    <row r="353" spans="2:23" ht="18" x14ac:dyDescent="0.2">
      <c r="B353" s="1" t="s">
        <v>1</v>
      </c>
      <c r="S353" s="55" t="s">
        <v>429</v>
      </c>
      <c r="T353" s="50"/>
      <c r="U353" s="50"/>
      <c r="V353" s="50"/>
      <c r="W353" s="50"/>
    </row>
    <row r="354" spans="2:23" ht="12.75" thickBot="1" x14ac:dyDescent="0.25">
      <c r="B354" s="10" t="s">
        <v>3</v>
      </c>
      <c r="C354" s="6"/>
      <c r="D354" s="6"/>
      <c r="E354" s="6"/>
      <c r="F354" s="6"/>
      <c r="G354" s="6"/>
      <c r="H354" s="6"/>
      <c r="I354" s="6"/>
      <c r="J354" s="6"/>
      <c r="K354" s="6" t="s">
        <v>5</v>
      </c>
      <c r="L354" s="6"/>
      <c r="M354" s="6"/>
      <c r="N354" s="6"/>
      <c r="O354" s="6"/>
      <c r="P354" s="6" t="s">
        <v>4</v>
      </c>
      <c r="Q354" s="6" t="s">
        <v>2730</v>
      </c>
      <c r="R354" s="6"/>
      <c r="S354" s="56" t="s">
        <v>6</v>
      </c>
      <c r="T354" s="57"/>
      <c r="U354" s="57"/>
      <c r="V354" s="57"/>
      <c r="W354" s="57"/>
    </row>
    <row r="355" spans="2:23" ht="12.75" thickTop="1" x14ac:dyDescent="0.2"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</row>
    <row r="356" spans="2:23" ht="15.75" x14ac:dyDescent="0.2">
      <c r="B356" s="3" t="s">
        <v>7</v>
      </c>
      <c r="F356" s="3" t="s">
        <v>469</v>
      </c>
    </row>
    <row r="358" spans="2:23" x14ac:dyDescent="0.2">
      <c r="B358" s="8"/>
      <c r="C358" s="20" t="s">
        <v>8</v>
      </c>
      <c r="D358" s="8"/>
      <c r="E358" s="20" t="s">
        <v>9</v>
      </c>
      <c r="F358" s="8"/>
      <c r="G358" s="8"/>
      <c r="H358" s="8"/>
      <c r="I358" s="20" t="s">
        <v>13</v>
      </c>
      <c r="J358" s="8"/>
      <c r="K358" s="8"/>
      <c r="L358" s="20" t="s">
        <v>12</v>
      </c>
      <c r="M358" s="8"/>
      <c r="N358" s="8"/>
      <c r="O358" s="8"/>
      <c r="P358" s="20" t="s">
        <v>14</v>
      </c>
      <c r="Q358" s="8"/>
      <c r="R358" s="8"/>
      <c r="S358" s="8"/>
      <c r="T358" s="21" t="s">
        <v>11</v>
      </c>
      <c r="U358" s="8"/>
      <c r="V358" s="58" t="s">
        <v>10</v>
      </c>
      <c r="W358" s="59"/>
    </row>
    <row r="359" spans="2:23" x14ac:dyDescent="0.2"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</row>
    <row r="360" spans="2:23" ht="15" x14ac:dyDescent="0.2">
      <c r="B360" s="4" t="s">
        <v>15</v>
      </c>
    </row>
    <row r="362" spans="2:23" x14ac:dyDescent="0.2">
      <c r="B362" s="22" t="s">
        <v>147</v>
      </c>
      <c r="E362" s="22" t="s">
        <v>148</v>
      </c>
    </row>
    <row r="363" spans="2:23" x14ac:dyDescent="0.2">
      <c r="C363" s="2" t="s">
        <v>472</v>
      </c>
      <c r="E363" s="2" t="s">
        <v>470</v>
      </c>
      <c r="I363" s="2" t="s">
        <v>106</v>
      </c>
      <c r="L363" s="2" t="s">
        <v>471</v>
      </c>
      <c r="P363" s="2" t="s">
        <v>473</v>
      </c>
      <c r="T363" s="5">
        <v>1800</v>
      </c>
      <c r="V363" s="49">
        <v>0</v>
      </c>
      <c r="W363" s="50"/>
    </row>
    <row r="364" spans="2:23" x14ac:dyDescent="0.2">
      <c r="C364" s="2" t="s">
        <v>475</v>
      </c>
      <c r="E364" s="2" t="s">
        <v>474</v>
      </c>
      <c r="I364" s="2" t="s">
        <v>106</v>
      </c>
      <c r="L364" s="2" t="s">
        <v>172</v>
      </c>
      <c r="P364" s="2" t="s">
        <v>476</v>
      </c>
      <c r="T364" s="5">
        <v>4200</v>
      </c>
      <c r="V364" s="49">
        <v>0</v>
      </c>
      <c r="W364" s="50"/>
    </row>
    <row r="365" spans="2:23" x14ac:dyDescent="0.2">
      <c r="C365" s="2" t="s">
        <v>478</v>
      </c>
      <c r="E365" s="2" t="s">
        <v>477</v>
      </c>
      <c r="I365" s="2" t="s">
        <v>106</v>
      </c>
      <c r="L365" s="2" t="s">
        <v>172</v>
      </c>
      <c r="P365" s="2" t="s">
        <v>476</v>
      </c>
      <c r="T365" s="5">
        <v>4000</v>
      </c>
      <c r="V365" s="49">
        <v>0</v>
      </c>
      <c r="W365" s="50"/>
    </row>
    <row r="366" spans="2:23" x14ac:dyDescent="0.2">
      <c r="B366" s="22" t="s">
        <v>147</v>
      </c>
      <c r="E366" s="22" t="s">
        <v>148</v>
      </c>
      <c r="S366" s="51">
        <v>10000</v>
      </c>
      <c r="T366" s="50"/>
      <c r="U366" s="51">
        <v>0</v>
      </c>
      <c r="V366" s="50"/>
      <c r="W366" s="50"/>
    </row>
    <row r="368" spans="2:23" x14ac:dyDescent="0.2">
      <c r="B368" s="22" t="s">
        <v>16</v>
      </c>
      <c r="E368" s="22" t="s">
        <v>17</v>
      </c>
    </row>
    <row r="369" spans="2:23" x14ac:dyDescent="0.2">
      <c r="C369" s="2" t="s">
        <v>20</v>
      </c>
      <c r="E369" s="2" t="s">
        <v>18</v>
      </c>
      <c r="I369" s="2" t="s">
        <v>19</v>
      </c>
      <c r="P369" s="2" t="s">
        <v>21</v>
      </c>
      <c r="T369" s="5">
        <v>149318.04</v>
      </c>
      <c r="V369" s="49">
        <v>0</v>
      </c>
      <c r="W369" s="50"/>
    </row>
    <row r="370" spans="2:23" x14ac:dyDescent="0.2">
      <c r="B370" s="22" t="s">
        <v>16</v>
      </c>
      <c r="E370" s="22" t="s">
        <v>17</v>
      </c>
      <c r="S370" s="51">
        <v>149318.04</v>
      </c>
      <c r="T370" s="50"/>
      <c r="U370" s="51">
        <v>0</v>
      </c>
      <c r="V370" s="50"/>
      <c r="W370" s="50"/>
    </row>
    <row r="372" spans="2:23" x14ac:dyDescent="0.2">
      <c r="B372" s="22" t="s">
        <v>161</v>
      </c>
      <c r="E372" s="22" t="s">
        <v>162</v>
      </c>
    </row>
    <row r="373" spans="2:23" x14ac:dyDescent="0.2">
      <c r="C373" s="2" t="s">
        <v>481</v>
      </c>
      <c r="E373" s="2" t="s">
        <v>479</v>
      </c>
      <c r="I373" s="2" t="s">
        <v>106</v>
      </c>
      <c r="L373" s="2" t="s">
        <v>480</v>
      </c>
      <c r="P373" s="2" t="s">
        <v>482</v>
      </c>
      <c r="T373" s="5">
        <v>3000</v>
      </c>
      <c r="V373" s="49">
        <v>0</v>
      </c>
      <c r="W373" s="50"/>
    </row>
    <row r="374" spans="2:23" x14ac:dyDescent="0.2">
      <c r="B374" s="22" t="s">
        <v>161</v>
      </c>
      <c r="E374" s="22" t="s">
        <v>162</v>
      </c>
      <c r="S374" s="51">
        <v>3000</v>
      </c>
      <c r="T374" s="50"/>
      <c r="U374" s="51">
        <v>0</v>
      </c>
      <c r="V374" s="50"/>
      <c r="W374" s="50"/>
    </row>
    <row r="376" spans="2:23" x14ac:dyDescent="0.2">
      <c r="B376" s="22" t="s">
        <v>178</v>
      </c>
      <c r="E376" s="22" t="s">
        <v>179</v>
      </c>
    </row>
    <row r="377" spans="2:23" x14ac:dyDescent="0.2">
      <c r="C377" s="2" t="s">
        <v>387</v>
      </c>
      <c r="E377" s="2" t="s">
        <v>483</v>
      </c>
      <c r="I377" s="2" t="s">
        <v>19</v>
      </c>
      <c r="P377" s="2" t="s">
        <v>484</v>
      </c>
      <c r="T377" s="5">
        <v>4608</v>
      </c>
      <c r="V377" s="49">
        <v>0</v>
      </c>
      <c r="W377" s="50"/>
    </row>
    <row r="378" spans="2:23" x14ac:dyDescent="0.2">
      <c r="C378" s="2" t="s">
        <v>486</v>
      </c>
      <c r="E378" s="2" t="s">
        <v>485</v>
      </c>
      <c r="I378" s="2" t="s">
        <v>19</v>
      </c>
      <c r="P378" s="2" t="s">
        <v>487</v>
      </c>
      <c r="T378" s="5">
        <v>1450</v>
      </c>
      <c r="V378" s="49">
        <v>0</v>
      </c>
      <c r="W378" s="50"/>
    </row>
    <row r="379" spans="2:23" x14ac:dyDescent="0.2">
      <c r="C379" s="2" t="s">
        <v>489</v>
      </c>
      <c r="E379" s="2" t="s">
        <v>488</v>
      </c>
      <c r="I379" s="2" t="s">
        <v>19</v>
      </c>
      <c r="P379" s="2" t="s">
        <v>484</v>
      </c>
      <c r="T379" s="5">
        <v>5535</v>
      </c>
      <c r="V379" s="49">
        <v>0</v>
      </c>
      <c r="W379" s="50"/>
    </row>
    <row r="380" spans="2:23" x14ac:dyDescent="0.2">
      <c r="C380" s="2" t="s">
        <v>196</v>
      </c>
      <c r="E380" s="2" t="s">
        <v>490</v>
      </c>
      <c r="I380" s="2" t="s">
        <v>19</v>
      </c>
      <c r="P380" s="2" t="s">
        <v>487</v>
      </c>
      <c r="T380" s="5">
        <v>4620</v>
      </c>
      <c r="V380" s="49">
        <v>0</v>
      </c>
      <c r="W380" s="50"/>
    </row>
    <row r="381" spans="2:23" x14ac:dyDescent="0.2">
      <c r="C381" s="2" t="s">
        <v>492</v>
      </c>
      <c r="E381" s="2" t="s">
        <v>491</v>
      </c>
      <c r="I381" s="2" t="s">
        <v>19</v>
      </c>
      <c r="P381" s="2" t="s">
        <v>484</v>
      </c>
      <c r="T381" s="5">
        <v>4417</v>
      </c>
      <c r="V381" s="49">
        <v>0</v>
      </c>
      <c r="W381" s="50"/>
    </row>
    <row r="382" spans="2:23" x14ac:dyDescent="0.2">
      <c r="B382" s="22" t="s">
        <v>178</v>
      </c>
      <c r="E382" s="22" t="s">
        <v>179</v>
      </c>
      <c r="S382" s="51">
        <v>20630</v>
      </c>
      <c r="T382" s="50"/>
      <c r="U382" s="51">
        <v>0</v>
      </c>
      <c r="V382" s="50"/>
      <c r="W382" s="50"/>
    </row>
    <row r="384" spans="2:23" x14ac:dyDescent="0.2">
      <c r="B384" s="22" t="s">
        <v>22</v>
      </c>
      <c r="E384" s="22" t="s">
        <v>23</v>
      </c>
    </row>
    <row r="385" spans="2:23" x14ac:dyDescent="0.2">
      <c r="C385" s="2" t="s">
        <v>20</v>
      </c>
      <c r="E385" s="2" t="s">
        <v>59</v>
      </c>
      <c r="I385" s="2" t="s">
        <v>19</v>
      </c>
      <c r="P385" s="2" t="s">
        <v>60</v>
      </c>
      <c r="T385" s="5">
        <v>12160</v>
      </c>
      <c r="V385" s="49">
        <v>0</v>
      </c>
      <c r="W385" s="50"/>
    </row>
    <row r="386" spans="2:23" x14ac:dyDescent="0.2">
      <c r="B386" s="22" t="s">
        <v>22</v>
      </c>
      <c r="E386" s="22" t="s">
        <v>23</v>
      </c>
      <c r="S386" s="51">
        <v>12160</v>
      </c>
      <c r="T386" s="50"/>
      <c r="U386" s="51">
        <v>0</v>
      </c>
      <c r="V386" s="50"/>
      <c r="W386" s="50"/>
    </row>
    <row r="387" spans="2:23" x14ac:dyDescent="0.2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</row>
    <row r="388" spans="2:23" x14ac:dyDescent="0.2"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52">
        <v>195108.04</v>
      </c>
      <c r="T388" s="53"/>
      <c r="U388" s="52">
        <v>0</v>
      </c>
      <c r="V388" s="53"/>
      <c r="W388" s="53"/>
    </row>
    <row r="389" spans="2:23" x14ac:dyDescent="0.2">
      <c r="B389" s="8"/>
      <c r="C389" s="8"/>
      <c r="D389" s="20" t="s">
        <v>81</v>
      </c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11">
        <v>195108.04</v>
      </c>
      <c r="S389" s="8"/>
      <c r="T389" s="8"/>
      <c r="U389" s="8"/>
      <c r="V389" s="8"/>
      <c r="W389" s="8"/>
    </row>
    <row r="390" spans="2:23" x14ac:dyDescent="0.2"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</row>
    <row r="392" spans="2:23" ht="15" x14ac:dyDescent="0.2">
      <c r="B392" s="4" t="s">
        <v>82</v>
      </c>
    </row>
    <row r="394" spans="2:23" x14ac:dyDescent="0.2">
      <c r="B394" s="22" t="s">
        <v>245</v>
      </c>
      <c r="E394" s="22" t="s">
        <v>246</v>
      </c>
    </row>
    <row r="395" spans="2:23" x14ac:dyDescent="0.2">
      <c r="C395" s="2" t="s">
        <v>37</v>
      </c>
      <c r="E395" s="2" t="s">
        <v>493</v>
      </c>
      <c r="I395" s="2" t="s">
        <v>19</v>
      </c>
      <c r="P395" s="2" t="s">
        <v>494</v>
      </c>
      <c r="T395" s="5">
        <v>0</v>
      </c>
      <c r="V395" s="49">
        <v>35420</v>
      </c>
      <c r="W395" s="50"/>
    </row>
    <row r="396" spans="2:23" x14ac:dyDescent="0.2">
      <c r="B396" s="22" t="s">
        <v>245</v>
      </c>
      <c r="E396" s="22" t="s">
        <v>246</v>
      </c>
      <c r="S396" s="51">
        <v>0</v>
      </c>
      <c r="T396" s="50"/>
      <c r="U396" s="51">
        <v>35420</v>
      </c>
      <c r="V396" s="50"/>
      <c r="W396" s="50"/>
    </row>
    <row r="398" spans="2:23" x14ac:dyDescent="0.2">
      <c r="B398" s="22" t="s">
        <v>89</v>
      </c>
      <c r="E398" s="22" t="s">
        <v>90</v>
      </c>
    </row>
    <row r="399" spans="2:23" x14ac:dyDescent="0.2">
      <c r="C399" s="2" t="s">
        <v>399</v>
      </c>
      <c r="E399" s="2" t="s">
        <v>495</v>
      </c>
      <c r="I399" s="2" t="s">
        <v>64</v>
      </c>
      <c r="P399" s="2" t="s">
        <v>496</v>
      </c>
      <c r="T399" s="5">
        <v>0</v>
      </c>
      <c r="V399" s="49">
        <v>4600</v>
      </c>
      <c r="W399" s="50"/>
    </row>
    <row r="400" spans="2:23" x14ac:dyDescent="0.2">
      <c r="C400" s="2" t="s">
        <v>399</v>
      </c>
      <c r="E400" s="2" t="s">
        <v>497</v>
      </c>
      <c r="I400" s="2" t="s">
        <v>64</v>
      </c>
      <c r="P400" s="2" t="s">
        <v>498</v>
      </c>
      <c r="T400" s="5">
        <v>0</v>
      </c>
      <c r="V400" s="49">
        <v>4600</v>
      </c>
      <c r="W400" s="50"/>
    </row>
    <row r="401" spans="3:23" x14ac:dyDescent="0.2">
      <c r="C401" s="2" t="s">
        <v>399</v>
      </c>
      <c r="E401" s="2" t="s">
        <v>499</v>
      </c>
      <c r="I401" s="2" t="s">
        <v>64</v>
      </c>
      <c r="P401" s="2" t="s">
        <v>500</v>
      </c>
      <c r="T401" s="5">
        <v>0</v>
      </c>
      <c r="V401" s="49">
        <v>4600</v>
      </c>
      <c r="W401" s="50"/>
    </row>
    <row r="402" spans="3:23" x14ac:dyDescent="0.2">
      <c r="C402" s="2" t="s">
        <v>502</v>
      </c>
      <c r="E402" s="2" t="s">
        <v>501</v>
      </c>
      <c r="I402" s="2" t="s">
        <v>64</v>
      </c>
      <c r="P402" s="2" t="s">
        <v>503</v>
      </c>
      <c r="T402" s="5">
        <v>0</v>
      </c>
      <c r="V402" s="49">
        <v>4600</v>
      </c>
      <c r="W402" s="50"/>
    </row>
    <row r="403" spans="3:23" x14ac:dyDescent="0.2">
      <c r="C403" s="2" t="s">
        <v>379</v>
      </c>
      <c r="E403" s="2" t="s">
        <v>504</v>
      </c>
      <c r="I403" s="2" t="s">
        <v>64</v>
      </c>
      <c r="P403" s="2" t="s">
        <v>505</v>
      </c>
      <c r="T403" s="5">
        <v>0</v>
      </c>
      <c r="V403" s="49">
        <v>4600</v>
      </c>
      <c r="W403" s="50"/>
    </row>
    <row r="404" spans="3:23" x14ac:dyDescent="0.2">
      <c r="C404" s="2" t="s">
        <v>507</v>
      </c>
      <c r="E404" s="2" t="s">
        <v>506</v>
      </c>
      <c r="I404" s="2" t="s">
        <v>64</v>
      </c>
      <c r="P404" s="2" t="s">
        <v>508</v>
      </c>
      <c r="T404" s="5">
        <v>0</v>
      </c>
      <c r="V404" s="49">
        <v>4600</v>
      </c>
      <c r="W404" s="50"/>
    </row>
    <row r="405" spans="3:23" x14ac:dyDescent="0.2">
      <c r="C405" s="2" t="s">
        <v>510</v>
      </c>
      <c r="E405" s="2" t="s">
        <v>509</v>
      </c>
      <c r="I405" s="2" t="s">
        <v>64</v>
      </c>
      <c r="P405" s="2" t="s">
        <v>511</v>
      </c>
      <c r="T405" s="5">
        <v>0</v>
      </c>
      <c r="V405" s="49">
        <v>4600</v>
      </c>
      <c r="W405" s="50"/>
    </row>
    <row r="406" spans="3:23" x14ac:dyDescent="0.2">
      <c r="C406" s="2" t="s">
        <v>513</v>
      </c>
      <c r="E406" s="2" t="s">
        <v>512</v>
      </c>
      <c r="I406" s="2" t="s">
        <v>64</v>
      </c>
      <c r="P406" s="2" t="s">
        <v>514</v>
      </c>
      <c r="T406" s="5">
        <v>0</v>
      </c>
      <c r="V406" s="49">
        <v>4600</v>
      </c>
      <c r="W406" s="50"/>
    </row>
    <row r="407" spans="3:23" x14ac:dyDescent="0.2">
      <c r="C407" s="2" t="s">
        <v>407</v>
      </c>
      <c r="E407" s="2" t="s">
        <v>515</v>
      </c>
      <c r="I407" s="2" t="s">
        <v>64</v>
      </c>
      <c r="P407" s="2" t="s">
        <v>516</v>
      </c>
      <c r="T407" s="5">
        <v>0</v>
      </c>
      <c r="V407" s="49">
        <v>2300</v>
      </c>
      <c r="W407" s="50"/>
    </row>
    <row r="408" spans="3:23" x14ac:dyDescent="0.2">
      <c r="C408" s="2" t="s">
        <v>407</v>
      </c>
      <c r="E408" s="2" t="s">
        <v>517</v>
      </c>
      <c r="I408" s="2" t="s">
        <v>64</v>
      </c>
      <c r="P408" s="2" t="s">
        <v>518</v>
      </c>
      <c r="T408" s="5">
        <v>0</v>
      </c>
      <c r="V408" s="49">
        <v>4600</v>
      </c>
      <c r="W408" s="50"/>
    </row>
    <row r="409" spans="3:23" x14ac:dyDescent="0.2">
      <c r="C409" s="2" t="s">
        <v>407</v>
      </c>
      <c r="E409" s="2" t="s">
        <v>519</v>
      </c>
      <c r="I409" s="2" t="s">
        <v>64</v>
      </c>
      <c r="P409" s="2" t="s">
        <v>520</v>
      </c>
      <c r="T409" s="5">
        <v>0</v>
      </c>
      <c r="V409" s="49">
        <v>4600</v>
      </c>
      <c r="W409" s="50"/>
    </row>
    <row r="410" spans="3:23" x14ac:dyDescent="0.2">
      <c r="C410" s="2" t="s">
        <v>25</v>
      </c>
      <c r="E410" s="2" t="s">
        <v>521</v>
      </c>
      <c r="I410" s="2" t="s">
        <v>64</v>
      </c>
      <c r="P410" s="2" t="s">
        <v>522</v>
      </c>
      <c r="T410" s="5">
        <v>0</v>
      </c>
      <c r="V410" s="49">
        <v>1500</v>
      </c>
      <c r="W410" s="50"/>
    </row>
    <row r="411" spans="3:23" x14ac:dyDescent="0.2">
      <c r="C411" s="2" t="s">
        <v>25</v>
      </c>
      <c r="E411" s="2" t="s">
        <v>523</v>
      </c>
      <c r="I411" s="2" t="s">
        <v>64</v>
      </c>
      <c r="P411" s="2" t="s">
        <v>524</v>
      </c>
      <c r="T411" s="5">
        <v>0</v>
      </c>
      <c r="V411" s="49">
        <v>4600</v>
      </c>
      <c r="W411" s="50"/>
    </row>
    <row r="412" spans="3:23" x14ac:dyDescent="0.2">
      <c r="C412" s="2" t="s">
        <v>25</v>
      </c>
      <c r="E412" s="2" t="s">
        <v>525</v>
      </c>
      <c r="I412" s="2" t="s">
        <v>64</v>
      </c>
      <c r="P412" s="2" t="s">
        <v>95</v>
      </c>
      <c r="T412" s="5">
        <v>0</v>
      </c>
      <c r="V412" s="49">
        <v>4600</v>
      </c>
      <c r="W412" s="50"/>
    </row>
    <row r="413" spans="3:23" x14ac:dyDescent="0.2">
      <c r="C413" s="2" t="s">
        <v>527</v>
      </c>
      <c r="E413" s="2" t="s">
        <v>526</v>
      </c>
      <c r="I413" s="2" t="s">
        <v>64</v>
      </c>
      <c r="P413" s="2" t="s">
        <v>528</v>
      </c>
      <c r="T413" s="5">
        <v>0</v>
      </c>
      <c r="V413" s="49">
        <v>2300</v>
      </c>
      <c r="W413" s="50"/>
    </row>
    <row r="414" spans="3:23" x14ac:dyDescent="0.2">
      <c r="C414" s="2" t="s">
        <v>256</v>
      </c>
      <c r="E414" s="2" t="s">
        <v>529</v>
      </c>
      <c r="I414" s="2" t="s">
        <v>64</v>
      </c>
      <c r="P414" s="2" t="s">
        <v>95</v>
      </c>
      <c r="T414" s="5">
        <v>0</v>
      </c>
      <c r="V414" s="49">
        <v>5300</v>
      </c>
      <c r="W414" s="50"/>
    </row>
    <row r="415" spans="3:23" x14ac:dyDescent="0.2">
      <c r="C415" s="2" t="s">
        <v>531</v>
      </c>
      <c r="E415" s="2" t="s">
        <v>530</v>
      </c>
      <c r="I415" s="2" t="s">
        <v>64</v>
      </c>
      <c r="P415" s="2" t="s">
        <v>532</v>
      </c>
      <c r="T415" s="5">
        <v>0</v>
      </c>
      <c r="V415" s="49">
        <v>5300</v>
      </c>
      <c r="W415" s="50"/>
    </row>
    <row r="416" spans="3:23" x14ac:dyDescent="0.2">
      <c r="C416" s="2" t="s">
        <v>531</v>
      </c>
      <c r="E416" s="2" t="s">
        <v>533</v>
      </c>
      <c r="I416" s="2" t="s">
        <v>64</v>
      </c>
      <c r="P416" s="2" t="s">
        <v>534</v>
      </c>
      <c r="T416" s="5">
        <v>0</v>
      </c>
      <c r="V416" s="49">
        <v>5300</v>
      </c>
      <c r="W416" s="50"/>
    </row>
    <row r="417" spans="2:23" x14ac:dyDescent="0.2">
      <c r="C417" s="2" t="s">
        <v>536</v>
      </c>
      <c r="E417" s="2" t="s">
        <v>535</v>
      </c>
      <c r="I417" s="2" t="s">
        <v>64</v>
      </c>
      <c r="P417" s="2" t="s">
        <v>537</v>
      </c>
      <c r="T417" s="5">
        <v>0</v>
      </c>
      <c r="V417" s="49">
        <v>5300</v>
      </c>
      <c r="W417" s="50"/>
    </row>
    <row r="418" spans="2:23" x14ac:dyDescent="0.2">
      <c r="C418" s="2" t="s">
        <v>536</v>
      </c>
      <c r="E418" s="2" t="s">
        <v>538</v>
      </c>
      <c r="I418" s="2" t="s">
        <v>64</v>
      </c>
      <c r="P418" s="2" t="s">
        <v>539</v>
      </c>
      <c r="T418" s="5">
        <v>0</v>
      </c>
      <c r="V418" s="49">
        <v>5300</v>
      </c>
      <c r="W418" s="50"/>
    </row>
    <row r="419" spans="2:23" x14ac:dyDescent="0.2">
      <c r="C419" s="2" t="s">
        <v>541</v>
      </c>
      <c r="E419" s="2" t="s">
        <v>540</v>
      </c>
      <c r="I419" s="2" t="s">
        <v>64</v>
      </c>
      <c r="P419" s="2" t="s">
        <v>542</v>
      </c>
      <c r="T419" s="5">
        <v>0</v>
      </c>
      <c r="V419" s="49">
        <v>2650</v>
      </c>
      <c r="W419" s="50"/>
    </row>
    <row r="420" spans="2:23" x14ac:dyDescent="0.2">
      <c r="C420" s="2" t="s">
        <v>544</v>
      </c>
      <c r="E420" s="2" t="s">
        <v>543</v>
      </c>
      <c r="I420" s="2" t="s">
        <v>64</v>
      </c>
      <c r="P420" s="2" t="s">
        <v>95</v>
      </c>
      <c r="T420" s="5">
        <v>0</v>
      </c>
      <c r="V420" s="49">
        <v>5300</v>
      </c>
      <c r="W420" s="50"/>
    </row>
    <row r="421" spans="2:23" x14ac:dyDescent="0.2">
      <c r="C421" s="2" t="s">
        <v>261</v>
      </c>
      <c r="E421" s="2" t="s">
        <v>545</v>
      </c>
      <c r="I421" s="2" t="s">
        <v>64</v>
      </c>
      <c r="P421" s="2" t="s">
        <v>546</v>
      </c>
      <c r="T421" s="5">
        <v>0</v>
      </c>
      <c r="V421" s="49">
        <v>5300</v>
      </c>
      <c r="W421" s="50"/>
    </row>
    <row r="422" spans="2:23" x14ac:dyDescent="0.2">
      <c r="C422" s="2" t="s">
        <v>264</v>
      </c>
      <c r="E422" s="2" t="s">
        <v>547</v>
      </c>
      <c r="I422" s="2" t="s">
        <v>64</v>
      </c>
      <c r="P422" s="2" t="s">
        <v>548</v>
      </c>
      <c r="T422" s="5">
        <v>0</v>
      </c>
      <c r="V422" s="49">
        <v>5300</v>
      </c>
      <c r="W422" s="50"/>
    </row>
    <row r="424" spans="2:23" ht="18" x14ac:dyDescent="0.2">
      <c r="B424" s="1" t="s">
        <v>1</v>
      </c>
      <c r="S424" s="55" t="s">
        <v>468</v>
      </c>
      <c r="T424" s="50"/>
      <c r="U424" s="50"/>
      <c r="V424" s="50"/>
      <c r="W424" s="50"/>
    </row>
    <row r="425" spans="2:23" ht="12.75" thickBot="1" x14ac:dyDescent="0.25">
      <c r="B425" s="10" t="s">
        <v>3</v>
      </c>
      <c r="C425" s="6"/>
      <c r="D425" s="6"/>
      <c r="E425" s="6"/>
      <c r="F425" s="6"/>
      <c r="G425" s="6"/>
      <c r="H425" s="6"/>
      <c r="I425" s="6"/>
      <c r="J425" s="6"/>
      <c r="K425" s="6" t="s">
        <v>5</v>
      </c>
      <c r="L425" s="6"/>
      <c r="M425" s="6"/>
      <c r="N425" s="6"/>
      <c r="O425" s="6"/>
      <c r="P425" s="6" t="s">
        <v>4</v>
      </c>
      <c r="Q425" s="6" t="s">
        <v>2730</v>
      </c>
      <c r="R425" s="6"/>
      <c r="S425" s="56" t="s">
        <v>6</v>
      </c>
      <c r="T425" s="57"/>
      <c r="U425" s="57"/>
      <c r="V425" s="57"/>
      <c r="W425" s="57"/>
    </row>
    <row r="426" spans="2:23" ht="12.75" thickTop="1" x14ac:dyDescent="0.2"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</row>
    <row r="427" spans="2:23" x14ac:dyDescent="0.2">
      <c r="C427" s="2" t="s">
        <v>264</v>
      </c>
      <c r="E427" s="2" t="s">
        <v>550</v>
      </c>
      <c r="I427" s="2" t="s">
        <v>64</v>
      </c>
      <c r="P427" s="2" t="s">
        <v>551</v>
      </c>
      <c r="T427" s="5">
        <v>0</v>
      </c>
      <c r="V427" s="49">
        <v>5300</v>
      </c>
      <c r="W427" s="50"/>
    </row>
    <row r="428" spans="2:23" x14ac:dyDescent="0.2">
      <c r="C428" s="2" t="s">
        <v>481</v>
      </c>
      <c r="E428" s="2" t="s">
        <v>552</v>
      </c>
      <c r="I428" s="2" t="s">
        <v>64</v>
      </c>
      <c r="P428" s="2" t="s">
        <v>553</v>
      </c>
      <c r="T428" s="5">
        <v>0</v>
      </c>
      <c r="V428" s="49">
        <v>5300</v>
      </c>
      <c r="W428" s="50"/>
    </row>
    <row r="429" spans="2:23" x14ac:dyDescent="0.2">
      <c r="C429" s="2" t="s">
        <v>481</v>
      </c>
      <c r="E429" s="2" t="s">
        <v>554</v>
      </c>
      <c r="I429" s="2" t="s">
        <v>64</v>
      </c>
      <c r="P429" s="2" t="s">
        <v>555</v>
      </c>
      <c r="T429" s="5">
        <v>0</v>
      </c>
      <c r="V429" s="49">
        <v>5300</v>
      </c>
      <c r="W429" s="50"/>
    </row>
    <row r="430" spans="2:23" x14ac:dyDescent="0.2">
      <c r="C430" s="2" t="s">
        <v>49</v>
      </c>
      <c r="E430" s="2" t="s">
        <v>91</v>
      </c>
      <c r="I430" s="2" t="s">
        <v>19</v>
      </c>
      <c r="P430" s="2" t="s">
        <v>93</v>
      </c>
      <c r="T430" s="5">
        <v>0</v>
      </c>
      <c r="V430" s="49">
        <v>12837.65</v>
      </c>
      <c r="W430" s="50"/>
    </row>
    <row r="431" spans="2:23" x14ac:dyDescent="0.2">
      <c r="C431" s="2" t="s">
        <v>49</v>
      </c>
      <c r="E431" s="2" t="s">
        <v>556</v>
      </c>
      <c r="I431" s="2" t="s">
        <v>64</v>
      </c>
      <c r="P431" s="2" t="s">
        <v>557</v>
      </c>
      <c r="T431" s="5">
        <v>0</v>
      </c>
      <c r="V431" s="49">
        <v>5300</v>
      </c>
      <c r="W431" s="50"/>
    </row>
    <row r="432" spans="2:23" x14ac:dyDescent="0.2">
      <c r="C432" s="2" t="s">
        <v>349</v>
      </c>
      <c r="E432" s="2" t="s">
        <v>558</v>
      </c>
      <c r="I432" s="2" t="s">
        <v>64</v>
      </c>
      <c r="P432" s="2" t="s">
        <v>559</v>
      </c>
      <c r="T432" s="5">
        <v>0</v>
      </c>
      <c r="V432" s="49">
        <v>5300</v>
      </c>
      <c r="W432" s="50"/>
    </row>
    <row r="433" spans="2:23" x14ac:dyDescent="0.2">
      <c r="C433" s="2" t="s">
        <v>176</v>
      </c>
      <c r="E433" s="2" t="s">
        <v>560</v>
      </c>
      <c r="I433" s="2" t="s">
        <v>64</v>
      </c>
      <c r="P433" s="2" t="s">
        <v>561</v>
      </c>
      <c r="T433" s="5">
        <v>0</v>
      </c>
      <c r="V433" s="49">
        <v>5300</v>
      </c>
      <c r="W433" s="50"/>
    </row>
    <row r="434" spans="2:23" x14ac:dyDescent="0.2">
      <c r="C434" s="2" t="s">
        <v>270</v>
      </c>
      <c r="E434" s="2" t="s">
        <v>562</v>
      </c>
      <c r="I434" s="2" t="s">
        <v>64</v>
      </c>
      <c r="P434" s="2" t="s">
        <v>563</v>
      </c>
      <c r="T434" s="5">
        <v>0</v>
      </c>
      <c r="V434" s="49">
        <v>5300</v>
      </c>
      <c r="W434" s="50"/>
    </row>
    <row r="435" spans="2:23" x14ac:dyDescent="0.2">
      <c r="C435" s="2" t="s">
        <v>565</v>
      </c>
      <c r="E435" s="2" t="s">
        <v>564</v>
      </c>
      <c r="I435" s="2" t="s">
        <v>64</v>
      </c>
      <c r="P435" s="2" t="s">
        <v>566</v>
      </c>
      <c r="T435" s="5">
        <v>0</v>
      </c>
      <c r="V435" s="49">
        <v>3500</v>
      </c>
      <c r="W435" s="50"/>
    </row>
    <row r="436" spans="2:23" x14ac:dyDescent="0.2">
      <c r="C436" s="2" t="s">
        <v>274</v>
      </c>
      <c r="E436" s="2" t="s">
        <v>567</v>
      </c>
      <c r="I436" s="2" t="s">
        <v>64</v>
      </c>
      <c r="P436" s="2" t="s">
        <v>568</v>
      </c>
      <c r="T436" s="5">
        <v>0</v>
      </c>
      <c r="V436" s="49">
        <v>3000</v>
      </c>
      <c r="W436" s="50"/>
    </row>
    <row r="437" spans="2:23" x14ac:dyDescent="0.2">
      <c r="C437" s="2" t="s">
        <v>570</v>
      </c>
      <c r="E437" s="2" t="s">
        <v>569</v>
      </c>
      <c r="I437" s="2" t="s">
        <v>64</v>
      </c>
      <c r="P437" s="2" t="s">
        <v>571</v>
      </c>
      <c r="T437" s="5">
        <v>0</v>
      </c>
      <c r="V437" s="49">
        <v>-2120</v>
      </c>
      <c r="W437" s="50"/>
    </row>
    <row r="438" spans="2:23" x14ac:dyDescent="0.2">
      <c r="C438" s="2" t="s">
        <v>20</v>
      </c>
      <c r="E438" s="2" t="s">
        <v>338</v>
      </c>
      <c r="I438" s="2" t="s">
        <v>19</v>
      </c>
      <c r="P438" s="2" t="s">
        <v>339</v>
      </c>
      <c r="T438" s="5">
        <v>0</v>
      </c>
      <c r="V438" s="49">
        <v>-17532.22</v>
      </c>
      <c r="W438" s="50"/>
    </row>
    <row r="439" spans="2:23" x14ac:dyDescent="0.2">
      <c r="B439" s="22" t="s">
        <v>89</v>
      </c>
      <c r="E439" s="22" t="s">
        <v>90</v>
      </c>
      <c r="S439" s="51">
        <v>0</v>
      </c>
      <c r="T439" s="50"/>
      <c r="U439" s="51">
        <v>143135.43</v>
      </c>
      <c r="V439" s="50"/>
      <c r="W439" s="50"/>
    </row>
    <row r="440" spans="2:23" x14ac:dyDescent="0.2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</row>
    <row r="441" spans="2:23" x14ac:dyDescent="0.2"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52">
        <v>0</v>
      </c>
      <c r="T441" s="53"/>
      <c r="U441" s="52">
        <v>178555.43</v>
      </c>
      <c r="V441" s="53"/>
      <c r="W441" s="53"/>
    </row>
    <row r="442" spans="2:23" x14ac:dyDescent="0.2">
      <c r="B442" s="8"/>
      <c r="C442" s="8"/>
      <c r="D442" s="20" t="s">
        <v>96</v>
      </c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11">
        <v>178555.43</v>
      </c>
      <c r="S442" s="8"/>
      <c r="T442" s="8"/>
      <c r="U442" s="8"/>
      <c r="V442" s="8"/>
      <c r="W442" s="8"/>
    </row>
    <row r="443" spans="2:23" x14ac:dyDescent="0.2"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</row>
    <row r="444" spans="2:23" x14ac:dyDescent="0.2">
      <c r="B444" s="22" t="s">
        <v>7</v>
      </c>
      <c r="D444" s="22" t="s">
        <v>469</v>
      </c>
      <c r="O444" s="20" t="s">
        <v>97</v>
      </c>
      <c r="P444" s="8"/>
      <c r="Q444" s="8"/>
      <c r="R444" s="11">
        <v>-16552.609999999997</v>
      </c>
    </row>
    <row r="445" spans="2:23" x14ac:dyDescent="0.2">
      <c r="O445" s="9"/>
      <c r="P445" s="9"/>
      <c r="Q445" s="9"/>
      <c r="R445" s="9"/>
    </row>
    <row r="446" spans="2:23" x14ac:dyDescent="0.2">
      <c r="B446" s="2" t="s">
        <v>98</v>
      </c>
    </row>
    <row r="448" spans="2:23" ht="24" customHeight="1" x14ac:dyDescent="0.2">
      <c r="B448" s="54" t="s">
        <v>0</v>
      </c>
      <c r="C448" s="50"/>
      <c r="D448" s="50"/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</row>
    <row r="449" spans="2:23" ht="18" x14ac:dyDescent="0.2">
      <c r="B449" s="1" t="s">
        <v>1</v>
      </c>
      <c r="S449" s="55" t="s">
        <v>549</v>
      </c>
      <c r="T449" s="50"/>
      <c r="U449" s="50"/>
      <c r="V449" s="50"/>
      <c r="W449" s="50"/>
    </row>
    <row r="450" spans="2:23" ht="12.75" thickBot="1" x14ac:dyDescent="0.25">
      <c r="B450" s="10" t="s">
        <v>3</v>
      </c>
      <c r="C450" s="6"/>
      <c r="D450" s="6"/>
      <c r="E450" s="6"/>
      <c r="F450" s="6"/>
      <c r="G450" s="6"/>
      <c r="H450" s="6"/>
      <c r="I450" s="6"/>
      <c r="J450" s="6"/>
      <c r="K450" s="6" t="s">
        <v>5</v>
      </c>
      <c r="L450" s="6"/>
      <c r="M450" s="6"/>
      <c r="N450" s="6"/>
      <c r="O450" s="6"/>
      <c r="P450" s="6" t="s">
        <v>4</v>
      </c>
      <c r="Q450" s="6" t="s">
        <v>2730</v>
      </c>
      <c r="R450" s="6"/>
      <c r="S450" s="56" t="s">
        <v>6</v>
      </c>
      <c r="T450" s="57"/>
      <c r="U450" s="57"/>
      <c r="V450" s="57"/>
      <c r="W450" s="57"/>
    </row>
    <row r="451" spans="2:23" ht="12.75" thickTop="1" x14ac:dyDescent="0.2"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</row>
    <row r="452" spans="2:23" ht="15.75" x14ac:dyDescent="0.2">
      <c r="B452" s="3" t="s">
        <v>7</v>
      </c>
      <c r="F452" s="3" t="s">
        <v>573</v>
      </c>
    </row>
    <row r="454" spans="2:23" x14ac:dyDescent="0.2">
      <c r="B454" s="8"/>
      <c r="C454" s="20" t="s">
        <v>8</v>
      </c>
      <c r="D454" s="8"/>
      <c r="E454" s="20" t="s">
        <v>9</v>
      </c>
      <c r="F454" s="8"/>
      <c r="G454" s="8"/>
      <c r="H454" s="8"/>
      <c r="I454" s="20" t="s">
        <v>13</v>
      </c>
      <c r="J454" s="8"/>
      <c r="K454" s="8"/>
      <c r="L454" s="20" t="s">
        <v>12</v>
      </c>
      <c r="M454" s="8"/>
      <c r="N454" s="8"/>
      <c r="O454" s="8"/>
      <c r="P454" s="20" t="s">
        <v>14</v>
      </c>
      <c r="Q454" s="8"/>
      <c r="R454" s="8"/>
      <c r="S454" s="8"/>
      <c r="T454" s="21" t="s">
        <v>11</v>
      </c>
      <c r="U454" s="8"/>
      <c r="V454" s="58" t="s">
        <v>10</v>
      </c>
      <c r="W454" s="59"/>
    </row>
    <row r="455" spans="2:23" x14ac:dyDescent="0.2"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</row>
    <row r="456" spans="2:23" ht="15" x14ac:dyDescent="0.2">
      <c r="B456" s="4" t="s">
        <v>15</v>
      </c>
    </row>
    <row r="458" spans="2:23" x14ac:dyDescent="0.2">
      <c r="B458" s="22" t="s">
        <v>109</v>
      </c>
      <c r="E458" s="22" t="s">
        <v>110</v>
      </c>
    </row>
    <row r="459" spans="2:23" x14ac:dyDescent="0.2">
      <c r="C459" s="2" t="s">
        <v>25</v>
      </c>
      <c r="E459" s="2" t="s">
        <v>574</v>
      </c>
      <c r="I459" s="2" t="s">
        <v>106</v>
      </c>
      <c r="L459" s="2" t="s">
        <v>575</v>
      </c>
      <c r="P459" s="2" t="s">
        <v>576</v>
      </c>
      <c r="T459" s="5">
        <v>5880</v>
      </c>
      <c r="V459" s="49">
        <v>0</v>
      </c>
      <c r="W459" s="50"/>
    </row>
    <row r="460" spans="2:23" x14ac:dyDescent="0.2">
      <c r="C460" s="2" t="s">
        <v>28</v>
      </c>
      <c r="E460" s="2" t="s">
        <v>577</v>
      </c>
      <c r="I460" s="2" t="s">
        <v>106</v>
      </c>
      <c r="L460" s="2" t="s">
        <v>575</v>
      </c>
      <c r="P460" s="2" t="s">
        <v>578</v>
      </c>
      <c r="T460" s="5">
        <v>2935</v>
      </c>
      <c r="V460" s="49">
        <v>0</v>
      </c>
      <c r="W460" s="50"/>
    </row>
    <row r="461" spans="2:23" x14ac:dyDescent="0.2">
      <c r="C461" s="2" t="s">
        <v>31</v>
      </c>
      <c r="E461" s="2" t="s">
        <v>579</v>
      </c>
      <c r="I461" s="2" t="s">
        <v>106</v>
      </c>
      <c r="L461" s="2" t="s">
        <v>575</v>
      </c>
      <c r="P461" s="2" t="s">
        <v>580</v>
      </c>
      <c r="T461" s="5">
        <v>4895</v>
      </c>
      <c r="V461" s="49">
        <v>0</v>
      </c>
      <c r="W461" s="50"/>
    </row>
    <row r="462" spans="2:23" x14ac:dyDescent="0.2">
      <c r="C462" s="2" t="s">
        <v>34</v>
      </c>
      <c r="E462" s="2" t="s">
        <v>581</v>
      </c>
      <c r="I462" s="2" t="s">
        <v>106</v>
      </c>
      <c r="L462" s="2" t="s">
        <v>575</v>
      </c>
      <c r="P462" s="2" t="s">
        <v>582</v>
      </c>
      <c r="T462" s="5">
        <v>4180</v>
      </c>
      <c r="V462" s="49">
        <v>0</v>
      </c>
      <c r="W462" s="50"/>
    </row>
    <row r="463" spans="2:23" x14ac:dyDescent="0.2">
      <c r="C463" s="2" t="s">
        <v>37</v>
      </c>
      <c r="E463" s="2" t="s">
        <v>583</v>
      </c>
      <c r="I463" s="2" t="s">
        <v>106</v>
      </c>
      <c r="L463" s="2" t="s">
        <v>575</v>
      </c>
      <c r="P463" s="2" t="s">
        <v>584</v>
      </c>
      <c r="T463" s="5">
        <v>6745</v>
      </c>
      <c r="V463" s="49">
        <v>0</v>
      </c>
      <c r="W463" s="50"/>
    </row>
    <row r="464" spans="2:23" x14ac:dyDescent="0.2">
      <c r="C464" s="2" t="s">
        <v>40</v>
      </c>
      <c r="E464" s="2" t="s">
        <v>585</v>
      </c>
      <c r="I464" s="2" t="s">
        <v>106</v>
      </c>
      <c r="L464" s="2" t="s">
        <v>575</v>
      </c>
      <c r="P464" s="2" t="s">
        <v>586</v>
      </c>
      <c r="T464" s="5">
        <v>5730</v>
      </c>
      <c r="V464" s="49">
        <v>0</v>
      </c>
      <c r="W464" s="50"/>
    </row>
    <row r="465" spans="2:23" x14ac:dyDescent="0.2">
      <c r="C465" s="2" t="s">
        <v>43</v>
      </c>
      <c r="E465" s="2" t="s">
        <v>587</v>
      </c>
      <c r="I465" s="2" t="s">
        <v>106</v>
      </c>
      <c r="L465" s="2" t="s">
        <v>575</v>
      </c>
      <c r="P465" s="2" t="s">
        <v>588</v>
      </c>
      <c r="T465" s="5">
        <v>7000</v>
      </c>
      <c r="V465" s="49">
        <v>0</v>
      </c>
      <c r="W465" s="50"/>
    </row>
    <row r="466" spans="2:23" x14ac:dyDescent="0.2">
      <c r="C466" s="2" t="s">
        <v>46</v>
      </c>
      <c r="E466" s="2" t="s">
        <v>589</v>
      </c>
      <c r="I466" s="2" t="s">
        <v>106</v>
      </c>
      <c r="L466" s="2" t="s">
        <v>575</v>
      </c>
      <c r="P466" s="2" t="s">
        <v>590</v>
      </c>
      <c r="T466" s="5">
        <v>7865</v>
      </c>
      <c r="V466" s="49">
        <v>0</v>
      </c>
      <c r="W466" s="50"/>
    </row>
    <row r="467" spans="2:23" x14ac:dyDescent="0.2">
      <c r="C467" s="2" t="s">
        <v>49</v>
      </c>
      <c r="E467" s="2" t="s">
        <v>591</v>
      </c>
      <c r="I467" s="2" t="s">
        <v>106</v>
      </c>
      <c r="L467" s="2" t="s">
        <v>575</v>
      </c>
      <c r="P467" s="2" t="s">
        <v>592</v>
      </c>
      <c r="T467" s="5">
        <v>3725</v>
      </c>
      <c r="V467" s="49">
        <v>0</v>
      </c>
      <c r="W467" s="50"/>
    </row>
    <row r="468" spans="2:23" x14ac:dyDescent="0.2">
      <c r="C468" s="2" t="s">
        <v>52</v>
      </c>
      <c r="E468" s="2" t="s">
        <v>593</v>
      </c>
      <c r="I468" s="2" t="s">
        <v>106</v>
      </c>
      <c r="L468" s="2" t="s">
        <v>575</v>
      </c>
      <c r="P468" s="2" t="s">
        <v>594</v>
      </c>
      <c r="T468" s="5">
        <v>4515</v>
      </c>
      <c r="V468" s="49">
        <v>0</v>
      </c>
      <c r="W468" s="50"/>
    </row>
    <row r="469" spans="2:23" x14ac:dyDescent="0.2">
      <c r="C469" s="2" t="s">
        <v>55</v>
      </c>
      <c r="E469" s="2" t="s">
        <v>595</v>
      </c>
      <c r="I469" s="2" t="s">
        <v>106</v>
      </c>
      <c r="L469" s="2" t="s">
        <v>575</v>
      </c>
      <c r="P469" s="2" t="s">
        <v>596</v>
      </c>
      <c r="T469" s="5">
        <v>5110</v>
      </c>
      <c r="V469" s="49">
        <v>0</v>
      </c>
      <c r="W469" s="50"/>
    </row>
    <row r="470" spans="2:23" x14ac:dyDescent="0.2">
      <c r="C470" s="2" t="s">
        <v>20</v>
      </c>
      <c r="E470" s="2" t="s">
        <v>597</v>
      </c>
      <c r="I470" s="2" t="s">
        <v>106</v>
      </c>
      <c r="L470" s="2" t="s">
        <v>575</v>
      </c>
      <c r="P470" s="2" t="s">
        <v>598</v>
      </c>
      <c r="T470" s="5">
        <v>2350</v>
      </c>
      <c r="V470" s="49">
        <v>0</v>
      </c>
      <c r="W470" s="50"/>
    </row>
    <row r="471" spans="2:23" x14ac:dyDescent="0.2">
      <c r="B471" s="22" t="s">
        <v>109</v>
      </c>
      <c r="E471" s="22" t="s">
        <v>110</v>
      </c>
      <c r="S471" s="51">
        <v>60930</v>
      </c>
      <c r="T471" s="50"/>
      <c r="U471" s="51">
        <v>0</v>
      </c>
      <c r="V471" s="50"/>
      <c r="W471" s="50"/>
    </row>
    <row r="473" spans="2:23" x14ac:dyDescent="0.2">
      <c r="B473" s="22" t="s">
        <v>147</v>
      </c>
      <c r="E473" s="22" t="s">
        <v>148</v>
      </c>
    </row>
    <row r="474" spans="2:23" x14ac:dyDescent="0.2">
      <c r="C474" s="2" t="s">
        <v>601</v>
      </c>
      <c r="E474" s="2" t="s">
        <v>599</v>
      </c>
      <c r="I474" s="2" t="s">
        <v>106</v>
      </c>
      <c r="L474" s="2" t="s">
        <v>600</v>
      </c>
      <c r="P474" s="2" t="s">
        <v>602</v>
      </c>
      <c r="T474" s="5">
        <v>4600</v>
      </c>
      <c r="V474" s="49">
        <v>0</v>
      </c>
      <c r="W474" s="50"/>
    </row>
    <row r="475" spans="2:23" x14ac:dyDescent="0.2">
      <c r="B475" s="22" t="s">
        <v>147</v>
      </c>
      <c r="E475" s="22" t="s">
        <v>148</v>
      </c>
      <c r="S475" s="51">
        <v>4600</v>
      </c>
      <c r="T475" s="50"/>
      <c r="U475" s="51">
        <v>0</v>
      </c>
      <c r="V475" s="50"/>
      <c r="W475" s="50"/>
    </row>
    <row r="477" spans="2:23" x14ac:dyDescent="0.2">
      <c r="B477" s="22" t="s">
        <v>16</v>
      </c>
      <c r="E477" s="22" t="s">
        <v>17</v>
      </c>
    </row>
    <row r="478" spans="2:23" x14ac:dyDescent="0.2">
      <c r="C478" s="2" t="s">
        <v>20</v>
      </c>
      <c r="E478" s="2" t="s">
        <v>18</v>
      </c>
      <c r="I478" s="2" t="s">
        <v>19</v>
      </c>
      <c r="P478" s="2" t="s">
        <v>21</v>
      </c>
      <c r="T478" s="5">
        <v>83973.75</v>
      </c>
      <c r="V478" s="49">
        <v>0</v>
      </c>
      <c r="W478" s="50"/>
    </row>
    <row r="479" spans="2:23" x14ac:dyDescent="0.2">
      <c r="B479" s="22" t="s">
        <v>16</v>
      </c>
      <c r="E479" s="22" t="s">
        <v>17</v>
      </c>
      <c r="S479" s="51">
        <v>83973.75</v>
      </c>
      <c r="T479" s="50"/>
      <c r="U479" s="51">
        <v>0</v>
      </c>
      <c r="V479" s="50"/>
      <c r="W479" s="50"/>
    </row>
    <row r="481" spans="2:23" x14ac:dyDescent="0.2">
      <c r="B481" s="22" t="s">
        <v>153</v>
      </c>
      <c r="E481" s="22" t="s">
        <v>154</v>
      </c>
    </row>
    <row r="482" spans="2:23" x14ac:dyDescent="0.2">
      <c r="C482" s="2" t="s">
        <v>605</v>
      </c>
      <c r="E482" s="2" t="s">
        <v>603</v>
      </c>
      <c r="I482" s="2" t="s">
        <v>106</v>
      </c>
      <c r="L482" s="2" t="s">
        <v>604</v>
      </c>
      <c r="P482" s="2" t="s">
        <v>606</v>
      </c>
      <c r="T482" s="5">
        <v>54000</v>
      </c>
      <c r="V482" s="49">
        <v>0</v>
      </c>
      <c r="W482" s="50"/>
    </row>
    <row r="483" spans="2:23" x14ac:dyDescent="0.2">
      <c r="B483" s="22" t="s">
        <v>153</v>
      </c>
      <c r="E483" s="22" t="s">
        <v>154</v>
      </c>
      <c r="S483" s="51">
        <v>54000</v>
      </c>
      <c r="T483" s="50"/>
      <c r="U483" s="51">
        <v>0</v>
      </c>
      <c r="V483" s="50"/>
      <c r="W483" s="50"/>
    </row>
    <row r="485" spans="2:23" x14ac:dyDescent="0.2">
      <c r="B485" s="22" t="s">
        <v>178</v>
      </c>
      <c r="E485" s="22" t="s">
        <v>179</v>
      </c>
    </row>
    <row r="486" spans="2:23" x14ac:dyDescent="0.2">
      <c r="C486" s="2" t="s">
        <v>608</v>
      </c>
      <c r="E486" s="2" t="s">
        <v>607</v>
      </c>
      <c r="I486" s="2" t="s">
        <v>19</v>
      </c>
      <c r="P486" s="2" t="s">
        <v>609</v>
      </c>
      <c r="T486" s="5">
        <v>1425</v>
      </c>
      <c r="V486" s="49">
        <v>0</v>
      </c>
      <c r="W486" s="50"/>
    </row>
    <row r="487" spans="2:23" x14ac:dyDescent="0.2">
      <c r="C487" s="2" t="s">
        <v>611</v>
      </c>
      <c r="E487" s="2" t="s">
        <v>610</v>
      </c>
      <c r="I487" s="2" t="s">
        <v>19</v>
      </c>
      <c r="P487" s="2" t="s">
        <v>612</v>
      </c>
      <c r="T487" s="5">
        <v>908</v>
      </c>
      <c r="V487" s="49">
        <v>0</v>
      </c>
      <c r="W487" s="50"/>
    </row>
    <row r="488" spans="2:23" x14ac:dyDescent="0.2">
      <c r="C488" s="2" t="s">
        <v>614</v>
      </c>
      <c r="E488" s="2" t="s">
        <v>613</v>
      </c>
      <c r="I488" s="2" t="s">
        <v>19</v>
      </c>
      <c r="P488" s="2" t="s">
        <v>615</v>
      </c>
      <c r="T488" s="5">
        <v>600</v>
      </c>
      <c r="V488" s="49">
        <v>0</v>
      </c>
      <c r="W488" s="50"/>
    </row>
    <row r="489" spans="2:23" x14ac:dyDescent="0.2">
      <c r="C489" s="2" t="s">
        <v>617</v>
      </c>
      <c r="E489" s="2" t="s">
        <v>616</v>
      </c>
      <c r="I489" s="2" t="s">
        <v>19</v>
      </c>
      <c r="P489" s="2" t="s">
        <v>609</v>
      </c>
      <c r="T489" s="5">
        <v>3603</v>
      </c>
      <c r="V489" s="49">
        <v>0</v>
      </c>
      <c r="W489" s="50"/>
    </row>
    <row r="490" spans="2:23" x14ac:dyDescent="0.2">
      <c r="B490" s="22" t="s">
        <v>178</v>
      </c>
      <c r="E490" s="22" t="s">
        <v>179</v>
      </c>
      <c r="S490" s="51">
        <v>6536</v>
      </c>
      <c r="T490" s="50"/>
      <c r="U490" s="51">
        <v>0</v>
      </c>
      <c r="V490" s="50"/>
      <c r="W490" s="50"/>
    </row>
    <row r="492" spans="2:23" x14ac:dyDescent="0.2">
      <c r="B492" s="22" t="s">
        <v>22</v>
      </c>
      <c r="E492" s="22" t="s">
        <v>23</v>
      </c>
    </row>
    <row r="493" spans="2:23" x14ac:dyDescent="0.2">
      <c r="C493" s="2" t="s">
        <v>20</v>
      </c>
      <c r="E493" s="2" t="s">
        <v>59</v>
      </c>
      <c r="I493" s="2" t="s">
        <v>19</v>
      </c>
      <c r="P493" s="2" t="s">
        <v>60</v>
      </c>
      <c r="T493" s="5">
        <v>32565</v>
      </c>
      <c r="V493" s="49">
        <v>0</v>
      </c>
      <c r="W493" s="50"/>
    </row>
    <row r="494" spans="2:23" x14ac:dyDescent="0.2">
      <c r="B494" s="22" t="s">
        <v>22</v>
      </c>
      <c r="E494" s="22" t="s">
        <v>23</v>
      </c>
      <c r="S494" s="51">
        <v>32565</v>
      </c>
      <c r="T494" s="50"/>
      <c r="U494" s="51">
        <v>0</v>
      </c>
      <c r="V494" s="50"/>
      <c r="W494" s="50"/>
    </row>
    <row r="495" spans="2:23" x14ac:dyDescent="0.2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</row>
    <row r="496" spans="2:23" x14ac:dyDescent="0.2"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52">
        <v>242604.75</v>
      </c>
      <c r="T496" s="53"/>
      <c r="U496" s="52">
        <v>0</v>
      </c>
      <c r="V496" s="53"/>
      <c r="W496" s="53"/>
    </row>
    <row r="497" spans="2:23" x14ac:dyDescent="0.2">
      <c r="B497" s="8"/>
      <c r="C497" s="8"/>
      <c r="D497" s="20" t="s">
        <v>81</v>
      </c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11">
        <v>242604.75</v>
      </c>
      <c r="S497" s="8"/>
      <c r="T497" s="8"/>
      <c r="U497" s="8"/>
      <c r="V497" s="8"/>
      <c r="W497" s="8"/>
    </row>
    <row r="498" spans="2:23" x14ac:dyDescent="0.2"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</row>
    <row r="500" spans="2:23" ht="15" x14ac:dyDescent="0.2">
      <c r="B500" s="4" t="s">
        <v>82</v>
      </c>
    </row>
    <row r="502" spans="2:23" x14ac:dyDescent="0.2">
      <c r="B502" s="22" t="s">
        <v>245</v>
      </c>
      <c r="E502" s="22" t="s">
        <v>246</v>
      </c>
    </row>
    <row r="503" spans="2:23" x14ac:dyDescent="0.2">
      <c r="C503" s="2" t="s">
        <v>37</v>
      </c>
      <c r="E503" s="2" t="s">
        <v>620</v>
      </c>
      <c r="I503" s="2" t="s">
        <v>19</v>
      </c>
      <c r="P503" s="2" t="s">
        <v>621</v>
      </c>
      <c r="T503" s="5">
        <v>0</v>
      </c>
      <c r="V503" s="49">
        <v>44100</v>
      </c>
      <c r="W503" s="50"/>
    </row>
    <row r="504" spans="2:23" x14ac:dyDescent="0.2">
      <c r="C504" s="2" t="s">
        <v>43</v>
      </c>
      <c r="E504" s="2" t="s">
        <v>618</v>
      </c>
      <c r="I504" s="2" t="s">
        <v>19</v>
      </c>
      <c r="P504" s="2" t="s">
        <v>619</v>
      </c>
      <c r="T504" s="5">
        <v>0</v>
      </c>
      <c r="V504" s="49">
        <v>34375</v>
      </c>
      <c r="W504" s="50"/>
    </row>
    <row r="505" spans="2:23" x14ac:dyDescent="0.2">
      <c r="B505" s="22" t="s">
        <v>245</v>
      </c>
      <c r="E505" s="22" t="s">
        <v>246</v>
      </c>
      <c r="S505" s="51">
        <v>0</v>
      </c>
      <c r="T505" s="50"/>
      <c r="U505" s="51">
        <v>78475</v>
      </c>
      <c r="V505" s="50"/>
      <c r="W505" s="50"/>
    </row>
    <row r="507" spans="2:23" x14ac:dyDescent="0.2">
      <c r="B507" s="22" t="s">
        <v>89</v>
      </c>
      <c r="E507" s="22" t="s">
        <v>90</v>
      </c>
    </row>
    <row r="508" spans="2:23" x14ac:dyDescent="0.2">
      <c r="C508" s="2" t="s">
        <v>623</v>
      </c>
      <c r="E508" s="2" t="s">
        <v>622</v>
      </c>
      <c r="I508" s="2" t="s">
        <v>64</v>
      </c>
      <c r="P508" s="2" t="s">
        <v>624</v>
      </c>
      <c r="T508" s="5">
        <v>0</v>
      </c>
      <c r="V508" s="49">
        <v>4600</v>
      </c>
      <c r="W508" s="50"/>
    </row>
    <row r="509" spans="2:23" x14ac:dyDescent="0.2">
      <c r="C509" s="2" t="s">
        <v>623</v>
      </c>
      <c r="E509" s="2" t="s">
        <v>625</v>
      </c>
      <c r="I509" s="2" t="s">
        <v>64</v>
      </c>
      <c r="P509" s="2" t="s">
        <v>626</v>
      </c>
      <c r="T509" s="5">
        <v>0</v>
      </c>
      <c r="V509" s="49">
        <v>4600</v>
      </c>
      <c r="W509" s="50"/>
    </row>
    <row r="510" spans="2:23" x14ac:dyDescent="0.2">
      <c r="C510" s="2" t="s">
        <v>399</v>
      </c>
      <c r="E510" s="2" t="s">
        <v>627</v>
      </c>
      <c r="I510" s="2" t="s">
        <v>64</v>
      </c>
      <c r="P510" s="2" t="s">
        <v>628</v>
      </c>
      <c r="T510" s="5">
        <v>0</v>
      </c>
      <c r="V510" s="49">
        <v>4600</v>
      </c>
      <c r="W510" s="50"/>
    </row>
    <row r="511" spans="2:23" x14ac:dyDescent="0.2">
      <c r="C511" s="2" t="s">
        <v>630</v>
      </c>
      <c r="E511" s="2" t="s">
        <v>629</v>
      </c>
      <c r="I511" s="2" t="s">
        <v>64</v>
      </c>
      <c r="P511" s="2" t="s">
        <v>631</v>
      </c>
      <c r="T511" s="5">
        <v>0</v>
      </c>
      <c r="V511" s="49">
        <v>2300</v>
      </c>
      <c r="W511" s="50"/>
    </row>
    <row r="512" spans="2:23" x14ac:dyDescent="0.2">
      <c r="C512" s="2" t="s">
        <v>630</v>
      </c>
      <c r="E512" s="2" t="s">
        <v>632</v>
      </c>
      <c r="I512" s="2" t="s">
        <v>64</v>
      </c>
      <c r="P512" s="2" t="s">
        <v>633</v>
      </c>
      <c r="T512" s="5">
        <v>0</v>
      </c>
      <c r="V512" s="49">
        <v>4600</v>
      </c>
      <c r="W512" s="50"/>
    </row>
    <row r="513" spans="2:23" x14ac:dyDescent="0.2">
      <c r="C513" s="2" t="s">
        <v>635</v>
      </c>
      <c r="E513" s="2" t="s">
        <v>634</v>
      </c>
      <c r="I513" s="2" t="s">
        <v>64</v>
      </c>
      <c r="P513" s="2" t="s">
        <v>636</v>
      </c>
      <c r="T513" s="5">
        <v>0</v>
      </c>
      <c r="V513" s="49">
        <v>4600</v>
      </c>
      <c r="W513" s="50"/>
    </row>
    <row r="514" spans="2:23" x14ac:dyDescent="0.2">
      <c r="C514" s="2" t="s">
        <v>635</v>
      </c>
      <c r="E514" s="2" t="s">
        <v>637</v>
      </c>
      <c r="I514" s="2" t="s">
        <v>64</v>
      </c>
      <c r="P514" s="2" t="s">
        <v>638</v>
      </c>
      <c r="T514" s="5">
        <v>0</v>
      </c>
      <c r="V514" s="49">
        <v>4600</v>
      </c>
      <c r="W514" s="50"/>
    </row>
    <row r="515" spans="2:23" x14ac:dyDescent="0.2">
      <c r="C515" s="2" t="s">
        <v>640</v>
      </c>
      <c r="E515" s="2" t="s">
        <v>639</v>
      </c>
      <c r="I515" s="2" t="s">
        <v>64</v>
      </c>
      <c r="P515" s="2" t="s">
        <v>641</v>
      </c>
      <c r="T515" s="5">
        <v>0</v>
      </c>
      <c r="V515" s="49">
        <v>4600</v>
      </c>
      <c r="W515" s="50"/>
    </row>
    <row r="516" spans="2:23" x14ac:dyDescent="0.2">
      <c r="C516" s="2" t="s">
        <v>640</v>
      </c>
      <c r="E516" s="2" t="s">
        <v>643</v>
      </c>
      <c r="I516" s="2" t="s">
        <v>64</v>
      </c>
      <c r="P516" s="2" t="s">
        <v>644</v>
      </c>
      <c r="T516" s="5">
        <v>0</v>
      </c>
      <c r="V516" s="49">
        <v>4600</v>
      </c>
      <c r="W516" s="50"/>
    </row>
    <row r="517" spans="2:23" x14ac:dyDescent="0.2">
      <c r="C517" s="2" t="s">
        <v>646</v>
      </c>
      <c r="E517" s="2" t="s">
        <v>645</v>
      </c>
      <c r="I517" s="2" t="s">
        <v>64</v>
      </c>
      <c r="P517" s="2" t="s">
        <v>647</v>
      </c>
      <c r="T517" s="5">
        <v>0</v>
      </c>
      <c r="V517" s="49">
        <v>4600</v>
      </c>
      <c r="W517" s="50"/>
    </row>
    <row r="518" spans="2:23" x14ac:dyDescent="0.2">
      <c r="C518" s="2" t="s">
        <v>646</v>
      </c>
      <c r="E518" s="2" t="s">
        <v>648</v>
      </c>
      <c r="I518" s="2" t="s">
        <v>64</v>
      </c>
      <c r="P518" s="2" t="s">
        <v>649</v>
      </c>
      <c r="T518" s="5">
        <v>0</v>
      </c>
      <c r="V518" s="49">
        <v>4600</v>
      </c>
      <c r="W518" s="50"/>
    </row>
    <row r="519" spans="2:23" ht="18" x14ac:dyDescent="0.2">
      <c r="B519" s="1" t="s">
        <v>1</v>
      </c>
      <c r="S519" s="55" t="s">
        <v>572</v>
      </c>
      <c r="T519" s="50"/>
      <c r="U519" s="50"/>
      <c r="V519" s="50"/>
      <c r="W519" s="50"/>
    </row>
    <row r="520" spans="2:23" ht="12.75" thickBot="1" x14ac:dyDescent="0.25">
      <c r="B520" s="10" t="s">
        <v>3</v>
      </c>
      <c r="C520" s="6"/>
      <c r="D520" s="6"/>
      <c r="E520" s="6"/>
      <c r="F520" s="6"/>
      <c r="G520" s="6"/>
      <c r="H520" s="6"/>
      <c r="I520" s="6"/>
      <c r="J520" s="6"/>
      <c r="K520" s="6" t="s">
        <v>5</v>
      </c>
      <c r="L520" s="6"/>
      <c r="M520" s="6"/>
      <c r="N520" s="6"/>
      <c r="O520" s="6"/>
      <c r="P520" s="6" t="s">
        <v>4</v>
      </c>
      <c r="Q520" s="6" t="s">
        <v>2730</v>
      </c>
      <c r="R520" s="6"/>
      <c r="S520" s="56" t="s">
        <v>6</v>
      </c>
      <c r="T520" s="57"/>
      <c r="U520" s="57"/>
      <c r="V520" s="57"/>
      <c r="W520" s="57"/>
    </row>
    <row r="521" spans="2:23" ht="12.75" thickTop="1" x14ac:dyDescent="0.2"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</row>
    <row r="522" spans="2:23" x14ac:dyDescent="0.2">
      <c r="C522" s="2" t="s">
        <v>651</v>
      </c>
      <c r="E522" s="2" t="s">
        <v>650</v>
      </c>
      <c r="I522" s="2" t="s">
        <v>64</v>
      </c>
      <c r="P522" s="2" t="s">
        <v>652</v>
      </c>
      <c r="T522" s="5">
        <v>0</v>
      </c>
      <c r="V522" s="49">
        <v>4600</v>
      </c>
      <c r="W522" s="50"/>
    </row>
    <row r="523" spans="2:23" x14ac:dyDescent="0.2">
      <c r="C523" s="2" t="s">
        <v>404</v>
      </c>
      <c r="E523" s="2" t="s">
        <v>653</v>
      </c>
      <c r="I523" s="2" t="s">
        <v>64</v>
      </c>
      <c r="P523" s="2" t="s">
        <v>654</v>
      </c>
      <c r="T523" s="5">
        <v>0</v>
      </c>
      <c r="V523" s="49">
        <v>4600</v>
      </c>
      <c r="W523" s="50"/>
    </row>
    <row r="524" spans="2:23" x14ac:dyDescent="0.2">
      <c r="C524" s="2" t="s">
        <v>404</v>
      </c>
      <c r="E524" s="2" t="s">
        <v>655</v>
      </c>
      <c r="I524" s="2" t="s">
        <v>64</v>
      </c>
      <c r="P524" s="2" t="s">
        <v>656</v>
      </c>
      <c r="T524" s="5">
        <v>0</v>
      </c>
      <c r="V524" s="49">
        <v>4600</v>
      </c>
      <c r="W524" s="50"/>
    </row>
    <row r="525" spans="2:23" x14ac:dyDescent="0.2">
      <c r="C525" s="2" t="s">
        <v>513</v>
      </c>
      <c r="E525" s="2" t="s">
        <v>657</v>
      </c>
      <c r="I525" s="2" t="s">
        <v>64</v>
      </c>
      <c r="P525" s="2" t="s">
        <v>658</v>
      </c>
      <c r="T525" s="5">
        <v>0</v>
      </c>
      <c r="V525" s="49">
        <v>2200</v>
      </c>
      <c r="W525" s="50"/>
    </row>
    <row r="526" spans="2:23" x14ac:dyDescent="0.2">
      <c r="C526" s="2" t="s">
        <v>513</v>
      </c>
      <c r="E526" s="2" t="s">
        <v>659</v>
      </c>
      <c r="I526" s="2" t="s">
        <v>64</v>
      </c>
      <c r="P526" s="2" t="s">
        <v>660</v>
      </c>
      <c r="T526" s="5">
        <v>0</v>
      </c>
      <c r="V526" s="49">
        <v>4600</v>
      </c>
      <c r="W526" s="50"/>
    </row>
    <row r="527" spans="2:23" x14ac:dyDescent="0.2">
      <c r="C527" s="2" t="s">
        <v>407</v>
      </c>
      <c r="E527" s="2" t="s">
        <v>661</v>
      </c>
      <c r="I527" s="2" t="s">
        <v>64</v>
      </c>
      <c r="P527" s="2" t="s">
        <v>662</v>
      </c>
      <c r="T527" s="5">
        <v>0</v>
      </c>
      <c r="V527" s="49">
        <v>4600</v>
      </c>
      <c r="W527" s="50"/>
    </row>
    <row r="528" spans="2:23" x14ac:dyDescent="0.2">
      <c r="C528" s="2" t="s">
        <v>407</v>
      </c>
      <c r="E528" s="2" t="s">
        <v>663</v>
      </c>
      <c r="I528" s="2" t="s">
        <v>64</v>
      </c>
      <c r="P528" s="2" t="s">
        <v>664</v>
      </c>
      <c r="T528" s="5">
        <v>0</v>
      </c>
      <c r="V528" s="49">
        <v>2300</v>
      </c>
      <c r="W528" s="50"/>
    </row>
    <row r="529" spans="3:23" x14ac:dyDescent="0.2">
      <c r="C529" s="2" t="s">
        <v>407</v>
      </c>
      <c r="E529" s="2" t="s">
        <v>665</v>
      </c>
      <c r="I529" s="2" t="s">
        <v>64</v>
      </c>
      <c r="P529" s="2" t="s">
        <v>666</v>
      </c>
      <c r="T529" s="5">
        <v>0</v>
      </c>
      <c r="V529" s="49">
        <v>4600</v>
      </c>
      <c r="W529" s="50"/>
    </row>
    <row r="530" spans="3:23" x14ac:dyDescent="0.2">
      <c r="C530" s="2" t="s">
        <v>25</v>
      </c>
      <c r="E530" s="2" t="s">
        <v>667</v>
      </c>
      <c r="I530" s="2" t="s">
        <v>64</v>
      </c>
      <c r="P530" s="2" t="s">
        <v>668</v>
      </c>
      <c r="T530" s="5">
        <v>0</v>
      </c>
      <c r="V530" s="49">
        <v>4600</v>
      </c>
      <c r="W530" s="50"/>
    </row>
    <row r="531" spans="3:23" x14ac:dyDescent="0.2">
      <c r="C531" s="2" t="s">
        <v>25</v>
      </c>
      <c r="E531" s="2" t="s">
        <v>669</v>
      </c>
      <c r="I531" s="2" t="s">
        <v>64</v>
      </c>
      <c r="P531" s="2" t="s">
        <v>670</v>
      </c>
      <c r="T531" s="5">
        <v>0</v>
      </c>
      <c r="V531" s="49">
        <v>4600</v>
      </c>
      <c r="W531" s="50"/>
    </row>
    <row r="532" spans="3:23" x14ac:dyDescent="0.2">
      <c r="C532" s="2" t="s">
        <v>25</v>
      </c>
      <c r="E532" s="2" t="s">
        <v>671</v>
      </c>
      <c r="I532" s="2" t="s">
        <v>64</v>
      </c>
      <c r="P532" s="2" t="s">
        <v>672</v>
      </c>
      <c r="T532" s="5">
        <v>0</v>
      </c>
      <c r="V532" s="49">
        <v>4600</v>
      </c>
      <c r="W532" s="50"/>
    </row>
    <row r="533" spans="3:23" x14ac:dyDescent="0.2">
      <c r="C533" s="2" t="s">
        <v>410</v>
      </c>
      <c r="E533" s="2" t="s">
        <v>673</v>
      </c>
      <c r="I533" s="2" t="s">
        <v>64</v>
      </c>
      <c r="P533" s="2" t="s">
        <v>674</v>
      </c>
      <c r="T533" s="5">
        <v>0</v>
      </c>
      <c r="V533" s="49">
        <v>4600</v>
      </c>
      <c r="W533" s="50"/>
    </row>
    <row r="534" spans="3:23" x14ac:dyDescent="0.2">
      <c r="C534" s="2" t="s">
        <v>415</v>
      </c>
      <c r="E534" s="2" t="s">
        <v>675</v>
      </c>
      <c r="I534" s="2" t="s">
        <v>64</v>
      </c>
      <c r="P534" s="2" t="s">
        <v>676</v>
      </c>
      <c r="T534" s="5">
        <v>0</v>
      </c>
      <c r="V534" s="49">
        <v>2300</v>
      </c>
      <c r="W534" s="50"/>
    </row>
    <row r="535" spans="3:23" x14ac:dyDescent="0.2">
      <c r="C535" s="2" t="s">
        <v>415</v>
      </c>
      <c r="E535" s="2" t="s">
        <v>677</v>
      </c>
      <c r="I535" s="2" t="s">
        <v>64</v>
      </c>
      <c r="P535" s="2" t="s">
        <v>678</v>
      </c>
      <c r="T535" s="5">
        <v>0</v>
      </c>
      <c r="V535" s="49">
        <v>4600</v>
      </c>
      <c r="W535" s="50"/>
    </row>
    <row r="536" spans="3:23" x14ac:dyDescent="0.2">
      <c r="C536" s="2" t="s">
        <v>357</v>
      </c>
      <c r="E536" s="2" t="s">
        <v>679</v>
      </c>
      <c r="I536" s="2" t="s">
        <v>64</v>
      </c>
      <c r="P536" s="2" t="s">
        <v>680</v>
      </c>
      <c r="T536" s="5">
        <v>0</v>
      </c>
      <c r="V536" s="49">
        <v>2300</v>
      </c>
      <c r="W536" s="50"/>
    </row>
    <row r="537" spans="3:23" x14ac:dyDescent="0.2">
      <c r="C537" s="2" t="s">
        <v>682</v>
      </c>
      <c r="E537" s="2" t="s">
        <v>681</v>
      </c>
      <c r="I537" s="2" t="s">
        <v>64</v>
      </c>
      <c r="P537" s="2" t="s">
        <v>683</v>
      </c>
      <c r="T537" s="5">
        <v>0</v>
      </c>
      <c r="V537" s="49">
        <v>4600</v>
      </c>
      <c r="W537" s="50"/>
    </row>
    <row r="538" spans="3:23" x14ac:dyDescent="0.2">
      <c r="C538" s="2" t="s">
        <v>256</v>
      </c>
      <c r="E538" s="2" t="s">
        <v>684</v>
      </c>
      <c r="I538" s="2" t="s">
        <v>64</v>
      </c>
      <c r="P538" s="2" t="s">
        <v>685</v>
      </c>
      <c r="T538" s="5">
        <v>0</v>
      </c>
      <c r="V538" s="49">
        <v>5300</v>
      </c>
      <c r="W538" s="50"/>
    </row>
    <row r="539" spans="3:23" x14ac:dyDescent="0.2">
      <c r="C539" s="2" t="s">
        <v>256</v>
      </c>
      <c r="E539" s="2" t="s">
        <v>686</v>
      </c>
      <c r="I539" s="2" t="s">
        <v>64</v>
      </c>
      <c r="P539" s="2" t="s">
        <v>687</v>
      </c>
      <c r="T539" s="5">
        <v>0</v>
      </c>
      <c r="V539" s="49">
        <v>5300</v>
      </c>
      <c r="W539" s="50"/>
    </row>
    <row r="540" spans="3:23" x14ac:dyDescent="0.2">
      <c r="C540" s="2" t="s">
        <v>256</v>
      </c>
      <c r="E540" s="2" t="s">
        <v>688</v>
      </c>
      <c r="I540" s="2" t="s">
        <v>64</v>
      </c>
      <c r="P540" s="2" t="s">
        <v>689</v>
      </c>
      <c r="T540" s="5">
        <v>0</v>
      </c>
      <c r="V540" s="49">
        <v>5300</v>
      </c>
      <c r="W540" s="50"/>
    </row>
    <row r="541" spans="3:23" x14ac:dyDescent="0.2">
      <c r="C541" s="2" t="s">
        <v>531</v>
      </c>
      <c r="E541" s="2" t="s">
        <v>690</v>
      </c>
      <c r="I541" s="2" t="s">
        <v>64</v>
      </c>
      <c r="P541" s="2" t="s">
        <v>691</v>
      </c>
      <c r="T541" s="5">
        <v>0</v>
      </c>
      <c r="V541" s="49">
        <v>5300</v>
      </c>
      <c r="W541" s="50"/>
    </row>
    <row r="542" spans="3:23" x14ac:dyDescent="0.2">
      <c r="C542" s="2" t="s">
        <v>531</v>
      </c>
      <c r="E542" s="2" t="s">
        <v>692</v>
      </c>
      <c r="I542" s="2" t="s">
        <v>64</v>
      </c>
      <c r="P542" s="2" t="s">
        <v>95</v>
      </c>
      <c r="T542" s="5">
        <v>0</v>
      </c>
      <c r="V542" s="49">
        <v>5300</v>
      </c>
      <c r="W542" s="50"/>
    </row>
    <row r="543" spans="3:23" x14ac:dyDescent="0.2">
      <c r="C543" s="2" t="s">
        <v>536</v>
      </c>
      <c r="E543" s="2" t="s">
        <v>693</v>
      </c>
      <c r="I543" s="2" t="s">
        <v>64</v>
      </c>
      <c r="P543" s="2" t="s">
        <v>694</v>
      </c>
      <c r="T543" s="5">
        <v>0</v>
      </c>
      <c r="V543" s="49">
        <v>5300</v>
      </c>
      <c r="W543" s="50"/>
    </row>
    <row r="544" spans="3:23" x14ac:dyDescent="0.2">
      <c r="C544" s="2" t="s">
        <v>541</v>
      </c>
      <c r="E544" s="2" t="s">
        <v>695</v>
      </c>
      <c r="I544" s="2" t="s">
        <v>64</v>
      </c>
      <c r="P544" s="2" t="s">
        <v>696</v>
      </c>
      <c r="T544" s="5">
        <v>0</v>
      </c>
      <c r="V544" s="49">
        <v>5300</v>
      </c>
      <c r="W544" s="50"/>
    </row>
    <row r="545" spans="3:23" x14ac:dyDescent="0.2">
      <c r="C545" s="2" t="s">
        <v>220</v>
      </c>
      <c r="E545" s="2" t="s">
        <v>697</v>
      </c>
      <c r="I545" s="2" t="s">
        <v>64</v>
      </c>
      <c r="P545" s="2" t="s">
        <v>698</v>
      </c>
      <c r="T545" s="5">
        <v>0</v>
      </c>
      <c r="V545" s="49">
        <v>5300</v>
      </c>
      <c r="W545" s="50"/>
    </row>
    <row r="546" spans="3:23" x14ac:dyDescent="0.2">
      <c r="C546" s="2" t="s">
        <v>220</v>
      </c>
      <c r="E546" s="2" t="s">
        <v>699</v>
      </c>
      <c r="I546" s="2" t="s">
        <v>64</v>
      </c>
      <c r="P546" s="2" t="s">
        <v>700</v>
      </c>
      <c r="T546" s="5">
        <v>0</v>
      </c>
      <c r="V546" s="49">
        <v>5300</v>
      </c>
      <c r="W546" s="50"/>
    </row>
    <row r="547" spans="3:23" x14ac:dyDescent="0.2">
      <c r="C547" s="2" t="s">
        <v>220</v>
      </c>
      <c r="E547" s="2" t="s">
        <v>701</v>
      </c>
      <c r="I547" s="2" t="s">
        <v>64</v>
      </c>
      <c r="P547" s="2" t="s">
        <v>702</v>
      </c>
      <c r="T547" s="5">
        <v>0</v>
      </c>
      <c r="V547" s="49">
        <v>2650</v>
      </c>
      <c r="W547" s="50"/>
    </row>
    <row r="548" spans="3:23" x14ac:dyDescent="0.2">
      <c r="C548" s="2" t="s">
        <v>220</v>
      </c>
      <c r="E548" s="2" t="s">
        <v>703</v>
      </c>
      <c r="I548" s="2" t="s">
        <v>64</v>
      </c>
      <c r="P548" s="2" t="s">
        <v>95</v>
      </c>
      <c r="T548" s="5">
        <v>0</v>
      </c>
      <c r="V548" s="49">
        <v>5300</v>
      </c>
      <c r="W548" s="50"/>
    </row>
    <row r="549" spans="3:23" x14ac:dyDescent="0.2">
      <c r="C549" s="2" t="s">
        <v>705</v>
      </c>
      <c r="E549" s="2" t="s">
        <v>704</v>
      </c>
      <c r="I549" s="2" t="s">
        <v>64</v>
      </c>
      <c r="P549" s="2" t="s">
        <v>95</v>
      </c>
      <c r="T549" s="5">
        <v>0</v>
      </c>
      <c r="V549" s="49">
        <v>5300</v>
      </c>
      <c r="W549" s="50"/>
    </row>
    <row r="550" spans="3:23" x14ac:dyDescent="0.2">
      <c r="C550" s="2" t="s">
        <v>705</v>
      </c>
      <c r="E550" s="2" t="s">
        <v>706</v>
      </c>
      <c r="I550" s="2" t="s">
        <v>64</v>
      </c>
      <c r="P550" s="2" t="s">
        <v>707</v>
      </c>
      <c r="T550" s="5">
        <v>0</v>
      </c>
      <c r="V550" s="49">
        <v>5300</v>
      </c>
      <c r="W550" s="50"/>
    </row>
    <row r="551" spans="3:23" x14ac:dyDescent="0.2">
      <c r="C551" s="2" t="s">
        <v>709</v>
      </c>
      <c r="E551" s="2" t="s">
        <v>708</v>
      </c>
      <c r="I551" s="2" t="s">
        <v>64</v>
      </c>
      <c r="P551" s="2" t="s">
        <v>710</v>
      </c>
      <c r="T551" s="5">
        <v>0</v>
      </c>
      <c r="V551" s="49">
        <v>2650</v>
      </c>
      <c r="W551" s="50"/>
    </row>
    <row r="552" spans="3:23" x14ac:dyDescent="0.2">
      <c r="C552" s="2" t="s">
        <v>267</v>
      </c>
      <c r="E552" s="2" t="s">
        <v>711</v>
      </c>
      <c r="I552" s="2" t="s">
        <v>64</v>
      </c>
      <c r="P552" s="2" t="s">
        <v>712</v>
      </c>
      <c r="T552" s="5">
        <v>0</v>
      </c>
      <c r="V552" s="49">
        <v>5300</v>
      </c>
      <c r="W552" s="50"/>
    </row>
    <row r="553" spans="3:23" x14ac:dyDescent="0.2">
      <c r="C553" s="2" t="s">
        <v>267</v>
      </c>
      <c r="E553" s="2" t="s">
        <v>713</v>
      </c>
      <c r="I553" s="2" t="s">
        <v>64</v>
      </c>
      <c r="P553" s="2" t="s">
        <v>714</v>
      </c>
      <c r="T553" s="5">
        <v>0</v>
      </c>
      <c r="V553" s="49">
        <v>5300</v>
      </c>
      <c r="W553" s="50"/>
    </row>
    <row r="554" spans="3:23" x14ac:dyDescent="0.2">
      <c r="C554" s="2" t="s">
        <v>267</v>
      </c>
      <c r="E554" s="2" t="s">
        <v>715</v>
      </c>
      <c r="I554" s="2" t="s">
        <v>64</v>
      </c>
      <c r="P554" s="2" t="s">
        <v>716</v>
      </c>
      <c r="T554" s="5">
        <v>0</v>
      </c>
      <c r="V554" s="49">
        <v>5300</v>
      </c>
      <c r="W554" s="50"/>
    </row>
    <row r="555" spans="3:23" x14ac:dyDescent="0.2">
      <c r="C555" s="2" t="s">
        <v>444</v>
      </c>
      <c r="E555" s="2" t="s">
        <v>717</v>
      </c>
      <c r="I555" s="2" t="s">
        <v>64</v>
      </c>
      <c r="P555" s="2" t="s">
        <v>718</v>
      </c>
      <c r="T555" s="5">
        <v>0</v>
      </c>
      <c r="V555" s="49">
        <v>5300</v>
      </c>
      <c r="W555" s="50"/>
    </row>
    <row r="556" spans="3:23" x14ac:dyDescent="0.2">
      <c r="C556" s="2" t="s">
        <v>444</v>
      </c>
      <c r="E556" s="2" t="s">
        <v>719</v>
      </c>
      <c r="I556" s="2" t="s">
        <v>64</v>
      </c>
      <c r="P556" s="2" t="s">
        <v>720</v>
      </c>
      <c r="T556" s="5">
        <v>0</v>
      </c>
      <c r="V556" s="49">
        <v>5300</v>
      </c>
      <c r="W556" s="50"/>
    </row>
    <row r="557" spans="3:23" x14ac:dyDescent="0.2">
      <c r="C557" s="2" t="s">
        <v>481</v>
      </c>
      <c r="E557" s="2" t="s">
        <v>721</v>
      </c>
      <c r="I557" s="2" t="s">
        <v>64</v>
      </c>
      <c r="P557" s="2" t="s">
        <v>722</v>
      </c>
      <c r="T557" s="5">
        <v>0</v>
      </c>
      <c r="V557" s="49">
        <v>5300</v>
      </c>
      <c r="W557" s="50"/>
    </row>
    <row r="558" spans="3:23" x14ac:dyDescent="0.2">
      <c r="C558" s="2" t="s">
        <v>49</v>
      </c>
      <c r="E558" s="2" t="s">
        <v>91</v>
      </c>
      <c r="I558" s="2" t="s">
        <v>19</v>
      </c>
      <c r="P558" s="2" t="s">
        <v>93</v>
      </c>
      <c r="T558" s="5">
        <v>0</v>
      </c>
      <c r="V558" s="49">
        <v>22854.9</v>
      </c>
      <c r="W558" s="50"/>
    </row>
    <row r="559" spans="3:23" x14ac:dyDescent="0.2">
      <c r="C559" s="2" t="s">
        <v>49</v>
      </c>
      <c r="E559" s="2" t="s">
        <v>723</v>
      </c>
      <c r="I559" s="2" t="s">
        <v>64</v>
      </c>
      <c r="P559" s="2" t="s">
        <v>674</v>
      </c>
      <c r="T559" s="5">
        <v>0</v>
      </c>
      <c r="V559" s="49">
        <v>5300</v>
      </c>
      <c r="W559" s="50"/>
    </row>
    <row r="560" spans="3:23" x14ac:dyDescent="0.2">
      <c r="C560" s="2" t="s">
        <v>49</v>
      </c>
      <c r="E560" s="2" t="s">
        <v>724</v>
      </c>
      <c r="I560" s="2" t="s">
        <v>64</v>
      </c>
      <c r="P560" s="2" t="s">
        <v>725</v>
      </c>
      <c r="T560" s="5">
        <v>0</v>
      </c>
      <c r="V560" s="49">
        <v>1060</v>
      </c>
      <c r="W560" s="50"/>
    </row>
    <row r="561" spans="2:23" x14ac:dyDescent="0.2">
      <c r="C561" s="2" t="s">
        <v>49</v>
      </c>
      <c r="E561" s="2" t="s">
        <v>726</v>
      </c>
      <c r="I561" s="2" t="s">
        <v>64</v>
      </c>
      <c r="P561" s="2" t="s">
        <v>727</v>
      </c>
      <c r="T561" s="5">
        <v>0</v>
      </c>
      <c r="V561" s="49">
        <v>5300</v>
      </c>
      <c r="W561" s="50"/>
    </row>
    <row r="562" spans="2:23" x14ac:dyDescent="0.2">
      <c r="C562" s="2" t="s">
        <v>49</v>
      </c>
      <c r="E562" s="2" t="s">
        <v>728</v>
      </c>
      <c r="I562" s="2" t="s">
        <v>64</v>
      </c>
      <c r="P562" s="2" t="s">
        <v>729</v>
      </c>
      <c r="T562" s="5">
        <v>0</v>
      </c>
      <c r="V562" s="49">
        <v>5300</v>
      </c>
      <c r="W562" s="50"/>
    </row>
    <row r="563" spans="2:23" x14ac:dyDescent="0.2">
      <c r="C563" s="2" t="s">
        <v>49</v>
      </c>
      <c r="E563" s="2" t="s">
        <v>730</v>
      </c>
      <c r="I563" s="2" t="s">
        <v>64</v>
      </c>
      <c r="P563" s="2" t="s">
        <v>731</v>
      </c>
      <c r="T563" s="5">
        <v>0</v>
      </c>
      <c r="V563" s="49">
        <v>5300</v>
      </c>
      <c r="W563" s="50"/>
    </row>
    <row r="564" spans="2:23" x14ac:dyDescent="0.2">
      <c r="C564" s="2" t="s">
        <v>733</v>
      </c>
      <c r="E564" s="2" t="s">
        <v>732</v>
      </c>
      <c r="I564" s="2" t="s">
        <v>64</v>
      </c>
      <c r="P564" s="2" t="s">
        <v>734</v>
      </c>
      <c r="T564" s="5">
        <v>0</v>
      </c>
      <c r="V564" s="49">
        <v>2650</v>
      </c>
      <c r="W564" s="50"/>
    </row>
    <row r="565" spans="2:23" x14ac:dyDescent="0.2">
      <c r="C565" s="2" t="s">
        <v>736</v>
      </c>
      <c r="E565" s="2" t="s">
        <v>735</v>
      </c>
      <c r="I565" s="2" t="s">
        <v>64</v>
      </c>
      <c r="P565" s="2" t="s">
        <v>737</v>
      </c>
      <c r="T565" s="5">
        <v>0</v>
      </c>
      <c r="V565" s="49">
        <v>5300</v>
      </c>
      <c r="W565" s="50"/>
    </row>
    <row r="566" spans="2:23" x14ac:dyDescent="0.2">
      <c r="C566" s="2" t="s">
        <v>736</v>
      </c>
      <c r="E566" s="2" t="s">
        <v>738</v>
      </c>
      <c r="I566" s="2" t="s">
        <v>64</v>
      </c>
      <c r="P566" s="2" t="s">
        <v>95</v>
      </c>
      <c r="T566" s="5">
        <v>0</v>
      </c>
      <c r="V566" s="49">
        <v>1060</v>
      </c>
      <c r="W566" s="50"/>
    </row>
    <row r="567" spans="2:23" x14ac:dyDescent="0.2">
      <c r="C567" s="2" t="s">
        <v>270</v>
      </c>
      <c r="E567" s="2" t="s">
        <v>739</v>
      </c>
      <c r="I567" s="2" t="s">
        <v>64</v>
      </c>
      <c r="P567" s="2" t="s">
        <v>740</v>
      </c>
      <c r="T567" s="5">
        <v>0</v>
      </c>
      <c r="V567" s="49">
        <v>5300</v>
      </c>
      <c r="W567" s="50"/>
    </row>
    <row r="568" spans="2:23" x14ac:dyDescent="0.2">
      <c r="C568" s="2" t="s">
        <v>742</v>
      </c>
      <c r="E568" s="2" t="s">
        <v>741</v>
      </c>
      <c r="I568" s="2" t="s">
        <v>64</v>
      </c>
      <c r="P568" s="2" t="s">
        <v>743</v>
      </c>
      <c r="T568" s="5">
        <v>0</v>
      </c>
      <c r="V568" s="49">
        <v>5300</v>
      </c>
      <c r="W568" s="50"/>
    </row>
    <row r="569" spans="2:23" x14ac:dyDescent="0.2">
      <c r="C569" s="2" t="s">
        <v>299</v>
      </c>
      <c r="E569" s="2" t="s">
        <v>744</v>
      </c>
      <c r="I569" s="2" t="s">
        <v>64</v>
      </c>
      <c r="P569" s="2" t="s">
        <v>725</v>
      </c>
      <c r="T569" s="5">
        <v>0</v>
      </c>
      <c r="V569" s="49">
        <v>3180</v>
      </c>
      <c r="W569" s="50"/>
    </row>
    <row r="570" spans="2:23" x14ac:dyDescent="0.2">
      <c r="C570" s="2" t="s">
        <v>20</v>
      </c>
      <c r="E570" s="2" t="s">
        <v>338</v>
      </c>
      <c r="I570" s="2" t="s">
        <v>19</v>
      </c>
      <c r="P570" s="2" t="s">
        <v>339</v>
      </c>
      <c r="T570" s="5">
        <v>0</v>
      </c>
      <c r="V570" s="49">
        <v>-29531.05</v>
      </c>
      <c r="W570" s="50"/>
    </row>
    <row r="571" spans="2:23" x14ac:dyDescent="0.2">
      <c r="B571" s="22" t="s">
        <v>89</v>
      </c>
      <c r="E571" s="22" t="s">
        <v>90</v>
      </c>
      <c r="S571" s="51">
        <v>0</v>
      </c>
      <c r="T571" s="50"/>
      <c r="U571" s="51">
        <v>251673.84999999998</v>
      </c>
      <c r="V571" s="50"/>
      <c r="W571" s="50"/>
    </row>
    <row r="572" spans="2:23" x14ac:dyDescent="0.2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</row>
    <row r="573" spans="2:23" x14ac:dyDescent="0.2"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52">
        <v>0</v>
      </c>
      <c r="T573" s="53"/>
      <c r="U573" s="52">
        <v>330148.84999999998</v>
      </c>
      <c r="V573" s="53"/>
      <c r="W573" s="53"/>
    </row>
    <row r="574" spans="2:23" x14ac:dyDescent="0.2">
      <c r="B574" s="8"/>
      <c r="C574" s="8"/>
      <c r="D574" s="20" t="s">
        <v>96</v>
      </c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11">
        <v>330148.84999999998</v>
      </c>
      <c r="S574" s="8"/>
      <c r="T574" s="8"/>
      <c r="U574" s="8"/>
      <c r="V574" s="8"/>
      <c r="W574" s="8"/>
    </row>
    <row r="575" spans="2:23" x14ac:dyDescent="0.2"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</row>
    <row r="576" spans="2:23" x14ac:dyDescent="0.2">
      <c r="B576" s="22" t="s">
        <v>7</v>
      </c>
      <c r="D576" s="22" t="s">
        <v>573</v>
      </c>
      <c r="O576" s="20" t="s">
        <v>97</v>
      </c>
      <c r="P576" s="8"/>
      <c r="Q576" s="8"/>
      <c r="R576" s="11">
        <v>87544.1</v>
      </c>
    </row>
    <row r="577" spans="2:23" x14ac:dyDescent="0.2">
      <c r="O577" s="9"/>
      <c r="P577" s="9"/>
      <c r="Q577" s="9"/>
      <c r="R577" s="9"/>
    </row>
    <row r="578" spans="2:23" x14ac:dyDescent="0.2">
      <c r="B578" s="2" t="s">
        <v>98</v>
      </c>
    </row>
    <row r="580" spans="2:23" ht="24" customHeight="1" x14ac:dyDescent="0.2">
      <c r="B580" s="54" t="s">
        <v>0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</row>
    <row r="581" spans="2:23" ht="18" x14ac:dyDescent="0.2">
      <c r="B581" s="1" t="s">
        <v>1</v>
      </c>
      <c r="S581" s="55" t="s">
        <v>642</v>
      </c>
      <c r="T581" s="50"/>
      <c r="U581" s="50"/>
      <c r="V581" s="50"/>
      <c r="W581" s="50"/>
    </row>
    <row r="582" spans="2:23" ht="12.75" thickBot="1" x14ac:dyDescent="0.25">
      <c r="B582" s="10" t="s">
        <v>3</v>
      </c>
      <c r="C582" s="6"/>
      <c r="D582" s="6"/>
      <c r="E582" s="6"/>
      <c r="F582" s="6"/>
      <c r="G582" s="6"/>
      <c r="H582" s="6"/>
      <c r="I582" s="6"/>
      <c r="J582" s="6"/>
      <c r="K582" s="6" t="s">
        <v>5</v>
      </c>
      <c r="L582" s="6"/>
      <c r="M582" s="6"/>
      <c r="N582" s="6"/>
      <c r="O582" s="6"/>
      <c r="P582" s="6" t="s">
        <v>4</v>
      </c>
      <c r="Q582" s="6" t="s">
        <v>2730</v>
      </c>
      <c r="R582" s="6"/>
      <c r="S582" s="56" t="s">
        <v>6</v>
      </c>
      <c r="T582" s="57"/>
      <c r="U582" s="57"/>
      <c r="V582" s="57"/>
      <c r="W582" s="57"/>
    </row>
    <row r="583" spans="2:23" ht="12.75" thickTop="1" x14ac:dyDescent="0.2"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</row>
    <row r="584" spans="2:23" ht="15.75" x14ac:dyDescent="0.2">
      <c r="B584" s="3" t="s">
        <v>7</v>
      </c>
      <c r="F584" s="3" t="s">
        <v>746</v>
      </c>
    </row>
    <row r="586" spans="2:23" x14ac:dyDescent="0.2">
      <c r="B586" s="8"/>
      <c r="C586" s="20" t="s">
        <v>8</v>
      </c>
      <c r="D586" s="8"/>
      <c r="E586" s="20" t="s">
        <v>9</v>
      </c>
      <c r="F586" s="8"/>
      <c r="G586" s="8"/>
      <c r="H586" s="8"/>
      <c r="I586" s="20" t="s">
        <v>13</v>
      </c>
      <c r="J586" s="8"/>
      <c r="K586" s="8"/>
      <c r="L586" s="20" t="s">
        <v>12</v>
      </c>
      <c r="M586" s="8"/>
      <c r="N586" s="8"/>
      <c r="O586" s="8"/>
      <c r="P586" s="20" t="s">
        <v>14</v>
      </c>
      <c r="Q586" s="8"/>
      <c r="R586" s="8"/>
      <c r="S586" s="8"/>
      <c r="T586" s="21" t="s">
        <v>11</v>
      </c>
      <c r="U586" s="8"/>
      <c r="V586" s="58" t="s">
        <v>10</v>
      </c>
      <c r="W586" s="59"/>
    </row>
    <row r="587" spans="2:23" x14ac:dyDescent="0.2"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</row>
    <row r="588" spans="2:23" ht="15" x14ac:dyDescent="0.2">
      <c r="B588" s="4" t="s">
        <v>15</v>
      </c>
    </row>
    <row r="590" spans="2:23" x14ac:dyDescent="0.2">
      <c r="B590" s="22" t="s">
        <v>747</v>
      </c>
      <c r="E590" s="22" t="s">
        <v>748</v>
      </c>
    </row>
    <row r="591" spans="2:23" x14ac:dyDescent="0.2">
      <c r="C591" s="2" t="s">
        <v>37</v>
      </c>
      <c r="E591" s="2" t="s">
        <v>749</v>
      </c>
      <c r="I591" s="2" t="s">
        <v>19</v>
      </c>
      <c r="P591" s="2" t="s">
        <v>750</v>
      </c>
      <c r="T591" s="5">
        <v>6000</v>
      </c>
      <c r="V591" s="49">
        <v>0</v>
      </c>
      <c r="W591" s="50"/>
    </row>
    <row r="592" spans="2:23" x14ac:dyDescent="0.2">
      <c r="B592" s="22" t="s">
        <v>747</v>
      </c>
      <c r="E592" s="22" t="s">
        <v>748</v>
      </c>
      <c r="S592" s="51">
        <v>6000</v>
      </c>
      <c r="T592" s="50"/>
      <c r="U592" s="51">
        <v>0</v>
      </c>
      <c r="V592" s="50"/>
      <c r="W592" s="50"/>
    </row>
    <row r="594" spans="2:23" x14ac:dyDescent="0.2">
      <c r="B594" s="22" t="s">
        <v>109</v>
      </c>
      <c r="E594" s="22" t="s">
        <v>110</v>
      </c>
    </row>
    <row r="595" spans="2:23" x14ac:dyDescent="0.2">
      <c r="C595" s="2" t="s">
        <v>25</v>
      </c>
      <c r="E595" s="2" t="s">
        <v>751</v>
      </c>
      <c r="I595" s="2" t="s">
        <v>106</v>
      </c>
      <c r="L595" s="2" t="s">
        <v>133</v>
      </c>
      <c r="P595" s="2" t="s">
        <v>752</v>
      </c>
      <c r="T595" s="5">
        <v>7355</v>
      </c>
      <c r="V595" s="49">
        <v>0</v>
      </c>
      <c r="W595" s="50"/>
    </row>
    <row r="596" spans="2:23" x14ac:dyDescent="0.2">
      <c r="C596" s="2" t="s">
        <v>28</v>
      </c>
      <c r="E596" s="2" t="s">
        <v>753</v>
      </c>
      <c r="I596" s="2" t="s">
        <v>106</v>
      </c>
      <c r="L596" s="2" t="s">
        <v>133</v>
      </c>
      <c r="P596" s="2" t="s">
        <v>754</v>
      </c>
      <c r="T596" s="5">
        <v>6985</v>
      </c>
      <c r="V596" s="49">
        <v>0</v>
      </c>
      <c r="W596" s="50"/>
    </row>
    <row r="597" spans="2:23" x14ac:dyDescent="0.2">
      <c r="C597" s="2" t="s">
        <v>31</v>
      </c>
      <c r="E597" s="2" t="s">
        <v>755</v>
      </c>
      <c r="I597" s="2" t="s">
        <v>106</v>
      </c>
      <c r="L597" s="2" t="s">
        <v>133</v>
      </c>
      <c r="P597" s="2" t="s">
        <v>756</v>
      </c>
      <c r="T597" s="5">
        <v>1571</v>
      </c>
      <c r="V597" s="49">
        <v>0</v>
      </c>
      <c r="W597" s="50"/>
    </row>
    <row r="598" spans="2:23" x14ac:dyDescent="0.2">
      <c r="C598" s="2" t="s">
        <v>31</v>
      </c>
      <c r="E598" s="2" t="s">
        <v>757</v>
      </c>
      <c r="I598" s="2" t="s">
        <v>106</v>
      </c>
      <c r="L598" s="2" t="s">
        <v>133</v>
      </c>
      <c r="P598" s="2" t="s">
        <v>756</v>
      </c>
      <c r="T598" s="5">
        <v>7800</v>
      </c>
      <c r="V598" s="49">
        <v>0</v>
      </c>
      <c r="W598" s="50"/>
    </row>
    <row r="599" spans="2:23" x14ac:dyDescent="0.2">
      <c r="C599" s="2" t="s">
        <v>34</v>
      </c>
      <c r="E599" s="2" t="s">
        <v>758</v>
      </c>
      <c r="I599" s="2" t="s">
        <v>106</v>
      </c>
      <c r="L599" s="2" t="s">
        <v>133</v>
      </c>
      <c r="P599" s="2" t="s">
        <v>759</v>
      </c>
      <c r="T599" s="5">
        <v>6945</v>
      </c>
      <c r="V599" s="49">
        <v>0</v>
      </c>
      <c r="W599" s="50"/>
    </row>
    <row r="600" spans="2:23" x14ac:dyDescent="0.2">
      <c r="C600" s="2" t="s">
        <v>34</v>
      </c>
      <c r="E600" s="2" t="s">
        <v>760</v>
      </c>
      <c r="I600" s="2" t="s">
        <v>106</v>
      </c>
      <c r="L600" s="2" t="s">
        <v>133</v>
      </c>
      <c r="P600" s="2" t="s">
        <v>759</v>
      </c>
      <c r="T600" s="5">
        <v>2940</v>
      </c>
      <c r="V600" s="49">
        <v>0</v>
      </c>
      <c r="W600" s="50"/>
    </row>
    <row r="601" spans="2:23" x14ac:dyDescent="0.2">
      <c r="C601" s="2" t="s">
        <v>37</v>
      </c>
      <c r="E601" s="2" t="s">
        <v>761</v>
      </c>
      <c r="I601" s="2" t="s">
        <v>106</v>
      </c>
      <c r="L601" s="2" t="s">
        <v>133</v>
      </c>
      <c r="P601" s="2" t="s">
        <v>762</v>
      </c>
      <c r="T601" s="5">
        <v>8975</v>
      </c>
      <c r="V601" s="49">
        <v>0</v>
      </c>
      <c r="W601" s="50"/>
    </row>
    <row r="602" spans="2:23" x14ac:dyDescent="0.2">
      <c r="C602" s="2" t="s">
        <v>40</v>
      </c>
      <c r="E602" s="2" t="s">
        <v>763</v>
      </c>
      <c r="I602" s="2" t="s">
        <v>106</v>
      </c>
      <c r="L602" s="2" t="s">
        <v>133</v>
      </c>
      <c r="P602" s="2" t="s">
        <v>764</v>
      </c>
      <c r="T602" s="5">
        <v>11025</v>
      </c>
      <c r="V602" s="49">
        <v>0</v>
      </c>
      <c r="W602" s="50"/>
    </row>
    <row r="603" spans="2:23" x14ac:dyDescent="0.2">
      <c r="C603" s="2" t="s">
        <v>46</v>
      </c>
      <c r="E603" s="2" t="s">
        <v>132</v>
      </c>
      <c r="I603" s="2" t="s">
        <v>106</v>
      </c>
      <c r="L603" s="2" t="s">
        <v>133</v>
      </c>
      <c r="P603" s="2" t="s">
        <v>134</v>
      </c>
      <c r="T603" s="5">
        <v>205</v>
      </c>
      <c r="V603" s="49">
        <v>0</v>
      </c>
      <c r="W603" s="50"/>
    </row>
    <row r="604" spans="2:23" x14ac:dyDescent="0.2">
      <c r="C604" s="2" t="s">
        <v>49</v>
      </c>
      <c r="E604" s="2" t="s">
        <v>765</v>
      </c>
      <c r="I604" s="2" t="s">
        <v>106</v>
      </c>
      <c r="L604" s="2" t="s">
        <v>133</v>
      </c>
      <c r="P604" s="2" t="s">
        <v>766</v>
      </c>
      <c r="T604" s="5">
        <v>7390</v>
      </c>
      <c r="V604" s="49">
        <v>0</v>
      </c>
      <c r="W604" s="50"/>
    </row>
    <row r="605" spans="2:23" x14ac:dyDescent="0.2">
      <c r="C605" s="2" t="s">
        <v>52</v>
      </c>
      <c r="E605" s="2" t="s">
        <v>767</v>
      </c>
      <c r="I605" s="2" t="s">
        <v>106</v>
      </c>
      <c r="L605" s="2" t="s">
        <v>133</v>
      </c>
      <c r="P605" s="2" t="s">
        <v>768</v>
      </c>
      <c r="T605" s="5">
        <v>7055</v>
      </c>
      <c r="V605" s="49">
        <v>0</v>
      </c>
      <c r="W605" s="50"/>
    </row>
    <row r="606" spans="2:23" x14ac:dyDescent="0.2">
      <c r="C606" s="2" t="s">
        <v>55</v>
      </c>
      <c r="E606" s="2" t="s">
        <v>769</v>
      </c>
      <c r="I606" s="2" t="s">
        <v>106</v>
      </c>
      <c r="L606" s="2" t="s">
        <v>133</v>
      </c>
      <c r="P606" s="2" t="s">
        <v>770</v>
      </c>
      <c r="T606" s="5">
        <v>8700</v>
      </c>
      <c r="V606" s="49">
        <v>0</v>
      </c>
      <c r="W606" s="50"/>
    </row>
    <row r="607" spans="2:23" x14ac:dyDescent="0.2">
      <c r="C607" s="2" t="s">
        <v>20</v>
      </c>
      <c r="E607" s="2" t="s">
        <v>771</v>
      </c>
      <c r="I607" s="2" t="s">
        <v>106</v>
      </c>
      <c r="L607" s="2" t="s">
        <v>133</v>
      </c>
      <c r="P607" s="2" t="s">
        <v>772</v>
      </c>
      <c r="T607" s="5">
        <v>8130</v>
      </c>
      <c r="V607" s="49">
        <v>0</v>
      </c>
      <c r="W607" s="50"/>
    </row>
    <row r="608" spans="2:23" x14ac:dyDescent="0.2">
      <c r="B608" s="22" t="s">
        <v>109</v>
      </c>
      <c r="E608" s="22" t="s">
        <v>110</v>
      </c>
      <c r="S608" s="51">
        <v>85076</v>
      </c>
      <c r="T608" s="50"/>
      <c r="U608" s="51">
        <v>0</v>
      </c>
      <c r="V608" s="50"/>
      <c r="W608" s="50"/>
    </row>
    <row r="610" spans="2:23" x14ac:dyDescent="0.2">
      <c r="B610" s="22" t="s">
        <v>147</v>
      </c>
      <c r="E610" s="22" t="s">
        <v>148</v>
      </c>
    </row>
    <row r="611" spans="2:23" x14ac:dyDescent="0.2">
      <c r="C611" s="2" t="s">
        <v>775</v>
      </c>
      <c r="E611" s="2" t="s">
        <v>773</v>
      </c>
      <c r="I611" s="2" t="s">
        <v>106</v>
      </c>
      <c r="L611" s="2" t="s">
        <v>774</v>
      </c>
      <c r="P611" s="2" t="s">
        <v>235</v>
      </c>
      <c r="T611" s="5">
        <v>4500</v>
      </c>
      <c r="V611" s="49">
        <v>0</v>
      </c>
      <c r="W611" s="50"/>
    </row>
    <row r="612" spans="2:23" x14ac:dyDescent="0.2">
      <c r="C612" s="2" t="s">
        <v>601</v>
      </c>
      <c r="E612" s="2" t="s">
        <v>599</v>
      </c>
      <c r="I612" s="2" t="s">
        <v>106</v>
      </c>
      <c r="L612" s="2" t="s">
        <v>600</v>
      </c>
      <c r="P612" s="2" t="s">
        <v>602</v>
      </c>
      <c r="T612" s="5">
        <v>4600</v>
      </c>
      <c r="V612" s="49">
        <v>0</v>
      </c>
      <c r="W612" s="50"/>
    </row>
    <row r="613" spans="2:23" x14ac:dyDescent="0.2">
      <c r="B613" s="22" t="s">
        <v>147</v>
      </c>
      <c r="E613" s="22" t="s">
        <v>148</v>
      </c>
      <c r="S613" s="51">
        <v>9100</v>
      </c>
      <c r="T613" s="50"/>
      <c r="U613" s="51">
        <v>0</v>
      </c>
      <c r="V613" s="50"/>
      <c r="W613" s="50"/>
    </row>
    <row r="615" spans="2:23" x14ac:dyDescent="0.2">
      <c r="B615" s="22" t="s">
        <v>16</v>
      </c>
      <c r="E615" s="22" t="s">
        <v>17</v>
      </c>
    </row>
    <row r="616" spans="2:23" x14ac:dyDescent="0.2">
      <c r="C616" s="2" t="s">
        <v>20</v>
      </c>
      <c r="E616" s="2" t="s">
        <v>18</v>
      </c>
      <c r="I616" s="2" t="s">
        <v>19</v>
      </c>
      <c r="P616" s="2" t="s">
        <v>21</v>
      </c>
      <c r="T616" s="5">
        <v>93391.07</v>
      </c>
      <c r="V616" s="49">
        <v>0</v>
      </c>
      <c r="W616" s="50"/>
    </row>
    <row r="617" spans="2:23" x14ac:dyDescent="0.2">
      <c r="B617" s="22" t="s">
        <v>16</v>
      </c>
      <c r="E617" s="22" t="s">
        <v>17</v>
      </c>
      <c r="S617" s="51">
        <v>93391.07</v>
      </c>
      <c r="T617" s="50"/>
      <c r="U617" s="51">
        <v>0</v>
      </c>
      <c r="V617" s="50"/>
      <c r="W617" s="50"/>
    </row>
    <row r="619" spans="2:23" x14ac:dyDescent="0.2">
      <c r="B619" s="22" t="s">
        <v>153</v>
      </c>
      <c r="E619" s="22" t="s">
        <v>154</v>
      </c>
    </row>
    <row r="620" spans="2:23" x14ac:dyDescent="0.2">
      <c r="C620" s="2" t="s">
        <v>778</v>
      </c>
      <c r="E620" s="2" t="s">
        <v>776</v>
      </c>
      <c r="I620" s="2" t="s">
        <v>106</v>
      </c>
      <c r="L620" s="2" t="s">
        <v>777</v>
      </c>
      <c r="P620" s="2" t="s">
        <v>779</v>
      </c>
      <c r="T620" s="5">
        <v>12000</v>
      </c>
      <c r="V620" s="49">
        <v>0</v>
      </c>
      <c r="W620" s="50"/>
    </row>
    <row r="621" spans="2:23" x14ac:dyDescent="0.2">
      <c r="C621" s="2" t="s">
        <v>781</v>
      </c>
      <c r="E621" s="2" t="s">
        <v>780</v>
      </c>
      <c r="I621" s="2" t="s">
        <v>106</v>
      </c>
      <c r="L621" s="2" t="s">
        <v>604</v>
      </c>
      <c r="P621" s="2" t="s">
        <v>782</v>
      </c>
      <c r="T621" s="5">
        <v>34025</v>
      </c>
      <c r="V621" s="49">
        <v>0</v>
      </c>
      <c r="W621" s="50"/>
    </row>
    <row r="622" spans="2:23" x14ac:dyDescent="0.2">
      <c r="B622" s="22" t="s">
        <v>153</v>
      </c>
      <c r="E622" s="22" t="s">
        <v>154</v>
      </c>
      <c r="S622" s="51">
        <v>46025</v>
      </c>
      <c r="T622" s="50"/>
      <c r="U622" s="51">
        <v>0</v>
      </c>
      <c r="V622" s="50"/>
      <c r="W622" s="50"/>
    </row>
    <row r="624" spans="2:23" x14ac:dyDescent="0.2">
      <c r="B624" s="22" t="s">
        <v>178</v>
      </c>
      <c r="E624" s="22" t="s">
        <v>179</v>
      </c>
    </row>
    <row r="625" spans="2:23" x14ac:dyDescent="0.2">
      <c r="C625" s="2" t="s">
        <v>784</v>
      </c>
      <c r="E625" s="2" t="s">
        <v>783</v>
      </c>
      <c r="I625" s="2" t="s">
        <v>19</v>
      </c>
      <c r="P625" s="2" t="s">
        <v>785</v>
      </c>
      <c r="T625" s="5">
        <v>3549</v>
      </c>
      <c r="V625" s="49">
        <v>0</v>
      </c>
      <c r="W625" s="50"/>
    </row>
    <row r="626" spans="2:23" x14ac:dyDescent="0.2">
      <c r="C626" s="2" t="s">
        <v>787</v>
      </c>
      <c r="E626" s="2" t="s">
        <v>786</v>
      </c>
      <c r="I626" s="2" t="s">
        <v>19</v>
      </c>
      <c r="P626" s="2" t="s">
        <v>785</v>
      </c>
      <c r="T626" s="5">
        <v>3100</v>
      </c>
      <c r="V626" s="49">
        <v>0</v>
      </c>
      <c r="W626" s="50"/>
    </row>
    <row r="627" spans="2:23" x14ac:dyDescent="0.2">
      <c r="C627" s="2" t="s">
        <v>789</v>
      </c>
      <c r="E627" s="2" t="s">
        <v>788</v>
      </c>
      <c r="I627" s="2" t="s">
        <v>19</v>
      </c>
      <c r="P627" s="2" t="s">
        <v>785</v>
      </c>
      <c r="T627" s="5">
        <v>3000</v>
      </c>
      <c r="V627" s="49">
        <v>0</v>
      </c>
      <c r="W627" s="50"/>
    </row>
    <row r="628" spans="2:23" x14ac:dyDescent="0.2">
      <c r="C628" s="2" t="s">
        <v>34</v>
      </c>
      <c r="E628" s="2" t="s">
        <v>790</v>
      </c>
      <c r="I628" s="2" t="s">
        <v>19</v>
      </c>
      <c r="P628" s="2" t="s">
        <v>785</v>
      </c>
      <c r="T628" s="5">
        <v>3132</v>
      </c>
      <c r="V628" s="49">
        <v>0</v>
      </c>
      <c r="W628" s="50"/>
    </row>
    <row r="629" spans="2:23" x14ac:dyDescent="0.2">
      <c r="C629" s="2" t="s">
        <v>792</v>
      </c>
      <c r="E629" s="2" t="s">
        <v>791</v>
      </c>
      <c r="I629" s="2" t="s">
        <v>19</v>
      </c>
      <c r="P629" s="2" t="s">
        <v>785</v>
      </c>
      <c r="T629" s="5">
        <v>1825</v>
      </c>
      <c r="V629" s="49">
        <v>0</v>
      </c>
      <c r="W629" s="50"/>
    </row>
    <row r="630" spans="2:23" x14ac:dyDescent="0.2">
      <c r="C630" s="2" t="s">
        <v>794</v>
      </c>
      <c r="E630" s="2" t="s">
        <v>793</v>
      </c>
      <c r="I630" s="2" t="s">
        <v>19</v>
      </c>
      <c r="P630" s="2" t="s">
        <v>785</v>
      </c>
      <c r="T630" s="5">
        <v>3010</v>
      </c>
      <c r="V630" s="49">
        <v>0</v>
      </c>
      <c r="W630" s="50"/>
    </row>
    <row r="631" spans="2:23" x14ac:dyDescent="0.2">
      <c r="B631" s="22" t="s">
        <v>178</v>
      </c>
      <c r="E631" s="22" t="s">
        <v>179</v>
      </c>
      <c r="S631" s="51">
        <v>17616</v>
      </c>
      <c r="T631" s="50"/>
      <c r="U631" s="51">
        <v>0</v>
      </c>
      <c r="V631" s="50"/>
      <c r="W631" s="50"/>
    </row>
    <row r="633" spans="2:23" x14ac:dyDescent="0.2">
      <c r="B633" s="22" t="s">
        <v>22</v>
      </c>
      <c r="E633" s="22" t="s">
        <v>23</v>
      </c>
    </row>
    <row r="634" spans="2:23" x14ac:dyDescent="0.2">
      <c r="C634" s="2" t="s">
        <v>20</v>
      </c>
      <c r="E634" s="2" t="s">
        <v>59</v>
      </c>
      <c r="I634" s="2" t="s">
        <v>19</v>
      </c>
      <c r="P634" s="2" t="s">
        <v>60</v>
      </c>
      <c r="T634" s="5">
        <v>66510</v>
      </c>
      <c r="V634" s="49">
        <v>0</v>
      </c>
      <c r="W634" s="50"/>
    </row>
    <row r="635" spans="2:23" x14ac:dyDescent="0.2">
      <c r="B635" s="22" t="s">
        <v>22</v>
      </c>
      <c r="E635" s="22" t="s">
        <v>23</v>
      </c>
      <c r="S635" s="51">
        <v>66510</v>
      </c>
      <c r="T635" s="50"/>
      <c r="U635" s="51">
        <v>0</v>
      </c>
      <c r="V635" s="50"/>
      <c r="W635" s="50"/>
    </row>
    <row r="636" spans="2:23" x14ac:dyDescent="0.2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</row>
    <row r="637" spans="2:23" x14ac:dyDescent="0.2"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52">
        <v>323718.07</v>
      </c>
      <c r="T637" s="53"/>
      <c r="U637" s="52">
        <v>0</v>
      </c>
      <c r="V637" s="53"/>
      <c r="W637" s="53"/>
    </row>
    <row r="638" spans="2:23" x14ac:dyDescent="0.2">
      <c r="B638" s="8"/>
      <c r="C638" s="8"/>
      <c r="D638" s="20" t="s">
        <v>81</v>
      </c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11">
        <v>323718.07</v>
      </c>
      <c r="S638" s="8"/>
      <c r="T638" s="8"/>
      <c r="U638" s="8"/>
      <c r="V638" s="8"/>
      <c r="W638" s="8"/>
    </row>
    <row r="639" spans="2:23" x14ac:dyDescent="0.2"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</row>
    <row r="641" spans="2:23" ht="15" x14ac:dyDescent="0.2">
      <c r="B641" s="4" t="s">
        <v>82</v>
      </c>
    </row>
    <row r="643" spans="2:23" x14ac:dyDescent="0.2">
      <c r="B643" s="22" t="s">
        <v>245</v>
      </c>
      <c r="E643" s="22" t="s">
        <v>246</v>
      </c>
    </row>
    <row r="644" spans="2:23" x14ac:dyDescent="0.2">
      <c r="C644" s="2" t="s">
        <v>37</v>
      </c>
      <c r="E644" s="2" t="s">
        <v>493</v>
      </c>
      <c r="I644" s="2" t="s">
        <v>19</v>
      </c>
      <c r="P644" s="2" t="s">
        <v>494</v>
      </c>
      <c r="T644" s="5">
        <v>0</v>
      </c>
      <c r="V644" s="49">
        <v>31550</v>
      </c>
      <c r="W644" s="50"/>
    </row>
    <row r="645" spans="2:23" x14ac:dyDescent="0.2">
      <c r="B645" s="22" t="s">
        <v>245</v>
      </c>
      <c r="E645" s="22" t="s">
        <v>246</v>
      </c>
      <c r="S645" s="51">
        <v>0</v>
      </c>
      <c r="T645" s="50"/>
      <c r="U645" s="51">
        <v>31550</v>
      </c>
      <c r="V645" s="50"/>
      <c r="W645" s="50"/>
    </row>
    <row r="647" spans="2:23" x14ac:dyDescent="0.2">
      <c r="B647" s="22" t="s">
        <v>89</v>
      </c>
      <c r="E647" s="22" t="s">
        <v>90</v>
      </c>
    </row>
    <row r="648" spans="2:23" x14ac:dyDescent="0.2">
      <c r="C648" s="2" t="s">
        <v>399</v>
      </c>
      <c r="E648" s="2" t="s">
        <v>795</v>
      </c>
      <c r="I648" s="2" t="s">
        <v>64</v>
      </c>
      <c r="P648" s="2" t="s">
        <v>796</v>
      </c>
      <c r="T648" s="5">
        <v>0</v>
      </c>
      <c r="V648" s="49">
        <v>4600</v>
      </c>
      <c r="W648" s="50"/>
    </row>
    <row r="649" spans="2:23" x14ac:dyDescent="0.2">
      <c r="C649" s="2" t="s">
        <v>399</v>
      </c>
      <c r="E649" s="2" t="s">
        <v>797</v>
      </c>
      <c r="I649" s="2" t="s">
        <v>64</v>
      </c>
      <c r="P649" s="2" t="s">
        <v>798</v>
      </c>
      <c r="T649" s="5">
        <v>0</v>
      </c>
      <c r="V649" s="49">
        <v>4600</v>
      </c>
      <c r="W649" s="50"/>
    </row>
    <row r="650" spans="2:23" x14ac:dyDescent="0.2">
      <c r="C650" s="2" t="s">
        <v>399</v>
      </c>
      <c r="E650" s="2" t="s">
        <v>799</v>
      </c>
      <c r="I650" s="2" t="s">
        <v>64</v>
      </c>
      <c r="P650" s="2" t="s">
        <v>800</v>
      </c>
      <c r="T650" s="5">
        <v>0</v>
      </c>
      <c r="V650" s="49">
        <v>4600</v>
      </c>
      <c r="W650" s="50"/>
    </row>
    <row r="651" spans="2:23" ht="18" x14ac:dyDescent="0.2">
      <c r="B651" s="1" t="s">
        <v>1</v>
      </c>
      <c r="S651" s="55" t="s">
        <v>745</v>
      </c>
      <c r="T651" s="50"/>
      <c r="U651" s="50"/>
      <c r="V651" s="50"/>
      <c r="W651" s="50"/>
    </row>
    <row r="652" spans="2:23" ht="12.75" thickBot="1" x14ac:dyDescent="0.25">
      <c r="B652" s="10" t="s">
        <v>3</v>
      </c>
      <c r="C652" s="6"/>
      <c r="D652" s="6"/>
      <c r="E652" s="6"/>
      <c r="F652" s="6"/>
      <c r="G652" s="6"/>
      <c r="H652" s="6"/>
      <c r="I652" s="6"/>
      <c r="J652" s="6"/>
      <c r="K652" s="6" t="s">
        <v>5</v>
      </c>
      <c r="L652" s="6"/>
      <c r="M652" s="6"/>
      <c r="N652" s="6"/>
      <c r="O652" s="6"/>
      <c r="P652" s="6" t="s">
        <v>4</v>
      </c>
      <c r="Q652" s="6" t="s">
        <v>2730</v>
      </c>
      <c r="R652" s="6"/>
      <c r="S652" s="56" t="s">
        <v>6</v>
      </c>
      <c r="T652" s="57"/>
      <c r="U652" s="57"/>
      <c r="V652" s="57"/>
      <c r="W652" s="57"/>
    </row>
    <row r="653" spans="2:23" ht="12.75" thickTop="1" x14ac:dyDescent="0.2"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</row>
    <row r="654" spans="2:23" x14ac:dyDescent="0.2">
      <c r="C654" s="2" t="s">
        <v>399</v>
      </c>
      <c r="E654" s="2" t="s">
        <v>802</v>
      </c>
      <c r="I654" s="2" t="s">
        <v>64</v>
      </c>
      <c r="P654" s="2" t="s">
        <v>803</v>
      </c>
      <c r="T654" s="5">
        <v>0</v>
      </c>
      <c r="V654" s="49">
        <v>4600</v>
      </c>
      <c r="W654" s="50"/>
    </row>
    <row r="655" spans="2:23" x14ac:dyDescent="0.2">
      <c r="C655" s="2" t="s">
        <v>630</v>
      </c>
      <c r="E655" s="2" t="s">
        <v>804</v>
      </c>
      <c r="I655" s="2" t="s">
        <v>64</v>
      </c>
      <c r="P655" s="2" t="s">
        <v>805</v>
      </c>
      <c r="T655" s="5">
        <v>0</v>
      </c>
      <c r="V655" s="49">
        <v>4600</v>
      </c>
      <c r="W655" s="50"/>
    </row>
    <row r="656" spans="2:23" x14ac:dyDescent="0.2">
      <c r="C656" s="2" t="s">
        <v>630</v>
      </c>
      <c r="E656" s="2" t="s">
        <v>806</v>
      </c>
      <c r="I656" s="2" t="s">
        <v>64</v>
      </c>
      <c r="P656" s="2" t="s">
        <v>807</v>
      </c>
      <c r="T656" s="5">
        <v>0</v>
      </c>
      <c r="V656" s="49">
        <v>4600</v>
      </c>
      <c r="W656" s="50"/>
    </row>
    <row r="657" spans="3:23" x14ac:dyDescent="0.2">
      <c r="C657" s="2" t="s">
        <v>635</v>
      </c>
      <c r="E657" s="2" t="s">
        <v>808</v>
      </c>
      <c r="I657" s="2" t="s">
        <v>64</v>
      </c>
      <c r="P657" s="2" t="s">
        <v>809</v>
      </c>
      <c r="T657" s="5">
        <v>0</v>
      </c>
      <c r="V657" s="49">
        <v>4600</v>
      </c>
      <c r="W657" s="50"/>
    </row>
    <row r="658" spans="3:23" x14ac:dyDescent="0.2">
      <c r="C658" s="2" t="s">
        <v>811</v>
      </c>
      <c r="E658" s="2" t="s">
        <v>810</v>
      </c>
      <c r="I658" s="2" t="s">
        <v>64</v>
      </c>
      <c r="P658" s="2" t="s">
        <v>722</v>
      </c>
      <c r="T658" s="5">
        <v>0</v>
      </c>
      <c r="V658" s="49">
        <v>4600</v>
      </c>
      <c r="W658" s="50"/>
    </row>
    <row r="659" spans="3:23" x14ac:dyDescent="0.2">
      <c r="C659" s="2" t="s">
        <v>811</v>
      </c>
      <c r="E659" s="2" t="s">
        <v>812</v>
      </c>
      <c r="I659" s="2" t="s">
        <v>64</v>
      </c>
      <c r="P659" s="2" t="s">
        <v>813</v>
      </c>
      <c r="T659" s="5">
        <v>0</v>
      </c>
      <c r="V659" s="49">
        <v>4600</v>
      </c>
      <c r="W659" s="50"/>
    </row>
    <row r="660" spans="3:23" x14ac:dyDescent="0.2">
      <c r="C660" s="2" t="s">
        <v>640</v>
      </c>
      <c r="E660" s="2" t="s">
        <v>814</v>
      </c>
      <c r="I660" s="2" t="s">
        <v>64</v>
      </c>
      <c r="P660" s="2" t="s">
        <v>815</v>
      </c>
      <c r="T660" s="5">
        <v>0</v>
      </c>
      <c r="V660" s="49">
        <v>4600</v>
      </c>
      <c r="W660" s="50"/>
    </row>
    <row r="661" spans="3:23" x14ac:dyDescent="0.2">
      <c r="C661" s="2" t="s">
        <v>817</v>
      </c>
      <c r="E661" s="2" t="s">
        <v>816</v>
      </c>
      <c r="I661" s="2" t="s">
        <v>64</v>
      </c>
      <c r="P661" s="2" t="s">
        <v>818</v>
      </c>
      <c r="T661" s="5">
        <v>0</v>
      </c>
      <c r="V661" s="49">
        <v>2300</v>
      </c>
      <c r="W661" s="50"/>
    </row>
    <row r="662" spans="3:23" x14ac:dyDescent="0.2">
      <c r="C662" s="2" t="s">
        <v>817</v>
      </c>
      <c r="E662" s="2" t="s">
        <v>819</v>
      </c>
      <c r="I662" s="2" t="s">
        <v>64</v>
      </c>
      <c r="P662" s="2" t="s">
        <v>820</v>
      </c>
      <c r="T662" s="5">
        <v>0</v>
      </c>
      <c r="V662" s="49">
        <v>4600</v>
      </c>
      <c r="W662" s="50"/>
    </row>
    <row r="663" spans="3:23" x14ac:dyDescent="0.2">
      <c r="C663" s="2" t="s">
        <v>646</v>
      </c>
      <c r="E663" s="2" t="s">
        <v>821</v>
      </c>
      <c r="I663" s="2" t="s">
        <v>64</v>
      </c>
      <c r="P663" s="2" t="s">
        <v>822</v>
      </c>
      <c r="T663" s="5">
        <v>0</v>
      </c>
      <c r="V663" s="49">
        <v>4600</v>
      </c>
      <c r="W663" s="50"/>
    </row>
    <row r="664" spans="3:23" x14ac:dyDescent="0.2">
      <c r="C664" s="2" t="s">
        <v>646</v>
      </c>
      <c r="E664" s="2" t="s">
        <v>823</v>
      </c>
      <c r="I664" s="2" t="s">
        <v>64</v>
      </c>
      <c r="P664" s="2" t="s">
        <v>824</v>
      </c>
      <c r="T664" s="5">
        <v>0</v>
      </c>
      <c r="V664" s="49">
        <v>4600</v>
      </c>
      <c r="W664" s="50"/>
    </row>
    <row r="665" spans="3:23" x14ac:dyDescent="0.2">
      <c r="C665" s="2" t="s">
        <v>646</v>
      </c>
      <c r="E665" s="2" t="s">
        <v>825</v>
      </c>
      <c r="I665" s="2" t="s">
        <v>64</v>
      </c>
      <c r="P665" s="2" t="s">
        <v>826</v>
      </c>
      <c r="T665" s="5">
        <v>0</v>
      </c>
      <c r="V665" s="49">
        <v>2300</v>
      </c>
      <c r="W665" s="50"/>
    </row>
    <row r="666" spans="3:23" x14ac:dyDescent="0.2">
      <c r="C666" s="2" t="s">
        <v>646</v>
      </c>
      <c r="E666" s="2" t="s">
        <v>827</v>
      </c>
      <c r="I666" s="2" t="s">
        <v>64</v>
      </c>
      <c r="P666" s="2" t="s">
        <v>828</v>
      </c>
      <c r="T666" s="5">
        <v>0</v>
      </c>
      <c r="V666" s="49">
        <v>4600</v>
      </c>
      <c r="W666" s="50"/>
    </row>
    <row r="667" spans="3:23" x14ac:dyDescent="0.2">
      <c r="C667" s="2" t="s">
        <v>502</v>
      </c>
      <c r="E667" s="2" t="s">
        <v>829</v>
      </c>
      <c r="I667" s="2" t="s">
        <v>64</v>
      </c>
      <c r="P667" s="2" t="s">
        <v>830</v>
      </c>
      <c r="T667" s="5">
        <v>0</v>
      </c>
      <c r="V667" s="49">
        <v>4600</v>
      </c>
      <c r="W667" s="50"/>
    </row>
    <row r="668" spans="3:23" x14ac:dyDescent="0.2">
      <c r="C668" s="2" t="s">
        <v>502</v>
      </c>
      <c r="E668" s="2" t="s">
        <v>831</v>
      </c>
      <c r="I668" s="2" t="s">
        <v>64</v>
      </c>
      <c r="P668" s="2" t="s">
        <v>832</v>
      </c>
      <c r="T668" s="5">
        <v>0</v>
      </c>
      <c r="V668" s="49">
        <v>2300</v>
      </c>
      <c r="W668" s="50"/>
    </row>
    <row r="669" spans="3:23" x14ac:dyDescent="0.2">
      <c r="C669" s="2" t="s">
        <v>404</v>
      </c>
      <c r="E669" s="2" t="s">
        <v>833</v>
      </c>
      <c r="I669" s="2" t="s">
        <v>64</v>
      </c>
      <c r="P669" s="2" t="s">
        <v>834</v>
      </c>
      <c r="T669" s="5">
        <v>0</v>
      </c>
      <c r="V669" s="49">
        <v>2300</v>
      </c>
      <c r="W669" s="50"/>
    </row>
    <row r="670" spans="3:23" x14ac:dyDescent="0.2">
      <c r="C670" s="2" t="s">
        <v>836</v>
      </c>
      <c r="E670" s="2" t="s">
        <v>835</v>
      </c>
      <c r="I670" s="2" t="s">
        <v>64</v>
      </c>
      <c r="P670" s="2" t="s">
        <v>837</v>
      </c>
      <c r="T670" s="5">
        <v>0</v>
      </c>
      <c r="V670" s="49">
        <v>4600</v>
      </c>
      <c r="W670" s="50"/>
    </row>
    <row r="671" spans="3:23" x14ac:dyDescent="0.2">
      <c r="C671" s="2" t="s">
        <v>510</v>
      </c>
      <c r="E671" s="2" t="s">
        <v>838</v>
      </c>
      <c r="I671" s="2" t="s">
        <v>64</v>
      </c>
      <c r="P671" s="2" t="s">
        <v>839</v>
      </c>
      <c r="T671" s="5">
        <v>0</v>
      </c>
      <c r="V671" s="49">
        <v>4600</v>
      </c>
      <c r="W671" s="50"/>
    </row>
    <row r="672" spans="3:23" x14ac:dyDescent="0.2">
      <c r="C672" s="2" t="s">
        <v>513</v>
      </c>
      <c r="E672" s="2" t="s">
        <v>840</v>
      </c>
      <c r="I672" s="2" t="s">
        <v>64</v>
      </c>
      <c r="P672" s="2" t="s">
        <v>841</v>
      </c>
      <c r="T672" s="5">
        <v>0</v>
      </c>
      <c r="V672" s="49">
        <v>4600</v>
      </c>
      <c r="W672" s="50"/>
    </row>
    <row r="673" spans="3:23" x14ac:dyDescent="0.2">
      <c r="C673" s="2" t="s">
        <v>513</v>
      </c>
      <c r="E673" s="2" t="s">
        <v>842</v>
      </c>
      <c r="I673" s="2" t="s">
        <v>64</v>
      </c>
      <c r="P673" s="2" t="s">
        <v>843</v>
      </c>
      <c r="T673" s="5">
        <v>0</v>
      </c>
      <c r="V673" s="49">
        <v>4600</v>
      </c>
      <c r="W673" s="50"/>
    </row>
    <row r="674" spans="3:23" x14ac:dyDescent="0.2">
      <c r="C674" s="2" t="s">
        <v>513</v>
      </c>
      <c r="E674" s="2" t="s">
        <v>844</v>
      </c>
      <c r="I674" s="2" t="s">
        <v>64</v>
      </c>
      <c r="P674" s="2" t="s">
        <v>845</v>
      </c>
      <c r="T674" s="5">
        <v>0</v>
      </c>
      <c r="V674" s="49">
        <v>2300</v>
      </c>
      <c r="W674" s="50"/>
    </row>
    <row r="675" spans="3:23" x14ac:dyDescent="0.2">
      <c r="C675" s="2" t="s">
        <v>847</v>
      </c>
      <c r="E675" s="2" t="s">
        <v>846</v>
      </c>
      <c r="I675" s="2" t="s">
        <v>64</v>
      </c>
      <c r="P675" s="2" t="s">
        <v>848</v>
      </c>
      <c r="T675" s="5">
        <v>0</v>
      </c>
      <c r="V675" s="49">
        <v>4600</v>
      </c>
      <c r="W675" s="50"/>
    </row>
    <row r="676" spans="3:23" x14ac:dyDescent="0.2">
      <c r="C676" s="2" t="s">
        <v>407</v>
      </c>
      <c r="E676" s="2" t="s">
        <v>849</v>
      </c>
      <c r="I676" s="2" t="s">
        <v>64</v>
      </c>
      <c r="P676" s="2" t="s">
        <v>850</v>
      </c>
      <c r="T676" s="5">
        <v>0</v>
      </c>
      <c r="V676" s="49">
        <v>4600</v>
      </c>
      <c r="W676" s="50"/>
    </row>
    <row r="677" spans="3:23" x14ac:dyDescent="0.2">
      <c r="C677" s="2" t="s">
        <v>25</v>
      </c>
      <c r="E677" s="2" t="s">
        <v>851</v>
      </c>
      <c r="I677" s="2" t="s">
        <v>64</v>
      </c>
      <c r="P677" s="2" t="s">
        <v>852</v>
      </c>
      <c r="T677" s="5">
        <v>0</v>
      </c>
      <c r="V677" s="49">
        <v>4600</v>
      </c>
      <c r="W677" s="50"/>
    </row>
    <row r="678" spans="3:23" x14ac:dyDescent="0.2">
      <c r="C678" s="2" t="s">
        <v>25</v>
      </c>
      <c r="E678" s="2" t="s">
        <v>853</v>
      </c>
      <c r="I678" s="2" t="s">
        <v>64</v>
      </c>
      <c r="P678" s="2" t="s">
        <v>854</v>
      </c>
      <c r="T678" s="5">
        <v>0</v>
      </c>
      <c r="V678" s="49">
        <v>4600</v>
      </c>
      <c r="W678" s="50"/>
    </row>
    <row r="679" spans="3:23" x14ac:dyDescent="0.2">
      <c r="C679" s="2" t="s">
        <v>25</v>
      </c>
      <c r="E679" s="2" t="s">
        <v>855</v>
      </c>
      <c r="I679" s="2" t="s">
        <v>64</v>
      </c>
      <c r="P679" s="2" t="s">
        <v>856</v>
      </c>
      <c r="T679" s="5">
        <v>0</v>
      </c>
      <c r="V679" s="49">
        <v>4600</v>
      </c>
      <c r="W679" s="50"/>
    </row>
    <row r="680" spans="3:23" x14ac:dyDescent="0.2">
      <c r="C680" s="2" t="s">
        <v>410</v>
      </c>
      <c r="E680" s="2" t="s">
        <v>857</v>
      </c>
      <c r="I680" s="2" t="s">
        <v>64</v>
      </c>
      <c r="P680" s="2" t="s">
        <v>858</v>
      </c>
      <c r="T680" s="5">
        <v>0</v>
      </c>
      <c r="V680" s="49">
        <v>4600</v>
      </c>
      <c r="W680" s="50"/>
    </row>
    <row r="681" spans="3:23" x14ac:dyDescent="0.2">
      <c r="C681" s="2" t="s">
        <v>410</v>
      </c>
      <c r="E681" s="2" t="s">
        <v>859</v>
      </c>
      <c r="I681" s="2" t="s">
        <v>64</v>
      </c>
      <c r="P681" s="2" t="s">
        <v>860</v>
      </c>
      <c r="T681" s="5">
        <v>0</v>
      </c>
      <c r="V681" s="49">
        <v>4600</v>
      </c>
      <c r="W681" s="50"/>
    </row>
    <row r="682" spans="3:23" x14ac:dyDescent="0.2">
      <c r="C682" s="2" t="s">
        <v>410</v>
      </c>
      <c r="E682" s="2" t="s">
        <v>861</v>
      </c>
      <c r="I682" s="2" t="s">
        <v>64</v>
      </c>
      <c r="P682" s="2" t="s">
        <v>95</v>
      </c>
      <c r="T682" s="5">
        <v>0</v>
      </c>
      <c r="V682" s="49">
        <v>4600</v>
      </c>
      <c r="W682" s="50"/>
    </row>
    <row r="683" spans="3:23" x14ac:dyDescent="0.2">
      <c r="C683" s="2" t="s">
        <v>413</v>
      </c>
      <c r="E683" s="2" t="s">
        <v>862</v>
      </c>
      <c r="I683" s="2" t="s">
        <v>64</v>
      </c>
      <c r="P683" s="2" t="s">
        <v>863</v>
      </c>
      <c r="T683" s="5">
        <v>0</v>
      </c>
      <c r="V683" s="49">
        <v>4600</v>
      </c>
      <c r="W683" s="50"/>
    </row>
    <row r="684" spans="3:23" x14ac:dyDescent="0.2">
      <c r="C684" s="2" t="s">
        <v>413</v>
      </c>
      <c r="E684" s="2" t="s">
        <v>864</v>
      </c>
      <c r="I684" s="2" t="s">
        <v>64</v>
      </c>
      <c r="P684" s="2" t="s">
        <v>865</v>
      </c>
      <c r="T684" s="5">
        <v>0</v>
      </c>
      <c r="V684" s="49">
        <v>4600</v>
      </c>
      <c r="W684" s="50"/>
    </row>
    <row r="685" spans="3:23" x14ac:dyDescent="0.2">
      <c r="C685" s="2" t="s">
        <v>357</v>
      </c>
      <c r="E685" s="2" t="s">
        <v>866</v>
      </c>
      <c r="I685" s="2" t="s">
        <v>64</v>
      </c>
      <c r="P685" s="2" t="s">
        <v>867</v>
      </c>
      <c r="T685" s="5">
        <v>0</v>
      </c>
      <c r="V685" s="49">
        <v>4600</v>
      </c>
      <c r="W685" s="50"/>
    </row>
    <row r="686" spans="3:23" x14ac:dyDescent="0.2">
      <c r="C686" s="2" t="s">
        <v>869</v>
      </c>
      <c r="E686" s="2" t="s">
        <v>868</v>
      </c>
      <c r="I686" s="2" t="s">
        <v>64</v>
      </c>
      <c r="P686" s="2" t="s">
        <v>870</v>
      </c>
      <c r="T686" s="5">
        <v>0</v>
      </c>
      <c r="V686" s="49">
        <v>2300</v>
      </c>
      <c r="W686" s="50"/>
    </row>
    <row r="687" spans="3:23" x14ac:dyDescent="0.2">
      <c r="C687" s="2" t="s">
        <v>872</v>
      </c>
      <c r="E687" s="2" t="s">
        <v>871</v>
      </c>
      <c r="I687" s="2" t="s">
        <v>64</v>
      </c>
      <c r="P687" s="2" t="s">
        <v>873</v>
      </c>
      <c r="T687" s="5">
        <v>0</v>
      </c>
      <c r="V687" s="49">
        <v>2300</v>
      </c>
      <c r="W687" s="50"/>
    </row>
    <row r="688" spans="3:23" x14ac:dyDescent="0.2">
      <c r="C688" s="2" t="s">
        <v>875</v>
      </c>
      <c r="E688" s="2" t="s">
        <v>874</v>
      </c>
      <c r="I688" s="2" t="s">
        <v>64</v>
      </c>
      <c r="P688" s="2" t="s">
        <v>876</v>
      </c>
      <c r="T688" s="5">
        <v>0</v>
      </c>
      <c r="V688" s="49">
        <v>2300</v>
      </c>
      <c r="W688" s="50"/>
    </row>
    <row r="689" spans="3:23" x14ac:dyDescent="0.2">
      <c r="C689" s="2" t="s">
        <v>256</v>
      </c>
      <c r="E689" s="2" t="s">
        <v>877</v>
      </c>
      <c r="I689" s="2" t="s">
        <v>64</v>
      </c>
      <c r="P689" s="2" t="s">
        <v>878</v>
      </c>
      <c r="T689" s="5">
        <v>0</v>
      </c>
      <c r="V689" s="49">
        <v>5300</v>
      </c>
      <c r="W689" s="50"/>
    </row>
    <row r="690" spans="3:23" x14ac:dyDescent="0.2">
      <c r="C690" s="2" t="s">
        <v>256</v>
      </c>
      <c r="E690" s="2" t="s">
        <v>879</v>
      </c>
      <c r="I690" s="2" t="s">
        <v>64</v>
      </c>
      <c r="P690" s="2" t="s">
        <v>880</v>
      </c>
      <c r="T690" s="5">
        <v>0</v>
      </c>
      <c r="V690" s="49">
        <v>5300</v>
      </c>
      <c r="W690" s="50"/>
    </row>
    <row r="691" spans="3:23" x14ac:dyDescent="0.2">
      <c r="C691" s="2" t="s">
        <v>256</v>
      </c>
      <c r="E691" s="2" t="s">
        <v>881</v>
      </c>
      <c r="I691" s="2" t="s">
        <v>64</v>
      </c>
      <c r="P691" s="2" t="s">
        <v>882</v>
      </c>
      <c r="T691" s="5">
        <v>0</v>
      </c>
      <c r="V691" s="49">
        <v>5300</v>
      </c>
      <c r="W691" s="50"/>
    </row>
    <row r="692" spans="3:23" x14ac:dyDescent="0.2">
      <c r="C692" s="2" t="s">
        <v>256</v>
      </c>
      <c r="E692" s="2" t="s">
        <v>883</v>
      </c>
      <c r="I692" s="2" t="s">
        <v>64</v>
      </c>
      <c r="P692" s="2" t="s">
        <v>807</v>
      </c>
      <c r="T692" s="5">
        <v>0</v>
      </c>
      <c r="V692" s="49">
        <v>5300</v>
      </c>
      <c r="W692" s="50"/>
    </row>
    <row r="693" spans="3:23" x14ac:dyDescent="0.2">
      <c r="C693" s="2" t="s">
        <v>531</v>
      </c>
      <c r="E693" s="2" t="s">
        <v>884</v>
      </c>
      <c r="I693" s="2" t="s">
        <v>64</v>
      </c>
      <c r="P693" s="2" t="s">
        <v>885</v>
      </c>
      <c r="T693" s="5">
        <v>0</v>
      </c>
      <c r="V693" s="49">
        <v>5300</v>
      </c>
      <c r="W693" s="50"/>
    </row>
    <row r="694" spans="3:23" x14ac:dyDescent="0.2">
      <c r="C694" s="2" t="s">
        <v>531</v>
      </c>
      <c r="E694" s="2" t="s">
        <v>886</v>
      </c>
      <c r="I694" s="2" t="s">
        <v>64</v>
      </c>
      <c r="P694" s="2" t="s">
        <v>887</v>
      </c>
      <c r="T694" s="5">
        <v>0</v>
      </c>
      <c r="V694" s="49">
        <v>5300</v>
      </c>
      <c r="W694" s="50"/>
    </row>
    <row r="695" spans="3:23" x14ac:dyDescent="0.2">
      <c r="C695" s="2" t="s">
        <v>531</v>
      </c>
      <c r="E695" s="2" t="s">
        <v>888</v>
      </c>
      <c r="I695" s="2" t="s">
        <v>64</v>
      </c>
      <c r="P695" s="2" t="s">
        <v>889</v>
      </c>
      <c r="T695" s="5">
        <v>0</v>
      </c>
      <c r="V695" s="49">
        <v>5300</v>
      </c>
      <c r="W695" s="50"/>
    </row>
    <row r="696" spans="3:23" x14ac:dyDescent="0.2">
      <c r="C696" s="2" t="s">
        <v>536</v>
      </c>
      <c r="E696" s="2" t="s">
        <v>890</v>
      </c>
      <c r="I696" s="2" t="s">
        <v>64</v>
      </c>
      <c r="P696" s="2" t="s">
        <v>891</v>
      </c>
      <c r="T696" s="5">
        <v>0</v>
      </c>
      <c r="V696" s="49">
        <v>5300</v>
      </c>
      <c r="W696" s="50"/>
    </row>
    <row r="697" spans="3:23" x14ac:dyDescent="0.2">
      <c r="C697" s="2" t="s">
        <v>536</v>
      </c>
      <c r="E697" s="2" t="s">
        <v>892</v>
      </c>
      <c r="I697" s="2" t="s">
        <v>64</v>
      </c>
      <c r="P697" s="2" t="s">
        <v>893</v>
      </c>
      <c r="T697" s="5">
        <v>0</v>
      </c>
      <c r="V697" s="49">
        <v>5300</v>
      </c>
      <c r="W697" s="50"/>
    </row>
    <row r="698" spans="3:23" x14ac:dyDescent="0.2">
      <c r="C698" s="2" t="s">
        <v>536</v>
      </c>
      <c r="E698" s="2" t="s">
        <v>894</v>
      </c>
      <c r="I698" s="2" t="s">
        <v>64</v>
      </c>
      <c r="P698" s="2" t="s">
        <v>895</v>
      </c>
      <c r="T698" s="5">
        <v>0</v>
      </c>
      <c r="V698" s="49">
        <v>5300</v>
      </c>
      <c r="W698" s="50"/>
    </row>
    <row r="699" spans="3:23" x14ac:dyDescent="0.2">
      <c r="C699" s="2" t="s">
        <v>536</v>
      </c>
      <c r="E699" s="2" t="s">
        <v>896</v>
      </c>
      <c r="I699" s="2" t="s">
        <v>64</v>
      </c>
      <c r="P699" s="2" t="s">
        <v>897</v>
      </c>
      <c r="T699" s="5">
        <v>0</v>
      </c>
      <c r="V699" s="49">
        <v>5300</v>
      </c>
      <c r="W699" s="50"/>
    </row>
    <row r="700" spans="3:23" x14ac:dyDescent="0.2">
      <c r="C700" s="2" t="s">
        <v>536</v>
      </c>
      <c r="E700" s="2" t="s">
        <v>898</v>
      </c>
      <c r="I700" s="2" t="s">
        <v>64</v>
      </c>
      <c r="P700" s="2" t="s">
        <v>95</v>
      </c>
      <c r="T700" s="5">
        <v>0</v>
      </c>
      <c r="V700" s="49">
        <v>5300</v>
      </c>
      <c r="W700" s="50"/>
    </row>
    <row r="701" spans="3:23" x14ac:dyDescent="0.2">
      <c r="C701" s="2" t="s">
        <v>541</v>
      </c>
      <c r="E701" s="2" t="s">
        <v>899</v>
      </c>
      <c r="I701" s="2" t="s">
        <v>64</v>
      </c>
      <c r="P701" s="2" t="s">
        <v>900</v>
      </c>
      <c r="T701" s="5">
        <v>0</v>
      </c>
      <c r="V701" s="49">
        <v>5300</v>
      </c>
      <c r="W701" s="50"/>
    </row>
    <row r="702" spans="3:23" x14ac:dyDescent="0.2">
      <c r="C702" s="2" t="s">
        <v>220</v>
      </c>
      <c r="E702" s="2" t="s">
        <v>901</v>
      </c>
      <c r="I702" s="2" t="s">
        <v>64</v>
      </c>
      <c r="P702" s="2" t="s">
        <v>902</v>
      </c>
      <c r="T702" s="5">
        <v>0</v>
      </c>
      <c r="V702" s="49">
        <v>5300</v>
      </c>
      <c r="W702" s="50"/>
    </row>
    <row r="703" spans="3:23" x14ac:dyDescent="0.2">
      <c r="C703" s="2" t="s">
        <v>544</v>
      </c>
      <c r="E703" s="2" t="s">
        <v>903</v>
      </c>
      <c r="I703" s="2" t="s">
        <v>64</v>
      </c>
      <c r="P703" s="2" t="s">
        <v>95</v>
      </c>
      <c r="T703" s="5">
        <v>0</v>
      </c>
      <c r="V703" s="49">
        <v>2650</v>
      </c>
      <c r="W703" s="50"/>
    </row>
    <row r="704" spans="3:23" x14ac:dyDescent="0.2">
      <c r="C704" s="2" t="s">
        <v>544</v>
      </c>
      <c r="E704" s="2" t="s">
        <v>904</v>
      </c>
      <c r="I704" s="2" t="s">
        <v>64</v>
      </c>
      <c r="P704" s="2" t="s">
        <v>820</v>
      </c>
      <c r="T704" s="5">
        <v>0</v>
      </c>
      <c r="V704" s="49">
        <v>2650</v>
      </c>
      <c r="W704" s="50"/>
    </row>
    <row r="705" spans="3:23" x14ac:dyDescent="0.2">
      <c r="C705" s="2" t="s">
        <v>544</v>
      </c>
      <c r="E705" s="2" t="s">
        <v>905</v>
      </c>
      <c r="I705" s="2" t="s">
        <v>64</v>
      </c>
      <c r="P705" s="2" t="s">
        <v>906</v>
      </c>
      <c r="T705" s="5">
        <v>0</v>
      </c>
      <c r="V705" s="49">
        <v>5300</v>
      </c>
      <c r="W705" s="50"/>
    </row>
    <row r="706" spans="3:23" x14ac:dyDescent="0.2">
      <c r="C706" s="2" t="s">
        <v>544</v>
      </c>
      <c r="E706" s="2" t="s">
        <v>907</v>
      </c>
      <c r="I706" s="2" t="s">
        <v>64</v>
      </c>
      <c r="P706" s="2" t="s">
        <v>908</v>
      </c>
      <c r="T706" s="5">
        <v>0</v>
      </c>
      <c r="V706" s="49">
        <v>2650</v>
      </c>
      <c r="W706" s="50"/>
    </row>
    <row r="707" spans="3:23" x14ac:dyDescent="0.2">
      <c r="C707" s="2" t="s">
        <v>544</v>
      </c>
      <c r="E707" s="2" t="s">
        <v>909</v>
      </c>
      <c r="I707" s="2" t="s">
        <v>64</v>
      </c>
      <c r="P707" s="2" t="s">
        <v>910</v>
      </c>
      <c r="T707" s="5">
        <v>0</v>
      </c>
      <c r="V707" s="49">
        <v>5300</v>
      </c>
      <c r="W707" s="50"/>
    </row>
    <row r="708" spans="3:23" x14ac:dyDescent="0.2">
      <c r="C708" s="2" t="s">
        <v>433</v>
      </c>
      <c r="E708" s="2" t="s">
        <v>911</v>
      </c>
      <c r="I708" s="2" t="s">
        <v>64</v>
      </c>
      <c r="P708" s="2" t="s">
        <v>912</v>
      </c>
      <c r="T708" s="5">
        <v>0</v>
      </c>
      <c r="V708" s="49">
        <v>5300</v>
      </c>
      <c r="W708" s="50"/>
    </row>
    <row r="709" spans="3:23" x14ac:dyDescent="0.2">
      <c r="C709" s="2" t="s">
        <v>261</v>
      </c>
      <c r="E709" s="2" t="s">
        <v>913</v>
      </c>
      <c r="I709" s="2" t="s">
        <v>64</v>
      </c>
      <c r="P709" s="2" t="s">
        <v>914</v>
      </c>
      <c r="T709" s="5">
        <v>0</v>
      </c>
      <c r="V709" s="49">
        <v>5300</v>
      </c>
      <c r="W709" s="50"/>
    </row>
    <row r="710" spans="3:23" x14ac:dyDescent="0.2">
      <c r="C710" s="2" t="s">
        <v>261</v>
      </c>
      <c r="E710" s="2" t="s">
        <v>915</v>
      </c>
      <c r="I710" s="2" t="s">
        <v>64</v>
      </c>
      <c r="P710" s="2" t="s">
        <v>916</v>
      </c>
      <c r="T710" s="5">
        <v>0</v>
      </c>
      <c r="V710" s="49">
        <v>5300</v>
      </c>
      <c r="W710" s="50"/>
    </row>
    <row r="711" spans="3:23" x14ac:dyDescent="0.2">
      <c r="C711" s="2" t="s">
        <v>261</v>
      </c>
      <c r="E711" s="2" t="s">
        <v>917</v>
      </c>
      <c r="I711" s="2" t="s">
        <v>64</v>
      </c>
      <c r="P711" s="2" t="s">
        <v>918</v>
      </c>
      <c r="T711" s="5">
        <v>0</v>
      </c>
      <c r="V711" s="49">
        <v>5300</v>
      </c>
      <c r="W711" s="50"/>
    </row>
    <row r="712" spans="3:23" x14ac:dyDescent="0.2">
      <c r="C712" s="2" t="s">
        <v>705</v>
      </c>
      <c r="E712" s="2" t="s">
        <v>919</v>
      </c>
      <c r="I712" s="2" t="s">
        <v>64</v>
      </c>
      <c r="P712" s="2" t="s">
        <v>920</v>
      </c>
      <c r="T712" s="5">
        <v>0</v>
      </c>
      <c r="V712" s="49">
        <v>5300</v>
      </c>
      <c r="W712" s="50"/>
    </row>
    <row r="713" spans="3:23" x14ac:dyDescent="0.2">
      <c r="C713" s="2" t="s">
        <v>709</v>
      </c>
      <c r="E713" s="2" t="s">
        <v>921</v>
      </c>
      <c r="I713" s="2" t="s">
        <v>64</v>
      </c>
      <c r="P713" s="2" t="s">
        <v>922</v>
      </c>
      <c r="T713" s="5">
        <v>0</v>
      </c>
      <c r="V713" s="49">
        <v>5300</v>
      </c>
      <c r="W713" s="50"/>
    </row>
    <row r="714" spans="3:23" x14ac:dyDescent="0.2">
      <c r="C714" s="2" t="s">
        <v>709</v>
      </c>
      <c r="E714" s="2" t="s">
        <v>923</v>
      </c>
      <c r="I714" s="2" t="s">
        <v>64</v>
      </c>
      <c r="P714" s="2" t="s">
        <v>924</v>
      </c>
      <c r="T714" s="5">
        <v>0</v>
      </c>
      <c r="V714" s="49">
        <v>5300</v>
      </c>
      <c r="W714" s="50"/>
    </row>
    <row r="715" spans="3:23" x14ac:dyDescent="0.2">
      <c r="C715" s="2" t="s">
        <v>264</v>
      </c>
      <c r="E715" s="2" t="s">
        <v>925</v>
      </c>
      <c r="I715" s="2" t="s">
        <v>64</v>
      </c>
      <c r="P715" s="2" t="s">
        <v>95</v>
      </c>
      <c r="T715" s="5">
        <v>0</v>
      </c>
      <c r="V715" s="49">
        <v>5300</v>
      </c>
      <c r="W715" s="50"/>
    </row>
    <row r="716" spans="3:23" x14ac:dyDescent="0.2">
      <c r="C716" s="2" t="s">
        <v>264</v>
      </c>
      <c r="E716" s="2" t="s">
        <v>926</v>
      </c>
      <c r="I716" s="2" t="s">
        <v>64</v>
      </c>
      <c r="P716" s="2" t="s">
        <v>927</v>
      </c>
      <c r="T716" s="5">
        <v>0</v>
      </c>
      <c r="V716" s="49">
        <v>5300</v>
      </c>
      <c r="W716" s="50"/>
    </row>
    <row r="717" spans="3:23" x14ac:dyDescent="0.2">
      <c r="C717" s="2" t="s">
        <v>264</v>
      </c>
      <c r="E717" s="2" t="s">
        <v>928</v>
      </c>
      <c r="I717" s="2" t="s">
        <v>64</v>
      </c>
      <c r="P717" s="2" t="s">
        <v>929</v>
      </c>
      <c r="T717" s="5">
        <v>0</v>
      </c>
      <c r="V717" s="49">
        <v>5300</v>
      </c>
      <c r="W717" s="50"/>
    </row>
    <row r="718" spans="3:23" x14ac:dyDescent="0.2">
      <c r="C718" s="2" t="s">
        <v>267</v>
      </c>
      <c r="E718" s="2" t="s">
        <v>930</v>
      </c>
      <c r="I718" s="2" t="s">
        <v>64</v>
      </c>
      <c r="P718" s="2" t="s">
        <v>931</v>
      </c>
      <c r="T718" s="5">
        <v>0</v>
      </c>
      <c r="V718" s="49">
        <v>5300</v>
      </c>
      <c r="W718" s="50"/>
    </row>
    <row r="719" spans="3:23" x14ac:dyDescent="0.2">
      <c r="C719" s="2" t="s">
        <v>267</v>
      </c>
      <c r="E719" s="2" t="s">
        <v>932</v>
      </c>
      <c r="I719" s="2" t="s">
        <v>64</v>
      </c>
      <c r="P719" s="2" t="s">
        <v>95</v>
      </c>
      <c r="T719" s="5">
        <v>0</v>
      </c>
      <c r="V719" s="49">
        <v>5300</v>
      </c>
      <c r="W719" s="50"/>
    </row>
    <row r="720" spans="3:23" x14ac:dyDescent="0.2">
      <c r="C720" s="2" t="s">
        <v>267</v>
      </c>
      <c r="E720" s="2" t="s">
        <v>933</v>
      </c>
      <c r="I720" s="2" t="s">
        <v>64</v>
      </c>
      <c r="P720" s="2" t="s">
        <v>934</v>
      </c>
      <c r="T720" s="5">
        <v>0</v>
      </c>
      <c r="V720" s="49">
        <v>5300</v>
      </c>
      <c r="W720" s="50"/>
    </row>
    <row r="721" spans="2:23" x14ac:dyDescent="0.2">
      <c r="C721" s="2" t="s">
        <v>481</v>
      </c>
      <c r="E721" s="2" t="s">
        <v>935</v>
      </c>
      <c r="I721" s="2" t="s">
        <v>64</v>
      </c>
      <c r="P721" s="2" t="s">
        <v>936</v>
      </c>
      <c r="T721" s="5">
        <v>0</v>
      </c>
      <c r="V721" s="49">
        <v>2650</v>
      </c>
      <c r="W721" s="50"/>
    </row>
    <row r="722" spans="2:23" x14ac:dyDescent="0.2">
      <c r="C722" s="2" t="s">
        <v>49</v>
      </c>
      <c r="E722" s="2" t="s">
        <v>91</v>
      </c>
      <c r="I722" s="2" t="s">
        <v>19</v>
      </c>
      <c r="P722" s="2" t="s">
        <v>93</v>
      </c>
      <c r="T722" s="5">
        <v>0</v>
      </c>
      <c r="V722" s="49">
        <v>31850.980000000003</v>
      </c>
      <c r="W722" s="50"/>
    </row>
    <row r="723" spans="2:23" x14ac:dyDescent="0.2">
      <c r="C723" s="2" t="s">
        <v>49</v>
      </c>
      <c r="E723" s="2" t="s">
        <v>937</v>
      </c>
      <c r="I723" s="2" t="s">
        <v>64</v>
      </c>
      <c r="P723" s="2" t="s">
        <v>95</v>
      </c>
      <c r="T723" s="5">
        <v>0</v>
      </c>
      <c r="V723" s="49">
        <v>5300</v>
      </c>
      <c r="W723" s="50"/>
    </row>
    <row r="724" spans="2:23" ht="18" x14ac:dyDescent="0.2">
      <c r="B724" s="1" t="s">
        <v>1</v>
      </c>
      <c r="S724" s="55" t="s">
        <v>801</v>
      </c>
      <c r="T724" s="50"/>
      <c r="U724" s="50"/>
      <c r="V724" s="50"/>
      <c r="W724" s="50"/>
    </row>
    <row r="725" spans="2:23" ht="12.75" thickBot="1" x14ac:dyDescent="0.25">
      <c r="B725" s="10" t="s">
        <v>3</v>
      </c>
      <c r="C725" s="6"/>
      <c r="D725" s="6"/>
      <c r="E725" s="6"/>
      <c r="F725" s="6"/>
      <c r="G725" s="6"/>
      <c r="H725" s="6"/>
      <c r="I725" s="6"/>
      <c r="J725" s="6"/>
      <c r="K725" s="6" t="s">
        <v>5</v>
      </c>
      <c r="L725" s="6"/>
      <c r="M725" s="6"/>
      <c r="N725" s="6"/>
      <c r="O725" s="6"/>
      <c r="P725" s="6" t="s">
        <v>4</v>
      </c>
      <c r="Q725" s="6" t="s">
        <v>2730</v>
      </c>
      <c r="R725" s="6"/>
      <c r="S725" s="56" t="s">
        <v>6</v>
      </c>
      <c r="T725" s="57"/>
      <c r="U725" s="57"/>
      <c r="V725" s="57"/>
      <c r="W725" s="57"/>
    </row>
    <row r="726" spans="2:23" ht="12.75" thickTop="1" x14ac:dyDescent="0.2"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</row>
    <row r="727" spans="2:23" x14ac:dyDescent="0.2">
      <c r="C727" s="2" t="s">
        <v>733</v>
      </c>
      <c r="E727" s="2" t="s">
        <v>938</v>
      </c>
      <c r="I727" s="2" t="s">
        <v>64</v>
      </c>
      <c r="P727" s="2" t="s">
        <v>939</v>
      </c>
      <c r="T727" s="5">
        <v>0</v>
      </c>
      <c r="V727" s="49">
        <v>5300</v>
      </c>
      <c r="W727" s="50"/>
    </row>
    <row r="728" spans="2:23" x14ac:dyDescent="0.2">
      <c r="C728" s="2" t="s">
        <v>349</v>
      </c>
      <c r="E728" s="2" t="s">
        <v>941</v>
      </c>
      <c r="I728" s="2" t="s">
        <v>64</v>
      </c>
      <c r="P728" s="2" t="s">
        <v>942</v>
      </c>
      <c r="T728" s="5">
        <v>0</v>
      </c>
      <c r="V728" s="49">
        <v>5300</v>
      </c>
      <c r="W728" s="50"/>
    </row>
    <row r="729" spans="2:23" x14ac:dyDescent="0.2">
      <c r="C729" s="2" t="s">
        <v>944</v>
      </c>
      <c r="E729" s="2" t="s">
        <v>943</v>
      </c>
      <c r="I729" s="2" t="s">
        <v>64</v>
      </c>
      <c r="P729" s="2" t="s">
        <v>945</v>
      </c>
      <c r="T729" s="5">
        <v>0</v>
      </c>
      <c r="V729" s="49">
        <v>5300</v>
      </c>
      <c r="W729" s="50"/>
    </row>
    <row r="730" spans="2:23" x14ac:dyDescent="0.2">
      <c r="C730" s="2" t="s">
        <v>352</v>
      </c>
      <c r="E730" s="2" t="s">
        <v>946</v>
      </c>
      <c r="I730" s="2" t="s">
        <v>64</v>
      </c>
      <c r="P730" s="2" t="s">
        <v>95</v>
      </c>
      <c r="T730" s="5">
        <v>0</v>
      </c>
      <c r="V730" s="49">
        <v>5300</v>
      </c>
      <c r="W730" s="50"/>
    </row>
    <row r="731" spans="2:23" x14ac:dyDescent="0.2">
      <c r="C731" s="2" t="s">
        <v>948</v>
      </c>
      <c r="E731" s="2" t="s">
        <v>947</v>
      </c>
      <c r="I731" s="2" t="s">
        <v>64</v>
      </c>
      <c r="P731" s="2" t="s">
        <v>949</v>
      </c>
      <c r="T731" s="5">
        <v>0</v>
      </c>
      <c r="V731" s="49">
        <v>5300</v>
      </c>
      <c r="W731" s="50"/>
    </row>
    <row r="732" spans="2:23" x14ac:dyDescent="0.2">
      <c r="C732" s="2" t="s">
        <v>951</v>
      </c>
      <c r="E732" s="2" t="s">
        <v>950</v>
      </c>
      <c r="I732" s="2" t="s">
        <v>64</v>
      </c>
      <c r="P732" s="2" t="s">
        <v>952</v>
      </c>
      <c r="T732" s="5">
        <v>0</v>
      </c>
      <c r="V732" s="49">
        <v>5300</v>
      </c>
      <c r="W732" s="50"/>
    </row>
    <row r="733" spans="2:23" x14ac:dyDescent="0.2">
      <c r="C733" s="2" t="s">
        <v>20</v>
      </c>
      <c r="E733" s="2" t="s">
        <v>338</v>
      </c>
      <c r="I733" s="2" t="s">
        <v>19</v>
      </c>
      <c r="P733" s="2" t="s">
        <v>339</v>
      </c>
      <c r="T733" s="5">
        <v>0</v>
      </c>
      <c r="V733" s="49">
        <v>-40806.54</v>
      </c>
      <c r="W733" s="50"/>
    </row>
    <row r="734" spans="2:23" x14ac:dyDescent="0.2">
      <c r="B734" s="22" t="s">
        <v>89</v>
      </c>
      <c r="E734" s="22" t="s">
        <v>90</v>
      </c>
      <c r="S734" s="51">
        <v>0</v>
      </c>
      <c r="T734" s="50"/>
      <c r="U734" s="51">
        <v>348844.44</v>
      </c>
      <c r="V734" s="50"/>
      <c r="W734" s="50"/>
    </row>
    <row r="735" spans="2:23" x14ac:dyDescent="0.2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</row>
    <row r="736" spans="2:23" x14ac:dyDescent="0.2"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52">
        <v>0</v>
      </c>
      <c r="T736" s="53"/>
      <c r="U736" s="52">
        <v>380394.44</v>
      </c>
      <c r="V736" s="53"/>
      <c r="W736" s="53"/>
    </row>
    <row r="737" spans="2:23" x14ac:dyDescent="0.2">
      <c r="B737" s="8"/>
      <c r="C737" s="8"/>
      <c r="D737" s="20" t="s">
        <v>96</v>
      </c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11">
        <v>380394.44</v>
      </c>
      <c r="S737" s="8"/>
      <c r="T737" s="8"/>
      <c r="U737" s="8"/>
      <c r="V737" s="8"/>
      <c r="W737" s="8"/>
    </row>
    <row r="738" spans="2:23" x14ac:dyDescent="0.2"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</row>
    <row r="739" spans="2:23" x14ac:dyDescent="0.2">
      <c r="B739" s="22" t="s">
        <v>7</v>
      </c>
      <c r="D739" s="22" t="s">
        <v>746</v>
      </c>
      <c r="O739" s="20" t="s">
        <v>97</v>
      </c>
      <c r="P739" s="8"/>
      <c r="Q739" s="8"/>
      <c r="R739" s="11">
        <v>56676.37</v>
      </c>
    </row>
    <row r="740" spans="2:23" x14ac:dyDescent="0.2">
      <c r="O740" s="9"/>
      <c r="P740" s="9"/>
      <c r="Q740" s="9"/>
      <c r="R740" s="9"/>
    </row>
    <row r="741" spans="2:23" x14ac:dyDescent="0.2">
      <c r="B741" s="2" t="s">
        <v>98</v>
      </c>
    </row>
    <row r="743" spans="2:23" ht="24" customHeight="1" x14ac:dyDescent="0.2">
      <c r="B743" s="54" t="s">
        <v>0</v>
      </c>
      <c r="C743" s="50"/>
      <c r="D743" s="50"/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</row>
    <row r="744" spans="2:23" ht="18" x14ac:dyDescent="0.2">
      <c r="B744" s="1" t="s">
        <v>1</v>
      </c>
      <c r="S744" s="55" t="s">
        <v>940</v>
      </c>
      <c r="T744" s="50"/>
      <c r="U744" s="50"/>
      <c r="V744" s="50"/>
      <c r="W744" s="50"/>
    </row>
    <row r="745" spans="2:23" ht="12.75" thickBot="1" x14ac:dyDescent="0.25">
      <c r="B745" s="10" t="s">
        <v>3</v>
      </c>
      <c r="C745" s="6"/>
      <c r="D745" s="6"/>
      <c r="E745" s="6"/>
      <c r="F745" s="6"/>
      <c r="G745" s="6"/>
      <c r="H745" s="6"/>
      <c r="I745" s="6"/>
      <c r="J745" s="6"/>
      <c r="K745" s="6" t="s">
        <v>5</v>
      </c>
      <c r="L745" s="6"/>
      <c r="M745" s="6"/>
      <c r="N745" s="6"/>
      <c r="O745" s="6"/>
      <c r="P745" s="6" t="s">
        <v>4</v>
      </c>
      <c r="Q745" s="6" t="s">
        <v>2730</v>
      </c>
      <c r="R745" s="6"/>
      <c r="S745" s="56" t="s">
        <v>6</v>
      </c>
      <c r="T745" s="57"/>
      <c r="U745" s="57"/>
      <c r="V745" s="57"/>
      <c r="W745" s="57"/>
    </row>
    <row r="746" spans="2:23" ht="12.75" thickTop="1" x14ac:dyDescent="0.2"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</row>
    <row r="747" spans="2:23" ht="15.75" x14ac:dyDescent="0.2">
      <c r="B747" s="3" t="s">
        <v>7</v>
      </c>
      <c r="F747" s="3" t="s">
        <v>954</v>
      </c>
    </row>
    <row r="749" spans="2:23" x14ac:dyDescent="0.2">
      <c r="B749" s="8"/>
      <c r="C749" s="20" t="s">
        <v>8</v>
      </c>
      <c r="D749" s="8"/>
      <c r="E749" s="20" t="s">
        <v>9</v>
      </c>
      <c r="F749" s="8"/>
      <c r="G749" s="8"/>
      <c r="H749" s="8"/>
      <c r="I749" s="20" t="s">
        <v>13</v>
      </c>
      <c r="J749" s="8"/>
      <c r="K749" s="8"/>
      <c r="L749" s="20" t="s">
        <v>12</v>
      </c>
      <c r="M749" s="8"/>
      <c r="N749" s="8"/>
      <c r="O749" s="8"/>
      <c r="P749" s="20" t="s">
        <v>14</v>
      </c>
      <c r="Q749" s="8"/>
      <c r="R749" s="8"/>
      <c r="S749" s="8"/>
      <c r="T749" s="21" t="s">
        <v>11</v>
      </c>
      <c r="U749" s="8"/>
      <c r="V749" s="58" t="s">
        <v>10</v>
      </c>
      <c r="W749" s="59"/>
    </row>
    <row r="750" spans="2:23" x14ac:dyDescent="0.2"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</row>
    <row r="751" spans="2:23" ht="15" x14ac:dyDescent="0.2">
      <c r="B751" s="4" t="s">
        <v>15</v>
      </c>
    </row>
    <row r="753" spans="2:23" x14ac:dyDescent="0.2">
      <c r="B753" s="22" t="s">
        <v>955</v>
      </c>
      <c r="E753" s="22" t="s">
        <v>956</v>
      </c>
    </row>
    <row r="754" spans="2:23" x14ac:dyDescent="0.2">
      <c r="C754" s="2" t="s">
        <v>958</v>
      </c>
      <c r="E754" s="2" t="s">
        <v>957</v>
      </c>
      <c r="I754" s="2" t="s">
        <v>209</v>
      </c>
      <c r="P754" s="2" t="s">
        <v>959</v>
      </c>
      <c r="T754" s="5">
        <v>827</v>
      </c>
      <c r="V754" s="49">
        <v>0</v>
      </c>
      <c r="W754" s="50"/>
    </row>
    <row r="755" spans="2:23" x14ac:dyDescent="0.2">
      <c r="C755" s="2" t="s">
        <v>961</v>
      </c>
      <c r="E755" s="2" t="s">
        <v>960</v>
      </c>
      <c r="I755" s="2" t="s">
        <v>106</v>
      </c>
      <c r="L755" s="2" t="s">
        <v>600</v>
      </c>
      <c r="P755" s="2" t="s">
        <v>962</v>
      </c>
      <c r="T755" s="5">
        <v>10200</v>
      </c>
      <c r="V755" s="49">
        <v>0</v>
      </c>
      <c r="W755" s="50"/>
    </row>
    <row r="756" spans="2:23" x14ac:dyDescent="0.2">
      <c r="B756" s="22" t="s">
        <v>955</v>
      </c>
      <c r="E756" s="22" t="s">
        <v>956</v>
      </c>
      <c r="S756" s="51">
        <v>11027</v>
      </c>
      <c r="T756" s="50"/>
      <c r="U756" s="51">
        <v>0</v>
      </c>
      <c r="V756" s="50"/>
      <c r="W756" s="50"/>
    </row>
    <row r="758" spans="2:23" x14ac:dyDescent="0.2">
      <c r="B758" s="22" t="s">
        <v>102</v>
      </c>
      <c r="E758" s="22" t="s">
        <v>103</v>
      </c>
    </row>
    <row r="759" spans="2:23" x14ac:dyDescent="0.2">
      <c r="C759" s="2" t="s">
        <v>958</v>
      </c>
      <c r="E759" s="2" t="s">
        <v>963</v>
      </c>
      <c r="I759" s="2" t="s">
        <v>209</v>
      </c>
      <c r="P759" s="2" t="s">
        <v>964</v>
      </c>
      <c r="T759" s="5">
        <v>3990</v>
      </c>
      <c r="V759" s="49">
        <v>0</v>
      </c>
      <c r="W759" s="50"/>
    </row>
    <row r="760" spans="2:23" x14ac:dyDescent="0.2">
      <c r="B760" s="22" t="s">
        <v>102</v>
      </c>
      <c r="E760" s="22" t="s">
        <v>103</v>
      </c>
      <c r="S760" s="51">
        <v>3990</v>
      </c>
      <c r="T760" s="50"/>
      <c r="U760" s="51">
        <v>0</v>
      </c>
      <c r="V760" s="50"/>
      <c r="W760" s="50"/>
    </row>
    <row r="762" spans="2:23" x14ac:dyDescent="0.2">
      <c r="B762" s="22" t="s">
        <v>147</v>
      </c>
      <c r="E762" s="22" t="s">
        <v>148</v>
      </c>
    </row>
    <row r="763" spans="2:23" x14ac:dyDescent="0.2">
      <c r="C763" s="2" t="s">
        <v>601</v>
      </c>
      <c r="E763" s="2" t="s">
        <v>599</v>
      </c>
      <c r="I763" s="2" t="s">
        <v>106</v>
      </c>
      <c r="L763" s="2" t="s">
        <v>600</v>
      </c>
      <c r="P763" s="2" t="s">
        <v>602</v>
      </c>
      <c r="T763" s="5">
        <v>4600</v>
      </c>
      <c r="V763" s="49">
        <v>0</v>
      </c>
      <c r="W763" s="50"/>
    </row>
    <row r="764" spans="2:23" x14ac:dyDescent="0.2">
      <c r="C764" s="2" t="s">
        <v>967</v>
      </c>
      <c r="E764" s="2" t="s">
        <v>965</v>
      </c>
      <c r="I764" s="2" t="s">
        <v>106</v>
      </c>
      <c r="L764" s="2" t="s">
        <v>966</v>
      </c>
      <c r="P764" s="2" t="s">
        <v>968</v>
      </c>
      <c r="T764" s="5">
        <v>3000</v>
      </c>
      <c r="V764" s="49">
        <v>0</v>
      </c>
      <c r="W764" s="50"/>
    </row>
    <row r="765" spans="2:23" x14ac:dyDescent="0.2">
      <c r="C765" s="2" t="s">
        <v>37</v>
      </c>
      <c r="E765" s="2" t="s">
        <v>969</v>
      </c>
      <c r="I765" s="2" t="s">
        <v>106</v>
      </c>
      <c r="L765" s="2" t="s">
        <v>970</v>
      </c>
      <c r="P765" s="2" t="s">
        <v>971</v>
      </c>
      <c r="T765" s="5">
        <v>2000</v>
      </c>
      <c r="V765" s="49">
        <v>0</v>
      </c>
      <c r="W765" s="50"/>
    </row>
    <row r="766" spans="2:23" x14ac:dyDescent="0.2">
      <c r="C766" s="2" t="s">
        <v>961</v>
      </c>
      <c r="E766" s="2" t="s">
        <v>960</v>
      </c>
      <c r="I766" s="2" t="s">
        <v>106</v>
      </c>
      <c r="L766" s="2" t="s">
        <v>600</v>
      </c>
      <c r="P766" s="2" t="s">
        <v>962</v>
      </c>
      <c r="T766" s="5">
        <v>9000</v>
      </c>
      <c r="V766" s="49">
        <v>0</v>
      </c>
      <c r="W766" s="50"/>
    </row>
    <row r="767" spans="2:23" x14ac:dyDescent="0.2">
      <c r="B767" s="22" t="s">
        <v>147</v>
      </c>
      <c r="E767" s="22" t="s">
        <v>148</v>
      </c>
      <c r="S767" s="51">
        <v>18600</v>
      </c>
      <c r="T767" s="50"/>
      <c r="U767" s="51">
        <v>0</v>
      </c>
      <c r="V767" s="50"/>
      <c r="W767" s="50"/>
    </row>
    <row r="769" spans="2:23" x14ac:dyDescent="0.2">
      <c r="B769" s="22" t="s">
        <v>16</v>
      </c>
      <c r="E769" s="22" t="s">
        <v>17</v>
      </c>
    </row>
    <row r="770" spans="2:23" x14ac:dyDescent="0.2">
      <c r="C770" s="2" t="s">
        <v>20</v>
      </c>
      <c r="E770" s="2" t="s">
        <v>18</v>
      </c>
      <c r="I770" s="2" t="s">
        <v>19</v>
      </c>
      <c r="P770" s="2" t="s">
        <v>21</v>
      </c>
      <c r="T770" s="5">
        <v>108976.61</v>
      </c>
      <c r="V770" s="49">
        <v>0</v>
      </c>
      <c r="W770" s="50"/>
    </row>
    <row r="771" spans="2:23" x14ac:dyDescent="0.2">
      <c r="B771" s="22" t="s">
        <v>16</v>
      </c>
      <c r="E771" s="22" t="s">
        <v>17</v>
      </c>
      <c r="S771" s="51">
        <v>108976.61</v>
      </c>
      <c r="T771" s="50"/>
      <c r="U771" s="51">
        <v>0</v>
      </c>
      <c r="V771" s="50"/>
      <c r="W771" s="50"/>
    </row>
    <row r="773" spans="2:23" x14ac:dyDescent="0.2">
      <c r="B773" s="22" t="s">
        <v>153</v>
      </c>
      <c r="E773" s="22" t="s">
        <v>154</v>
      </c>
    </row>
    <row r="774" spans="2:23" x14ac:dyDescent="0.2">
      <c r="C774" s="2" t="s">
        <v>961</v>
      </c>
      <c r="E774" s="2" t="s">
        <v>960</v>
      </c>
      <c r="I774" s="2" t="s">
        <v>106</v>
      </c>
      <c r="L774" s="2" t="s">
        <v>600</v>
      </c>
      <c r="P774" s="2" t="s">
        <v>962</v>
      </c>
      <c r="T774" s="5">
        <v>29750</v>
      </c>
      <c r="V774" s="49">
        <v>0</v>
      </c>
      <c r="W774" s="50"/>
    </row>
    <row r="775" spans="2:23" x14ac:dyDescent="0.2">
      <c r="C775" s="2" t="s">
        <v>974</v>
      </c>
      <c r="E775" s="2" t="s">
        <v>972</v>
      </c>
      <c r="I775" s="2" t="s">
        <v>106</v>
      </c>
      <c r="L775" s="2" t="s">
        <v>973</v>
      </c>
      <c r="P775" s="2" t="s">
        <v>975</v>
      </c>
      <c r="T775" s="5">
        <v>32400</v>
      </c>
      <c r="V775" s="49">
        <v>0</v>
      </c>
      <c r="W775" s="50"/>
    </row>
    <row r="776" spans="2:23" x14ac:dyDescent="0.2">
      <c r="B776" s="22" t="s">
        <v>153</v>
      </c>
      <c r="E776" s="22" t="s">
        <v>154</v>
      </c>
      <c r="S776" s="51">
        <v>62150</v>
      </c>
      <c r="T776" s="50"/>
      <c r="U776" s="51">
        <v>0</v>
      </c>
      <c r="V776" s="50"/>
      <c r="W776" s="50"/>
    </row>
    <row r="778" spans="2:23" x14ac:dyDescent="0.2">
      <c r="B778" s="22" t="s">
        <v>178</v>
      </c>
      <c r="E778" s="22" t="s">
        <v>179</v>
      </c>
    </row>
    <row r="779" spans="2:23" x14ac:dyDescent="0.2">
      <c r="C779" s="2" t="s">
        <v>977</v>
      </c>
      <c r="E779" s="2" t="s">
        <v>976</v>
      </c>
      <c r="I779" s="2" t="s">
        <v>19</v>
      </c>
      <c r="P779" s="2" t="s">
        <v>978</v>
      </c>
      <c r="T779" s="5">
        <v>2716</v>
      </c>
      <c r="V779" s="49">
        <v>0</v>
      </c>
      <c r="W779" s="50"/>
    </row>
    <row r="780" spans="2:23" x14ac:dyDescent="0.2">
      <c r="C780" s="2" t="s">
        <v>980</v>
      </c>
      <c r="E780" s="2" t="s">
        <v>979</v>
      </c>
      <c r="I780" s="2" t="s">
        <v>19</v>
      </c>
      <c r="P780" s="2" t="s">
        <v>978</v>
      </c>
      <c r="T780" s="5">
        <v>3000</v>
      </c>
      <c r="V780" s="49">
        <v>0</v>
      </c>
      <c r="W780" s="50"/>
    </row>
    <row r="781" spans="2:23" x14ac:dyDescent="0.2">
      <c r="C781" s="2" t="s">
        <v>205</v>
      </c>
      <c r="E781" s="2" t="s">
        <v>981</v>
      </c>
      <c r="I781" s="2" t="s">
        <v>19</v>
      </c>
      <c r="P781" s="2" t="s">
        <v>978</v>
      </c>
      <c r="T781" s="5">
        <v>3088</v>
      </c>
      <c r="V781" s="49">
        <v>0</v>
      </c>
      <c r="W781" s="50"/>
    </row>
    <row r="782" spans="2:23" x14ac:dyDescent="0.2">
      <c r="B782" s="22" t="s">
        <v>178</v>
      </c>
      <c r="E782" s="22" t="s">
        <v>179</v>
      </c>
      <c r="S782" s="51">
        <v>8804</v>
      </c>
      <c r="T782" s="50"/>
      <c r="U782" s="51">
        <v>0</v>
      </c>
      <c r="V782" s="50"/>
      <c r="W782" s="50"/>
    </row>
    <row r="784" spans="2:23" x14ac:dyDescent="0.2">
      <c r="B784" s="22" t="s">
        <v>22</v>
      </c>
      <c r="E784" s="22" t="s">
        <v>23</v>
      </c>
    </row>
    <row r="785" spans="2:23" x14ac:dyDescent="0.2">
      <c r="C785" s="2" t="s">
        <v>20</v>
      </c>
      <c r="E785" s="2" t="s">
        <v>59</v>
      </c>
      <c r="I785" s="2" t="s">
        <v>19</v>
      </c>
      <c r="P785" s="2" t="s">
        <v>60</v>
      </c>
      <c r="T785" s="5">
        <v>49910</v>
      </c>
      <c r="V785" s="49">
        <v>0</v>
      </c>
      <c r="W785" s="50"/>
    </row>
    <row r="786" spans="2:23" x14ac:dyDescent="0.2">
      <c r="B786" s="22" t="s">
        <v>22</v>
      </c>
      <c r="E786" s="22" t="s">
        <v>23</v>
      </c>
      <c r="S786" s="51">
        <v>49910</v>
      </c>
      <c r="T786" s="50"/>
      <c r="U786" s="51">
        <v>0</v>
      </c>
      <c r="V786" s="50"/>
      <c r="W786" s="50"/>
    </row>
    <row r="787" spans="2:23" x14ac:dyDescent="0.2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</row>
    <row r="788" spans="2:23" x14ac:dyDescent="0.2"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52">
        <v>263457.61</v>
      </c>
      <c r="T788" s="53"/>
      <c r="U788" s="52">
        <v>0</v>
      </c>
      <c r="V788" s="53"/>
      <c r="W788" s="53"/>
    </row>
    <row r="789" spans="2:23" x14ac:dyDescent="0.2">
      <c r="B789" s="8"/>
      <c r="C789" s="8"/>
      <c r="D789" s="20" t="s">
        <v>81</v>
      </c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11">
        <v>263457.61</v>
      </c>
      <c r="S789" s="8"/>
      <c r="T789" s="8"/>
      <c r="U789" s="8"/>
      <c r="V789" s="8"/>
      <c r="W789" s="8"/>
    </row>
    <row r="790" spans="2:23" x14ac:dyDescent="0.2"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</row>
    <row r="792" spans="2:23" ht="15" x14ac:dyDescent="0.2">
      <c r="B792" s="4" t="s">
        <v>82</v>
      </c>
    </row>
    <row r="794" spans="2:23" x14ac:dyDescent="0.2">
      <c r="B794" s="22" t="s">
        <v>245</v>
      </c>
      <c r="E794" s="22" t="s">
        <v>246</v>
      </c>
    </row>
    <row r="795" spans="2:23" x14ac:dyDescent="0.2">
      <c r="C795" s="2" t="s">
        <v>37</v>
      </c>
      <c r="E795" s="2" t="s">
        <v>982</v>
      </c>
      <c r="I795" s="2" t="s">
        <v>19</v>
      </c>
      <c r="P795" s="2" t="s">
        <v>983</v>
      </c>
      <c r="T795" s="5">
        <v>0</v>
      </c>
      <c r="V795" s="49">
        <v>37620</v>
      </c>
      <c r="W795" s="50"/>
    </row>
    <row r="796" spans="2:23" x14ac:dyDescent="0.2">
      <c r="C796" s="2" t="s">
        <v>37</v>
      </c>
      <c r="E796" s="2" t="s">
        <v>984</v>
      </c>
      <c r="I796" s="2" t="s">
        <v>19</v>
      </c>
      <c r="P796" s="2" t="s">
        <v>985</v>
      </c>
      <c r="T796" s="5">
        <v>0</v>
      </c>
      <c r="V796" s="49">
        <v>5000</v>
      </c>
      <c r="W796" s="50"/>
    </row>
    <row r="797" spans="2:23" x14ac:dyDescent="0.2">
      <c r="C797" s="2" t="s">
        <v>40</v>
      </c>
      <c r="E797" s="2" t="s">
        <v>986</v>
      </c>
      <c r="I797" s="2" t="s">
        <v>19</v>
      </c>
      <c r="P797" s="2" t="s">
        <v>987</v>
      </c>
      <c r="T797" s="5">
        <v>0</v>
      </c>
      <c r="V797" s="49">
        <v>2000</v>
      </c>
      <c r="W797" s="50"/>
    </row>
    <row r="798" spans="2:23" x14ac:dyDescent="0.2">
      <c r="C798" s="2" t="s">
        <v>43</v>
      </c>
      <c r="E798" s="2" t="s">
        <v>618</v>
      </c>
      <c r="I798" s="2" t="s">
        <v>19</v>
      </c>
      <c r="P798" s="2" t="s">
        <v>619</v>
      </c>
      <c r="T798" s="5">
        <v>0</v>
      </c>
      <c r="V798" s="49">
        <v>40000</v>
      </c>
      <c r="W798" s="50"/>
    </row>
    <row r="799" spans="2:23" x14ac:dyDescent="0.2">
      <c r="B799" s="22" t="s">
        <v>245</v>
      </c>
      <c r="E799" s="22" t="s">
        <v>246</v>
      </c>
      <c r="S799" s="51">
        <v>0</v>
      </c>
      <c r="T799" s="50"/>
      <c r="U799" s="51">
        <v>84620</v>
      </c>
      <c r="V799" s="50"/>
      <c r="W799" s="50"/>
    </row>
    <row r="801" spans="2:23" x14ac:dyDescent="0.2">
      <c r="B801" s="22" t="s">
        <v>89</v>
      </c>
      <c r="E801" s="22" t="s">
        <v>90</v>
      </c>
    </row>
    <row r="802" spans="2:23" x14ac:dyDescent="0.2">
      <c r="C802" s="2" t="s">
        <v>623</v>
      </c>
      <c r="E802" s="2" t="s">
        <v>988</v>
      </c>
      <c r="I802" s="2" t="s">
        <v>64</v>
      </c>
      <c r="P802" s="2" t="s">
        <v>989</v>
      </c>
      <c r="T802" s="5">
        <v>0</v>
      </c>
      <c r="V802" s="49">
        <v>4000</v>
      </c>
      <c r="W802" s="50"/>
    </row>
    <row r="803" spans="2:23" x14ac:dyDescent="0.2">
      <c r="C803" s="2" t="s">
        <v>623</v>
      </c>
      <c r="E803" s="2" t="s">
        <v>990</v>
      </c>
      <c r="I803" s="2" t="s">
        <v>64</v>
      </c>
      <c r="P803" s="2" t="s">
        <v>991</v>
      </c>
      <c r="T803" s="5">
        <v>0</v>
      </c>
      <c r="V803" s="49">
        <v>2000</v>
      </c>
      <c r="W803" s="50"/>
    </row>
    <row r="804" spans="2:23" x14ac:dyDescent="0.2">
      <c r="C804" s="2" t="s">
        <v>399</v>
      </c>
      <c r="E804" s="2" t="s">
        <v>992</v>
      </c>
      <c r="I804" s="2" t="s">
        <v>64</v>
      </c>
      <c r="P804" s="2" t="s">
        <v>993</v>
      </c>
      <c r="T804" s="5">
        <v>0</v>
      </c>
      <c r="V804" s="49">
        <v>4000</v>
      </c>
      <c r="W804" s="50"/>
    </row>
    <row r="805" spans="2:23" x14ac:dyDescent="0.2">
      <c r="C805" s="2" t="s">
        <v>399</v>
      </c>
      <c r="E805" s="2" t="s">
        <v>994</v>
      </c>
      <c r="I805" s="2" t="s">
        <v>64</v>
      </c>
      <c r="P805" s="2" t="s">
        <v>95</v>
      </c>
      <c r="T805" s="5">
        <v>0</v>
      </c>
      <c r="V805" s="49">
        <v>4000</v>
      </c>
      <c r="W805" s="50"/>
    </row>
    <row r="806" spans="2:23" x14ac:dyDescent="0.2">
      <c r="C806" s="2" t="s">
        <v>399</v>
      </c>
      <c r="E806" s="2" t="s">
        <v>995</v>
      </c>
      <c r="I806" s="2" t="s">
        <v>64</v>
      </c>
      <c r="P806" s="2" t="s">
        <v>996</v>
      </c>
      <c r="T806" s="5">
        <v>0</v>
      </c>
      <c r="V806" s="49">
        <v>4000</v>
      </c>
      <c r="W806" s="50"/>
    </row>
    <row r="807" spans="2:23" x14ac:dyDescent="0.2">
      <c r="C807" s="2" t="s">
        <v>181</v>
      </c>
      <c r="E807" s="2" t="s">
        <v>997</v>
      </c>
      <c r="I807" s="2" t="s">
        <v>64</v>
      </c>
      <c r="P807" s="2" t="s">
        <v>998</v>
      </c>
      <c r="T807" s="5">
        <v>0</v>
      </c>
      <c r="V807" s="49">
        <v>4000</v>
      </c>
      <c r="W807" s="50"/>
    </row>
    <row r="808" spans="2:23" x14ac:dyDescent="0.2">
      <c r="C808" s="2" t="s">
        <v>181</v>
      </c>
      <c r="E808" s="2" t="s">
        <v>999</v>
      </c>
      <c r="I808" s="2" t="s">
        <v>64</v>
      </c>
      <c r="P808" s="2" t="s">
        <v>1000</v>
      </c>
      <c r="T808" s="5">
        <v>0</v>
      </c>
      <c r="V808" s="49">
        <v>4000</v>
      </c>
      <c r="W808" s="50"/>
    </row>
    <row r="809" spans="2:23" x14ac:dyDescent="0.2">
      <c r="C809" s="2" t="s">
        <v>630</v>
      </c>
      <c r="E809" s="2" t="s">
        <v>1001</v>
      </c>
      <c r="I809" s="2" t="s">
        <v>64</v>
      </c>
      <c r="P809" s="2" t="s">
        <v>1002</v>
      </c>
      <c r="T809" s="5">
        <v>0</v>
      </c>
      <c r="V809" s="49">
        <v>4000</v>
      </c>
      <c r="W809" s="50"/>
    </row>
    <row r="810" spans="2:23" x14ac:dyDescent="0.2">
      <c r="C810" s="2" t="s">
        <v>630</v>
      </c>
      <c r="E810" s="2" t="s">
        <v>1003</v>
      </c>
      <c r="I810" s="2" t="s">
        <v>64</v>
      </c>
      <c r="P810" s="2" t="s">
        <v>1004</v>
      </c>
      <c r="T810" s="5">
        <v>0</v>
      </c>
      <c r="V810" s="49">
        <v>4000</v>
      </c>
      <c r="W810" s="50"/>
    </row>
    <row r="811" spans="2:23" x14ac:dyDescent="0.2">
      <c r="C811" s="2" t="s">
        <v>635</v>
      </c>
      <c r="E811" s="2" t="s">
        <v>1005</v>
      </c>
      <c r="I811" s="2" t="s">
        <v>64</v>
      </c>
      <c r="P811" s="2" t="s">
        <v>1006</v>
      </c>
      <c r="T811" s="5">
        <v>0</v>
      </c>
      <c r="V811" s="49">
        <v>4000</v>
      </c>
      <c r="W811" s="50"/>
    </row>
    <row r="812" spans="2:23" x14ac:dyDescent="0.2">
      <c r="C812" s="2" t="s">
        <v>811</v>
      </c>
      <c r="E812" s="2" t="s">
        <v>1007</v>
      </c>
      <c r="I812" s="2" t="s">
        <v>64</v>
      </c>
      <c r="P812" s="2" t="s">
        <v>936</v>
      </c>
      <c r="T812" s="5">
        <v>0</v>
      </c>
      <c r="V812" s="49">
        <v>2000</v>
      </c>
      <c r="W812" s="50"/>
    </row>
    <row r="813" spans="2:23" x14ac:dyDescent="0.2">
      <c r="C813" s="2" t="s">
        <v>817</v>
      </c>
      <c r="E813" s="2" t="s">
        <v>1008</v>
      </c>
      <c r="I813" s="2" t="s">
        <v>64</v>
      </c>
      <c r="P813" s="2" t="s">
        <v>1009</v>
      </c>
      <c r="T813" s="5">
        <v>0</v>
      </c>
      <c r="V813" s="49">
        <v>4000</v>
      </c>
      <c r="W813" s="50"/>
    </row>
    <row r="814" spans="2:23" ht="18" x14ac:dyDescent="0.2">
      <c r="B814" s="1" t="s">
        <v>1</v>
      </c>
      <c r="S814" s="55" t="s">
        <v>953</v>
      </c>
      <c r="T814" s="50"/>
      <c r="U814" s="50"/>
      <c r="V814" s="50"/>
      <c r="W814" s="50"/>
    </row>
    <row r="815" spans="2:23" ht="12.75" thickBot="1" x14ac:dyDescent="0.25">
      <c r="B815" s="10" t="s">
        <v>3</v>
      </c>
      <c r="C815" s="6"/>
      <c r="D815" s="6"/>
      <c r="E815" s="6"/>
      <c r="F815" s="6"/>
      <c r="G815" s="6"/>
      <c r="H815" s="6"/>
      <c r="I815" s="6"/>
      <c r="J815" s="6"/>
      <c r="K815" s="6" t="s">
        <v>5</v>
      </c>
      <c r="L815" s="6"/>
      <c r="M815" s="6"/>
      <c r="N815" s="6"/>
      <c r="O815" s="6"/>
      <c r="P815" s="6" t="s">
        <v>4</v>
      </c>
      <c r="Q815" s="6" t="s">
        <v>2730</v>
      </c>
      <c r="R815" s="6"/>
      <c r="S815" s="56" t="s">
        <v>6</v>
      </c>
      <c r="T815" s="57"/>
      <c r="U815" s="57"/>
      <c r="V815" s="57"/>
      <c r="W815" s="57"/>
    </row>
    <row r="816" spans="2:23" ht="12.75" thickTop="1" x14ac:dyDescent="0.2"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</row>
    <row r="817" spans="3:23" x14ac:dyDescent="0.2">
      <c r="C817" s="2" t="s">
        <v>646</v>
      </c>
      <c r="E817" s="2" t="s">
        <v>1011</v>
      </c>
      <c r="I817" s="2" t="s">
        <v>64</v>
      </c>
      <c r="P817" s="2" t="s">
        <v>1012</v>
      </c>
      <c r="T817" s="5">
        <v>0</v>
      </c>
      <c r="V817" s="49">
        <v>4000</v>
      </c>
      <c r="W817" s="50"/>
    </row>
    <row r="818" spans="3:23" x14ac:dyDescent="0.2">
      <c r="C818" s="2" t="s">
        <v>502</v>
      </c>
      <c r="E818" s="2" t="s">
        <v>1013</v>
      </c>
      <c r="I818" s="2" t="s">
        <v>64</v>
      </c>
      <c r="P818" s="2" t="s">
        <v>1014</v>
      </c>
      <c r="T818" s="5">
        <v>0</v>
      </c>
      <c r="V818" s="49">
        <v>4000</v>
      </c>
      <c r="W818" s="50"/>
    </row>
    <row r="819" spans="3:23" x14ac:dyDescent="0.2">
      <c r="C819" s="2" t="s">
        <v>651</v>
      </c>
      <c r="E819" s="2" t="s">
        <v>1015</v>
      </c>
      <c r="I819" s="2" t="s">
        <v>64</v>
      </c>
      <c r="P819" s="2" t="s">
        <v>95</v>
      </c>
      <c r="T819" s="5">
        <v>0</v>
      </c>
      <c r="V819" s="49">
        <v>4000</v>
      </c>
      <c r="W819" s="50"/>
    </row>
    <row r="820" spans="3:23" x14ac:dyDescent="0.2">
      <c r="C820" s="2" t="s">
        <v>651</v>
      </c>
      <c r="E820" s="2" t="s">
        <v>1016</v>
      </c>
      <c r="I820" s="2" t="s">
        <v>64</v>
      </c>
      <c r="P820" s="2" t="s">
        <v>95</v>
      </c>
      <c r="T820" s="5">
        <v>0</v>
      </c>
      <c r="V820" s="49">
        <v>4000</v>
      </c>
      <c r="W820" s="50"/>
    </row>
    <row r="821" spans="3:23" x14ac:dyDescent="0.2">
      <c r="C821" s="2" t="s">
        <v>651</v>
      </c>
      <c r="E821" s="2" t="s">
        <v>1017</v>
      </c>
      <c r="I821" s="2" t="s">
        <v>64</v>
      </c>
      <c r="P821" s="2" t="s">
        <v>1018</v>
      </c>
      <c r="T821" s="5">
        <v>0</v>
      </c>
      <c r="V821" s="49">
        <v>2000</v>
      </c>
      <c r="W821" s="50"/>
    </row>
    <row r="822" spans="3:23" x14ac:dyDescent="0.2">
      <c r="C822" s="2" t="s">
        <v>507</v>
      </c>
      <c r="E822" s="2" t="s">
        <v>1019</v>
      </c>
      <c r="I822" s="2" t="s">
        <v>64</v>
      </c>
      <c r="P822" s="2" t="s">
        <v>1020</v>
      </c>
      <c r="T822" s="5">
        <v>0</v>
      </c>
      <c r="V822" s="49">
        <v>4000</v>
      </c>
      <c r="W822" s="50"/>
    </row>
    <row r="823" spans="3:23" x14ac:dyDescent="0.2">
      <c r="C823" s="2" t="s">
        <v>510</v>
      </c>
      <c r="E823" s="2" t="s">
        <v>1021</v>
      </c>
      <c r="I823" s="2" t="s">
        <v>64</v>
      </c>
      <c r="P823" s="2" t="s">
        <v>1022</v>
      </c>
      <c r="T823" s="5">
        <v>0</v>
      </c>
      <c r="V823" s="49">
        <v>4000</v>
      </c>
      <c r="W823" s="50"/>
    </row>
    <row r="824" spans="3:23" x14ac:dyDescent="0.2">
      <c r="C824" s="2" t="s">
        <v>847</v>
      </c>
      <c r="E824" s="2" t="s">
        <v>1023</v>
      </c>
      <c r="I824" s="2" t="s">
        <v>64</v>
      </c>
      <c r="P824" s="2" t="s">
        <v>1024</v>
      </c>
      <c r="T824" s="5">
        <v>0</v>
      </c>
      <c r="V824" s="49">
        <v>4000</v>
      </c>
      <c r="W824" s="50"/>
    </row>
    <row r="825" spans="3:23" x14ac:dyDescent="0.2">
      <c r="C825" s="2" t="s">
        <v>407</v>
      </c>
      <c r="E825" s="2" t="s">
        <v>1025</v>
      </c>
      <c r="I825" s="2" t="s">
        <v>64</v>
      </c>
      <c r="P825" s="2" t="s">
        <v>95</v>
      </c>
      <c r="T825" s="5">
        <v>0</v>
      </c>
      <c r="V825" s="49">
        <v>4000</v>
      </c>
      <c r="W825" s="50"/>
    </row>
    <row r="826" spans="3:23" x14ac:dyDescent="0.2">
      <c r="C826" s="2" t="s">
        <v>407</v>
      </c>
      <c r="E826" s="2" t="s">
        <v>1026</v>
      </c>
      <c r="I826" s="2" t="s">
        <v>64</v>
      </c>
      <c r="P826" s="2" t="s">
        <v>95</v>
      </c>
      <c r="T826" s="5">
        <v>0</v>
      </c>
      <c r="V826" s="49">
        <v>4000</v>
      </c>
      <c r="W826" s="50"/>
    </row>
    <row r="827" spans="3:23" x14ac:dyDescent="0.2">
      <c r="C827" s="2" t="s">
        <v>407</v>
      </c>
      <c r="E827" s="2" t="s">
        <v>1027</v>
      </c>
      <c r="I827" s="2" t="s">
        <v>64</v>
      </c>
      <c r="P827" s="2" t="s">
        <v>95</v>
      </c>
      <c r="T827" s="5">
        <v>0</v>
      </c>
      <c r="V827" s="49">
        <v>4000</v>
      </c>
      <c r="W827" s="50"/>
    </row>
    <row r="828" spans="3:23" x14ac:dyDescent="0.2">
      <c r="C828" s="2" t="s">
        <v>25</v>
      </c>
      <c r="E828" s="2" t="s">
        <v>1028</v>
      </c>
      <c r="I828" s="2" t="s">
        <v>64</v>
      </c>
      <c r="P828" s="2" t="s">
        <v>1029</v>
      </c>
      <c r="T828" s="5">
        <v>0</v>
      </c>
      <c r="V828" s="49">
        <v>4000</v>
      </c>
      <c r="W828" s="50"/>
    </row>
    <row r="829" spans="3:23" x14ac:dyDescent="0.2">
      <c r="C829" s="2" t="s">
        <v>25</v>
      </c>
      <c r="E829" s="2" t="s">
        <v>1030</v>
      </c>
      <c r="I829" s="2" t="s">
        <v>64</v>
      </c>
      <c r="P829" s="2" t="s">
        <v>1031</v>
      </c>
      <c r="T829" s="5">
        <v>0</v>
      </c>
      <c r="V829" s="49">
        <v>4000</v>
      </c>
      <c r="W829" s="50"/>
    </row>
    <row r="830" spans="3:23" x14ac:dyDescent="0.2">
      <c r="C830" s="2" t="s">
        <v>25</v>
      </c>
      <c r="E830" s="2" t="s">
        <v>1032</v>
      </c>
      <c r="I830" s="2" t="s">
        <v>64</v>
      </c>
      <c r="P830" s="2" t="s">
        <v>1033</v>
      </c>
      <c r="T830" s="5">
        <v>0</v>
      </c>
      <c r="V830" s="49">
        <v>4000</v>
      </c>
      <c r="W830" s="50"/>
    </row>
    <row r="831" spans="3:23" x14ac:dyDescent="0.2">
      <c r="C831" s="2" t="s">
        <v>415</v>
      </c>
      <c r="E831" s="2" t="s">
        <v>1034</v>
      </c>
      <c r="I831" s="2" t="s">
        <v>64</v>
      </c>
      <c r="P831" s="2" t="s">
        <v>1035</v>
      </c>
      <c r="T831" s="5">
        <v>0</v>
      </c>
      <c r="V831" s="49">
        <v>4000</v>
      </c>
      <c r="W831" s="50"/>
    </row>
    <row r="832" spans="3:23" x14ac:dyDescent="0.2">
      <c r="C832" s="2" t="s">
        <v>1037</v>
      </c>
      <c r="E832" s="2" t="s">
        <v>1036</v>
      </c>
      <c r="I832" s="2" t="s">
        <v>64</v>
      </c>
      <c r="P832" s="2" t="s">
        <v>1038</v>
      </c>
      <c r="T832" s="5">
        <v>0</v>
      </c>
      <c r="V832" s="49">
        <v>4000</v>
      </c>
      <c r="W832" s="50"/>
    </row>
    <row r="833" spans="3:23" x14ac:dyDescent="0.2">
      <c r="C833" s="2" t="s">
        <v>383</v>
      </c>
      <c r="E833" s="2" t="s">
        <v>1039</v>
      </c>
      <c r="I833" s="2" t="s">
        <v>64</v>
      </c>
      <c r="P833" s="2" t="s">
        <v>1040</v>
      </c>
      <c r="T833" s="5">
        <v>0</v>
      </c>
      <c r="V833" s="49">
        <v>1000</v>
      </c>
      <c r="W833" s="50"/>
    </row>
    <row r="834" spans="3:23" x14ac:dyDescent="0.2">
      <c r="C834" s="2" t="s">
        <v>1042</v>
      </c>
      <c r="E834" s="2" t="s">
        <v>1041</v>
      </c>
      <c r="I834" s="2" t="s">
        <v>64</v>
      </c>
      <c r="P834" s="2" t="s">
        <v>1043</v>
      </c>
      <c r="T834" s="5">
        <v>0</v>
      </c>
      <c r="V834" s="49">
        <v>-4000</v>
      </c>
      <c r="W834" s="50"/>
    </row>
    <row r="835" spans="3:23" x14ac:dyDescent="0.2">
      <c r="C835" s="2" t="s">
        <v>1045</v>
      </c>
      <c r="E835" s="2" t="s">
        <v>1044</v>
      </c>
      <c r="I835" s="2" t="s">
        <v>64</v>
      </c>
      <c r="P835" s="2" t="s">
        <v>1046</v>
      </c>
      <c r="T835" s="5">
        <v>0</v>
      </c>
      <c r="V835" s="49">
        <v>4000</v>
      </c>
      <c r="W835" s="50"/>
    </row>
    <row r="836" spans="3:23" x14ac:dyDescent="0.2">
      <c r="C836" s="2" t="s">
        <v>1048</v>
      </c>
      <c r="E836" s="2" t="s">
        <v>1047</v>
      </c>
      <c r="I836" s="2" t="s">
        <v>64</v>
      </c>
      <c r="P836" s="2" t="s">
        <v>1049</v>
      </c>
      <c r="T836" s="5">
        <v>0</v>
      </c>
      <c r="V836" s="49">
        <v>2000</v>
      </c>
      <c r="W836" s="50"/>
    </row>
    <row r="837" spans="3:23" x14ac:dyDescent="0.2">
      <c r="C837" s="2" t="s">
        <v>875</v>
      </c>
      <c r="E837" s="2" t="s">
        <v>1050</v>
      </c>
      <c r="I837" s="2" t="s">
        <v>64</v>
      </c>
      <c r="P837" s="2" t="s">
        <v>1051</v>
      </c>
      <c r="T837" s="5">
        <v>0</v>
      </c>
      <c r="V837" s="49">
        <v>1000</v>
      </c>
      <c r="W837" s="50"/>
    </row>
    <row r="838" spans="3:23" x14ac:dyDescent="0.2">
      <c r="C838" s="2" t="s">
        <v>875</v>
      </c>
      <c r="E838" s="2" t="s">
        <v>1052</v>
      </c>
      <c r="I838" s="2" t="s">
        <v>64</v>
      </c>
      <c r="P838" s="2" t="s">
        <v>1053</v>
      </c>
      <c r="T838" s="5">
        <v>0</v>
      </c>
      <c r="V838" s="49">
        <v>1600</v>
      </c>
      <c r="W838" s="50"/>
    </row>
    <row r="839" spans="3:23" x14ac:dyDescent="0.2">
      <c r="C839" s="2" t="s">
        <v>37</v>
      </c>
      <c r="E839" s="2" t="s">
        <v>94</v>
      </c>
      <c r="I839" s="2" t="s">
        <v>64</v>
      </c>
      <c r="P839" s="2" t="s">
        <v>95</v>
      </c>
      <c r="T839" s="5">
        <v>0</v>
      </c>
      <c r="V839" s="49">
        <v>5000</v>
      </c>
      <c r="W839" s="50"/>
    </row>
    <row r="840" spans="3:23" x14ac:dyDescent="0.2">
      <c r="C840" s="2" t="s">
        <v>256</v>
      </c>
      <c r="E840" s="2" t="s">
        <v>1054</v>
      </c>
      <c r="I840" s="2" t="s">
        <v>64</v>
      </c>
      <c r="P840" s="2" t="s">
        <v>1055</v>
      </c>
      <c r="T840" s="5">
        <v>0</v>
      </c>
      <c r="V840" s="49">
        <v>4100</v>
      </c>
      <c r="W840" s="50"/>
    </row>
    <row r="841" spans="3:23" x14ac:dyDescent="0.2">
      <c r="C841" s="2" t="s">
        <v>256</v>
      </c>
      <c r="E841" s="2" t="s">
        <v>1056</v>
      </c>
      <c r="I841" s="2" t="s">
        <v>64</v>
      </c>
      <c r="P841" s="2" t="s">
        <v>1057</v>
      </c>
      <c r="T841" s="5">
        <v>0</v>
      </c>
      <c r="V841" s="49">
        <v>4100</v>
      </c>
      <c r="W841" s="50"/>
    </row>
    <row r="842" spans="3:23" x14ac:dyDescent="0.2">
      <c r="C842" s="2" t="s">
        <v>256</v>
      </c>
      <c r="E842" s="2" t="s">
        <v>1058</v>
      </c>
      <c r="I842" s="2" t="s">
        <v>64</v>
      </c>
      <c r="P842" s="2" t="s">
        <v>1059</v>
      </c>
      <c r="T842" s="5">
        <v>0</v>
      </c>
      <c r="V842" s="49">
        <v>4100</v>
      </c>
      <c r="W842" s="50"/>
    </row>
    <row r="843" spans="3:23" x14ac:dyDescent="0.2">
      <c r="C843" s="2" t="s">
        <v>531</v>
      </c>
      <c r="E843" s="2" t="s">
        <v>1060</v>
      </c>
      <c r="I843" s="2" t="s">
        <v>64</v>
      </c>
      <c r="P843" s="2" t="s">
        <v>1061</v>
      </c>
      <c r="T843" s="5">
        <v>0</v>
      </c>
      <c r="V843" s="49">
        <v>4100</v>
      </c>
      <c r="W843" s="50"/>
    </row>
    <row r="844" spans="3:23" x14ac:dyDescent="0.2">
      <c r="C844" s="2" t="s">
        <v>531</v>
      </c>
      <c r="E844" s="2" t="s">
        <v>1062</v>
      </c>
      <c r="I844" s="2" t="s">
        <v>64</v>
      </c>
      <c r="P844" s="2" t="s">
        <v>1063</v>
      </c>
      <c r="T844" s="5">
        <v>0</v>
      </c>
      <c r="V844" s="49">
        <v>4100</v>
      </c>
      <c r="W844" s="50"/>
    </row>
    <row r="845" spans="3:23" x14ac:dyDescent="0.2">
      <c r="C845" s="2" t="s">
        <v>531</v>
      </c>
      <c r="E845" s="2" t="s">
        <v>1064</v>
      </c>
      <c r="I845" s="2" t="s">
        <v>64</v>
      </c>
      <c r="P845" s="2" t="s">
        <v>1065</v>
      </c>
      <c r="T845" s="5">
        <v>0</v>
      </c>
      <c r="V845" s="49">
        <v>4100</v>
      </c>
      <c r="W845" s="50"/>
    </row>
    <row r="846" spans="3:23" x14ac:dyDescent="0.2">
      <c r="C846" s="2" t="s">
        <v>531</v>
      </c>
      <c r="E846" s="2" t="s">
        <v>1066</v>
      </c>
      <c r="I846" s="2" t="s">
        <v>64</v>
      </c>
      <c r="P846" s="2" t="s">
        <v>95</v>
      </c>
      <c r="T846" s="5">
        <v>0</v>
      </c>
      <c r="V846" s="49">
        <v>4100</v>
      </c>
      <c r="W846" s="50"/>
    </row>
    <row r="847" spans="3:23" x14ac:dyDescent="0.2">
      <c r="C847" s="2" t="s">
        <v>536</v>
      </c>
      <c r="E847" s="2" t="s">
        <v>1067</v>
      </c>
      <c r="I847" s="2" t="s">
        <v>64</v>
      </c>
      <c r="P847" s="2" t="s">
        <v>1068</v>
      </c>
      <c r="T847" s="5">
        <v>0</v>
      </c>
      <c r="V847" s="49">
        <v>4100</v>
      </c>
      <c r="W847" s="50"/>
    </row>
    <row r="848" spans="3:23" x14ac:dyDescent="0.2">
      <c r="C848" s="2" t="s">
        <v>536</v>
      </c>
      <c r="E848" s="2" t="s">
        <v>1069</v>
      </c>
      <c r="I848" s="2" t="s">
        <v>64</v>
      </c>
      <c r="P848" s="2" t="s">
        <v>1070</v>
      </c>
      <c r="T848" s="5">
        <v>0</v>
      </c>
      <c r="V848" s="49">
        <v>4100</v>
      </c>
      <c r="W848" s="50"/>
    </row>
    <row r="849" spans="3:23" x14ac:dyDescent="0.2">
      <c r="C849" s="2" t="s">
        <v>536</v>
      </c>
      <c r="E849" s="2" t="s">
        <v>1071</v>
      </c>
      <c r="I849" s="2" t="s">
        <v>64</v>
      </c>
      <c r="P849" s="2" t="s">
        <v>95</v>
      </c>
      <c r="T849" s="5">
        <v>0</v>
      </c>
      <c r="V849" s="49">
        <v>4100</v>
      </c>
      <c r="W849" s="50"/>
    </row>
    <row r="850" spans="3:23" x14ac:dyDescent="0.2">
      <c r="C850" s="2" t="s">
        <v>536</v>
      </c>
      <c r="E850" s="2" t="s">
        <v>1072</v>
      </c>
      <c r="I850" s="2" t="s">
        <v>64</v>
      </c>
      <c r="P850" s="2" t="s">
        <v>1073</v>
      </c>
      <c r="T850" s="5">
        <v>0</v>
      </c>
      <c r="V850" s="49">
        <v>4100</v>
      </c>
      <c r="W850" s="50"/>
    </row>
    <row r="851" spans="3:23" x14ac:dyDescent="0.2">
      <c r="C851" s="2" t="s">
        <v>541</v>
      </c>
      <c r="E851" s="2" t="s">
        <v>1074</v>
      </c>
      <c r="I851" s="2" t="s">
        <v>64</v>
      </c>
      <c r="P851" s="2" t="s">
        <v>1075</v>
      </c>
      <c r="T851" s="5">
        <v>0</v>
      </c>
      <c r="V851" s="49">
        <v>4100</v>
      </c>
      <c r="W851" s="50"/>
    </row>
    <row r="852" spans="3:23" x14ac:dyDescent="0.2">
      <c r="C852" s="2" t="s">
        <v>541</v>
      </c>
      <c r="E852" s="2" t="s">
        <v>1076</v>
      </c>
      <c r="I852" s="2" t="s">
        <v>64</v>
      </c>
      <c r="P852" s="2" t="s">
        <v>1077</v>
      </c>
      <c r="T852" s="5">
        <v>0</v>
      </c>
      <c r="V852" s="49">
        <v>4100</v>
      </c>
      <c r="W852" s="50"/>
    </row>
    <row r="853" spans="3:23" x14ac:dyDescent="0.2">
      <c r="C853" s="2" t="s">
        <v>220</v>
      </c>
      <c r="E853" s="2" t="s">
        <v>1078</v>
      </c>
      <c r="I853" s="2" t="s">
        <v>64</v>
      </c>
      <c r="P853" s="2" t="s">
        <v>1079</v>
      </c>
      <c r="T853" s="5">
        <v>0</v>
      </c>
      <c r="V853" s="49">
        <v>4100</v>
      </c>
      <c r="W853" s="50"/>
    </row>
    <row r="854" spans="3:23" x14ac:dyDescent="0.2">
      <c r="C854" s="2" t="s">
        <v>433</v>
      </c>
      <c r="E854" s="2" t="s">
        <v>1080</v>
      </c>
      <c r="I854" s="2" t="s">
        <v>64</v>
      </c>
      <c r="P854" s="2" t="s">
        <v>1081</v>
      </c>
      <c r="T854" s="5">
        <v>0</v>
      </c>
      <c r="V854" s="49">
        <v>4100</v>
      </c>
      <c r="W854" s="50"/>
    </row>
    <row r="855" spans="3:23" x14ac:dyDescent="0.2">
      <c r="C855" s="2" t="s">
        <v>433</v>
      </c>
      <c r="E855" s="2" t="s">
        <v>1082</v>
      </c>
      <c r="I855" s="2" t="s">
        <v>64</v>
      </c>
      <c r="P855" s="2" t="s">
        <v>1083</v>
      </c>
      <c r="T855" s="5">
        <v>0</v>
      </c>
      <c r="V855" s="49">
        <v>4100</v>
      </c>
      <c r="W855" s="50"/>
    </row>
    <row r="856" spans="3:23" x14ac:dyDescent="0.2">
      <c r="C856" s="2" t="s">
        <v>261</v>
      </c>
      <c r="E856" s="2" t="s">
        <v>1084</v>
      </c>
      <c r="I856" s="2" t="s">
        <v>64</v>
      </c>
      <c r="P856" s="2" t="s">
        <v>1085</v>
      </c>
      <c r="T856" s="5">
        <v>0</v>
      </c>
      <c r="V856" s="49">
        <v>4100</v>
      </c>
      <c r="W856" s="50"/>
    </row>
    <row r="857" spans="3:23" x14ac:dyDescent="0.2">
      <c r="C857" s="2" t="s">
        <v>261</v>
      </c>
      <c r="E857" s="2" t="s">
        <v>1086</v>
      </c>
      <c r="I857" s="2" t="s">
        <v>64</v>
      </c>
      <c r="P857" s="2" t="s">
        <v>1087</v>
      </c>
      <c r="T857" s="5">
        <v>0</v>
      </c>
      <c r="V857" s="49">
        <v>2050</v>
      </c>
      <c r="W857" s="50"/>
    </row>
    <row r="858" spans="3:23" x14ac:dyDescent="0.2">
      <c r="C858" s="2" t="s">
        <v>709</v>
      </c>
      <c r="E858" s="2" t="s">
        <v>1088</v>
      </c>
      <c r="I858" s="2" t="s">
        <v>64</v>
      </c>
      <c r="P858" s="2" t="s">
        <v>1089</v>
      </c>
      <c r="T858" s="5">
        <v>0</v>
      </c>
      <c r="V858" s="49">
        <v>2050</v>
      </c>
      <c r="W858" s="50"/>
    </row>
    <row r="859" spans="3:23" x14ac:dyDescent="0.2">
      <c r="C859" s="2" t="s">
        <v>709</v>
      </c>
      <c r="E859" s="2" t="s">
        <v>1090</v>
      </c>
      <c r="I859" s="2" t="s">
        <v>64</v>
      </c>
      <c r="P859" s="2" t="s">
        <v>1091</v>
      </c>
      <c r="T859" s="5">
        <v>0</v>
      </c>
      <c r="V859" s="49">
        <v>4100</v>
      </c>
      <c r="W859" s="50"/>
    </row>
    <row r="860" spans="3:23" x14ac:dyDescent="0.2">
      <c r="C860" s="2" t="s">
        <v>264</v>
      </c>
      <c r="E860" s="2" t="s">
        <v>1092</v>
      </c>
      <c r="I860" s="2" t="s">
        <v>64</v>
      </c>
      <c r="P860" s="2" t="s">
        <v>1093</v>
      </c>
      <c r="T860" s="5">
        <v>0</v>
      </c>
      <c r="V860" s="49">
        <v>4100</v>
      </c>
      <c r="W860" s="50"/>
    </row>
    <row r="861" spans="3:23" x14ac:dyDescent="0.2">
      <c r="C861" s="2" t="s">
        <v>264</v>
      </c>
      <c r="E861" s="2" t="s">
        <v>1094</v>
      </c>
      <c r="I861" s="2" t="s">
        <v>64</v>
      </c>
      <c r="P861" s="2" t="s">
        <v>1095</v>
      </c>
      <c r="T861" s="5">
        <v>0</v>
      </c>
      <c r="V861" s="49">
        <v>2050</v>
      </c>
      <c r="W861" s="50"/>
    </row>
    <row r="862" spans="3:23" x14ac:dyDescent="0.2">
      <c r="C862" s="2" t="s">
        <v>49</v>
      </c>
      <c r="E862" s="2" t="s">
        <v>91</v>
      </c>
      <c r="I862" s="2" t="s">
        <v>19</v>
      </c>
      <c r="P862" s="2" t="s">
        <v>93</v>
      </c>
      <c r="T862" s="5">
        <v>0</v>
      </c>
      <c r="V862" s="49">
        <v>21943.14</v>
      </c>
      <c r="W862" s="50"/>
    </row>
    <row r="863" spans="3:23" x14ac:dyDescent="0.2">
      <c r="C863" s="2" t="s">
        <v>49</v>
      </c>
      <c r="E863" s="2" t="s">
        <v>1096</v>
      </c>
      <c r="I863" s="2" t="s">
        <v>64</v>
      </c>
      <c r="P863" s="2" t="s">
        <v>1097</v>
      </c>
      <c r="T863" s="5">
        <v>0</v>
      </c>
      <c r="V863" s="49">
        <v>4100</v>
      </c>
      <c r="W863" s="50"/>
    </row>
    <row r="864" spans="3:23" x14ac:dyDescent="0.2">
      <c r="C864" s="2" t="s">
        <v>49</v>
      </c>
      <c r="E864" s="2" t="s">
        <v>1098</v>
      </c>
      <c r="I864" s="2" t="s">
        <v>64</v>
      </c>
      <c r="P864" s="2" t="s">
        <v>1099</v>
      </c>
      <c r="T864" s="5">
        <v>0</v>
      </c>
      <c r="V864" s="49">
        <v>2050</v>
      </c>
      <c r="W864" s="50"/>
    </row>
    <row r="865" spans="2:23" x14ac:dyDescent="0.2">
      <c r="C865" s="2" t="s">
        <v>944</v>
      </c>
      <c r="E865" s="2" t="s">
        <v>1100</v>
      </c>
      <c r="I865" s="2" t="s">
        <v>64</v>
      </c>
      <c r="P865" s="2" t="s">
        <v>1101</v>
      </c>
      <c r="T865" s="5">
        <v>0</v>
      </c>
      <c r="V865" s="49">
        <v>2050</v>
      </c>
      <c r="W865" s="50"/>
    </row>
    <row r="866" spans="2:23" x14ac:dyDescent="0.2">
      <c r="C866" s="2" t="s">
        <v>792</v>
      </c>
      <c r="E866" s="2" t="s">
        <v>1102</v>
      </c>
      <c r="I866" s="2" t="s">
        <v>64</v>
      </c>
      <c r="P866" s="2" t="s">
        <v>95</v>
      </c>
      <c r="T866" s="5">
        <v>0</v>
      </c>
      <c r="V866" s="49">
        <v>2050</v>
      </c>
      <c r="W866" s="50"/>
    </row>
    <row r="867" spans="2:23" x14ac:dyDescent="0.2">
      <c r="C867" s="2" t="s">
        <v>270</v>
      </c>
      <c r="E867" s="2" t="s">
        <v>1103</v>
      </c>
      <c r="I867" s="2" t="s">
        <v>64</v>
      </c>
      <c r="P867" s="2" t="s">
        <v>1104</v>
      </c>
      <c r="T867" s="5">
        <v>0</v>
      </c>
      <c r="V867" s="49">
        <v>2050</v>
      </c>
      <c r="W867" s="50"/>
    </row>
    <row r="868" spans="2:23" x14ac:dyDescent="0.2">
      <c r="C868" s="2" t="s">
        <v>455</v>
      </c>
      <c r="E868" s="2" t="s">
        <v>1105</v>
      </c>
      <c r="I868" s="2" t="s">
        <v>64</v>
      </c>
      <c r="P868" s="2" t="s">
        <v>1106</v>
      </c>
      <c r="T868" s="5">
        <v>0</v>
      </c>
      <c r="V868" s="49">
        <v>4100</v>
      </c>
      <c r="W868" s="50"/>
    </row>
    <row r="869" spans="2:23" x14ac:dyDescent="0.2">
      <c r="C869" s="2" t="s">
        <v>20</v>
      </c>
      <c r="E869" s="2" t="s">
        <v>338</v>
      </c>
      <c r="I869" s="2" t="s">
        <v>19</v>
      </c>
      <c r="P869" s="2" t="s">
        <v>339</v>
      </c>
      <c r="T869" s="5">
        <v>0</v>
      </c>
      <c r="V869" s="49">
        <v>-20352.609999999997</v>
      </c>
      <c r="W869" s="50"/>
    </row>
    <row r="870" spans="2:23" x14ac:dyDescent="0.2">
      <c r="B870" s="22" t="s">
        <v>89</v>
      </c>
      <c r="E870" s="22" t="s">
        <v>90</v>
      </c>
      <c r="S870" s="51">
        <v>0</v>
      </c>
      <c r="T870" s="50"/>
      <c r="U870" s="51">
        <v>218640.53</v>
      </c>
      <c r="V870" s="50"/>
      <c r="W870" s="50"/>
    </row>
    <row r="871" spans="2:23" x14ac:dyDescent="0.2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</row>
    <row r="872" spans="2:23" x14ac:dyDescent="0.2"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52">
        <v>0</v>
      </c>
      <c r="T872" s="53"/>
      <c r="U872" s="52">
        <v>303260.53000000003</v>
      </c>
      <c r="V872" s="53"/>
      <c r="W872" s="53"/>
    </row>
    <row r="873" spans="2:23" x14ac:dyDescent="0.2">
      <c r="B873" s="8"/>
      <c r="C873" s="8"/>
      <c r="D873" s="20" t="s">
        <v>96</v>
      </c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11">
        <v>303260.53000000003</v>
      </c>
      <c r="S873" s="8"/>
      <c r="T873" s="8"/>
      <c r="U873" s="8"/>
      <c r="V873" s="8"/>
      <c r="W873" s="8"/>
    </row>
    <row r="874" spans="2:23" x14ac:dyDescent="0.2"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</row>
    <row r="875" spans="2:23" x14ac:dyDescent="0.2">
      <c r="B875" s="22" t="s">
        <v>7</v>
      </c>
      <c r="D875" s="22" t="s">
        <v>954</v>
      </c>
      <c r="O875" s="20" t="s">
        <v>97</v>
      </c>
      <c r="P875" s="8"/>
      <c r="Q875" s="8"/>
      <c r="R875" s="11">
        <v>39802.92</v>
      </c>
    </row>
    <row r="876" spans="2:23" x14ac:dyDescent="0.2">
      <c r="O876" s="9"/>
      <c r="P876" s="9"/>
      <c r="Q876" s="9"/>
      <c r="R876" s="9"/>
    </row>
    <row r="877" spans="2:23" x14ac:dyDescent="0.2">
      <c r="B877" s="2" t="s">
        <v>98</v>
      </c>
    </row>
    <row r="879" spans="2:23" ht="24" customHeight="1" x14ac:dyDescent="0.2">
      <c r="B879" s="54" t="s">
        <v>0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</row>
    <row r="880" spans="2:23" ht="18" x14ac:dyDescent="0.2">
      <c r="B880" s="1" t="s">
        <v>1</v>
      </c>
      <c r="S880" s="55" t="s">
        <v>1010</v>
      </c>
      <c r="T880" s="50"/>
      <c r="U880" s="50"/>
      <c r="V880" s="50"/>
      <c r="W880" s="50"/>
    </row>
    <row r="881" spans="2:23" ht="12.75" thickBot="1" x14ac:dyDescent="0.25">
      <c r="B881" s="10" t="s">
        <v>3</v>
      </c>
      <c r="C881" s="6"/>
      <c r="D881" s="6"/>
      <c r="E881" s="6"/>
      <c r="F881" s="6"/>
      <c r="G881" s="6"/>
      <c r="H881" s="6"/>
      <c r="I881" s="6"/>
      <c r="J881" s="6"/>
      <c r="K881" s="6" t="s">
        <v>5</v>
      </c>
      <c r="L881" s="6"/>
      <c r="M881" s="6"/>
      <c r="N881" s="6"/>
      <c r="O881" s="6"/>
      <c r="P881" s="6" t="s">
        <v>4</v>
      </c>
      <c r="Q881" s="6" t="s">
        <v>2730</v>
      </c>
      <c r="R881" s="6"/>
      <c r="S881" s="56" t="s">
        <v>6</v>
      </c>
      <c r="T881" s="57"/>
      <c r="U881" s="57"/>
      <c r="V881" s="57"/>
      <c r="W881" s="57"/>
    </row>
    <row r="882" spans="2:23" ht="12.75" thickTop="1" x14ac:dyDescent="0.2"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</row>
    <row r="883" spans="2:23" ht="15.75" x14ac:dyDescent="0.2">
      <c r="B883" s="3" t="s">
        <v>7</v>
      </c>
      <c r="F883" s="3" t="s">
        <v>1108</v>
      </c>
    </row>
    <row r="885" spans="2:23" x14ac:dyDescent="0.2">
      <c r="B885" s="8"/>
      <c r="C885" s="20" t="s">
        <v>8</v>
      </c>
      <c r="D885" s="8"/>
      <c r="E885" s="20" t="s">
        <v>9</v>
      </c>
      <c r="F885" s="8"/>
      <c r="G885" s="8"/>
      <c r="H885" s="8"/>
      <c r="I885" s="20" t="s">
        <v>13</v>
      </c>
      <c r="J885" s="8"/>
      <c r="K885" s="8"/>
      <c r="L885" s="20" t="s">
        <v>12</v>
      </c>
      <c r="M885" s="8"/>
      <c r="N885" s="8"/>
      <c r="O885" s="8"/>
      <c r="P885" s="20" t="s">
        <v>14</v>
      </c>
      <c r="Q885" s="8"/>
      <c r="R885" s="8"/>
      <c r="S885" s="8"/>
      <c r="T885" s="21" t="s">
        <v>11</v>
      </c>
      <c r="U885" s="8"/>
      <c r="V885" s="58" t="s">
        <v>10</v>
      </c>
      <c r="W885" s="59"/>
    </row>
    <row r="886" spans="2:23" x14ac:dyDescent="0.2"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</row>
    <row r="887" spans="2:23" ht="15" x14ac:dyDescent="0.2">
      <c r="B887" s="4" t="s">
        <v>15</v>
      </c>
    </row>
    <row r="889" spans="2:23" x14ac:dyDescent="0.2">
      <c r="B889" s="22" t="s">
        <v>147</v>
      </c>
      <c r="E889" s="22" t="s">
        <v>148</v>
      </c>
    </row>
    <row r="890" spans="2:23" x14ac:dyDescent="0.2">
      <c r="C890" s="2" t="s">
        <v>1111</v>
      </c>
      <c r="E890" s="2" t="s">
        <v>1109</v>
      </c>
      <c r="I890" s="2" t="s">
        <v>106</v>
      </c>
      <c r="L890" s="2" t="s">
        <v>1110</v>
      </c>
      <c r="P890" s="2" t="s">
        <v>1112</v>
      </c>
      <c r="T890" s="5">
        <v>2500</v>
      </c>
      <c r="V890" s="49">
        <v>0</v>
      </c>
      <c r="W890" s="50"/>
    </row>
    <row r="891" spans="2:23" x14ac:dyDescent="0.2">
      <c r="B891" s="22" t="s">
        <v>147</v>
      </c>
      <c r="E891" s="22" t="s">
        <v>148</v>
      </c>
      <c r="S891" s="51">
        <v>2500</v>
      </c>
      <c r="T891" s="50"/>
      <c r="U891" s="51">
        <v>0</v>
      </c>
      <c r="V891" s="50"/>
      <c r="W891" s="50"/>
    </row>
    <row r="893" spans="2:23" x14ac:dyDescent="0.2">
      <c r="B893" s="22" t="s">
        <v>16</v>
      </c>
      <c r="E893" s="22" t="s">
        <v>17</v>
      </c>
    </row>
    <row r="894" spans="2:23" x14ac:dyDescent="0.2">
      <c r="C894" s="2" t="s">
        <v>20</v>
      </c>
      <c r="E894" s="2" t="s">
        <v>18</v>
      </c>
      <c r="I894" s="2" t="s">
        <v>19</v>
      </c>
      <c r="P894" s="2" t="s">
        <v>21</v>
      </c>
      <c r="T894" s="5">
        <v>72401.670000000013</v>
      </c>
      <c r="V894" s="49">
        <v>0</v>
      </c>
      <c r="W894" s="50"/>
    </row>
    <row r="895" spans="2:23" x14ac:dyDescent="0.2">
      <c r="B895" s="22" t="s">
        <v>16</v>
      </c>
      <c r="E895" s="22" t="s">
        <v>17</v>
      </c>
      <c r="S895" s="51">
        <v>72401.670000000013</v>
      </c>
      <c r="T895" s="50"/>
      <c r="U895" s="51">
        <v>0</v>
      </c>
      <c r="V895" s="50"/>
      <c r="W895" s="50"/>
    </row>
    <row r="897" spans="2:23" x14ac:dyDescent="0.2">
      <c r="B897" s="22" t="s">
        <v>178</v>
      </c>
      <c r="E897" s="22" t="s">
        <v>179</v>
      </c>
    </row>
    <row r="898" spans="2:23" x14ac:dyDescent="0.2">
      <c r="C898" s="2" t="s">
        <v>188</v>
      </c>
      <c r="E898" s="2" t="s">
        <v>1113</v>
      </c>
      <c r="I898" s="2" t="s">
        <v>19</v>
      </c>
      <c r="P898" s="2" t="s">
        <v>1114</v>
      </c>
      <c r="T898" s="5">
        <v>1398</v>
      </c>
      <c r="V898" s="49">
        <v>0</v>
      </c>
      <c r="W898" s="50"/>
    </row>
    <row r="899" spans="2:23" x14ac:dyDescent="0.2">
      <c r="C899" s="2" t="s">
        <v>1116</v>
      </c>
      <c r="E899" s="2" t="s">
        <v>1115</v>
      </c>
      <c r="I899" s="2" t="s">
        <v>19</v>
      </c>
      <c r="P899" s="2" t="s">
        <v>1114</v>
      </c>
      <c r="T899" s="5">
        <v>1599</v>
      </c>
      <c r="V899" s="49">
        <v>0</v>
      </c>
      <c r="W899" s="50"/>
    </row>
    <row r="900" spans="2:23" x14ac:dyDescent="0.2">
      <c r="B900" s="22" t="s">
        <v>178</v>
      </c>
      <c r="E900" s="22" t="s">
        <v>179</v>
      </c>
      <c r="S900" s="51">
        <v>2997</v>
      </c>
      <c r="T900" s="50"/>
      <c r="U900" s="51">
        <v>0</v>
      </c>
      <c r="V900" s="50"/>
      <c r="W900" s="50"/>
    </row>
    <row r="902" spans="2:23" x14ac:dyDescent="0.2">
      <c r="B902" s="22" t="s">
        <v>22</v>
      </c>
      <c r="E902" s="22" t="s">
        <v>23</v>
      </c>
    </row>
    <row r="903" spans="2:23" x14ac:dyDescent="0.2">
      <c r="C903" s="2" t="s">
        <v>20</v>
      </c>
      <c r="E903" s="2" t="s">
        <v>59</v>
      </c>
      <c r="I903" s="2" t="s">
        <v>19</v>
      </c>
      <c r="P903" s="2" t="s">
        <v>60</v>
      </c>
      <c r="T903" s="5">
        <v>29930</v>
      </c>
      <c r="V903" s="49">
        <v>0</v>
      </c>
      <c r="W903" s="50"/>
    </row>
    <row r="904" spans="2:23" x14ac:dyDescent="0.2">
      <c r="B904" s="22" t="s">
        <v>22</v>
      </c>
      <c r="E904" s="22" t="s">
        <v>23</v>
      </c>
      <c r="S904" s="51">
        <v>29930</v>
      </c>
      <c r="T904" s="50"/>
      <c r="U904" s="51">
        <v>0</v>
      </c>
      <c r="V904" s="50"/>
      <c r="W904" s="50"/>
    </row>
    <row r="905" spans="2:23" x14ac:dyDescent="0.2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</row>
    <row r="906" spans="2:23" x14ac:dyDescent="0.2"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52">
        <v>107828.67000000001</v>
      </c>
      <c r="T906" s="53"/>
      <c r="U906" s="52">
        <v>0</v>
      </c>
      <c r="V906" s="53"/>
      <c r="W906" s="53"/>
    </row>
    <row r="907" spans="2:23" x14ac:dyDescent="0.2">
      <c r="B907" s="8"/>
      <c r="C907" s="8"/>
      <c r="D907" s="20" t="s">
        <v>81</v>
      </c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11">
        <v>107828.67000000001</v>
      </c>
      <c r="S907" s="8"/>
      <c r="T907" s="8"/>
      <c r="U907" s="8"/>
      <c r="V907" s="8"/>
      <c r="W907" s="8"/>
    </row>
    <row r="908" spans="2:23" x14ac:dyDescent="0.2"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</row>
    <row r="910" spans="2:23" ht="15" x14ac:dyDescent="0.2">
      <c r="B910" s="4" t="s">
        <v>82</v>
      </c>
    </row>
    <row r="912" spans="2:23" x14ac:dyDescent="0.2">
      <c r="B912" s="22" t="s">
        <v>245</v>
      </c>
      <c r="E912" s="22" t="s">
        <v>246</v>
      </c>
    </row>
    <row r="913" spans="2:23" x14ac:dyDescent="0.2">
      <c r="C913" s="2" t="s">
        <v>37</v>
      </c>
      <c r="E913" s="2" t="s">
        <v>982</v>
      </c>
      <c r="I913" s="2" t="s">
        <v>19</v>
      </c>
      <c r="P913" s="2" t="s">
        <v>983</v>
      </c>
      <c r="T913" s="5">
        <v>0</v>
      </c>
      <c r="V913" s="49">
        <v>54100</v>
      </c>
      <c r="W913" s="50"/>
    </row>
    <row r="914" spans="2:23" x14ac:dyDescent="0.2">
      <c r="B914" s="22" t="s">
        <v>245</v>
      </c>
      <c r="E914" s="22" t="s">
        <v>246</v>
      </c>
      <c r="S914" s="51">
        <v>0</v>
      </c>
      <c r="T914" s="50"/>
      <c r="U914" s="51">
        <v>54100</v>
      </c>
      <c r="V914" s="50"/>
      <c r="W914" s="50"/>
    </row>
    <row r="916" spans="2:23" x14ac:dyDescent="0.2">
      <c r="B916" s="22" t="s">
        <v>89</v>
      </c>
      <c r="E916" s="22" t="s">
        <v>90</v>
      </c>
    </row>
    <row r="917" spans="2:23" x14ac:dyDescent="0.2">
      <c r="C917" s="2" t="s">
        <v>623</v>
      </c>
      <c r="E917" s="2" t="s">
        <v>1117</v>
      </c>
      <c r="I917" s="2" t="s">
        <v>64</v>
      </c>
      <c r="P917" s="2" t="s">
        <v>1118</v>
      </c>
      <c r="T917" s="5">
        <v>0</v>
      </c>
      <c r="V917" s="49">
        <v>4000</v>
      </c>
      <c r="W917" s="50"/>
    </row>
    <row r="918" spans="2:23" x14ac:dyDescent="0.2">
      <c r="C918" s="2" t="s">
        <v>399</v>
      </c>
      <c r="E918" s="2" t="s">
        <v>1119</v>
      </c>
      <c r="I918" s="2" t="s">
        <v>64</v>
      </c>
      <c r="P918" s="2" t="s">
        <v>1120</v>
      </c>
      <c r="T918" s="5">
        <v>0</v>
      </c>
      <c r="V918" s="49">
        <v>2000</v>
      </c>
      <c r="W918" s="50"/>
    </row>
    <row r="919" spans="2:23" x14ac:dyDescent="0.2">
      <c r="C919" s="2" t="s">
        <v>399</v>
      </c>
      <c r="E919" s="2" t="s">
        <v>1121</v>
      </c>
      <c r="I919" s="2" t="s">
        <v>64</v>
      </c>
      <c r="P919" s="2" t="s">
        <v>1122</v>
      </c>
      <c r="T919" s="5">
        <v>0</v>
      </c>
      <c r="V919" s="49">
        <v>4000</v>
      </c>
      <c r="W919" s="50"/>
    </row>
    <row r="920" spans="2:23" x14ac:dyDescent="0.2">
      <c r="C920" s="2" t="s">
        <v>635</v>
      </c>
      <c r="E920" s="2" t="s">
        <v>1123</v>
      </c>
      <c r="I920" s="2" t="s">
        <v>64</v>
      </c>
      <c r="P920" s="2" t="s">
        <v>95</v>
      </c>
      <c r="T920" s="5">
        <v>0</v>
      </c>
      <c r="V920" s="49">
        <v>4000</v>
      </c>
      <c r="W920" s="50"/>
    </row>
    <row r="921" spans="2:23" x14ac:dyDescent="0.2">
      <c r="C921" s="2" t="s">
        <v>635</v>
      </c>
      <c r="E921" s="2" t="s">
        <v>1124</v>
      </c>
      <c r="I921" s="2" t="s">
        <v>64</v>
      </c>
      <c r="P921" s="2" t="s">
        <v>1125</v>
      </c>
      <c r="T921" s="5">
        <v>0</v>
      </c>
      <c r="V921" s="49">
        <v>4000</v>
      </c>
      <c r="W921" s="50"/>
    </row>
    <row r="922" spans="2:23" x14ac:dyDescent="0.2">
      <c r="C922" s="2" t="s">
        <v>635</v>
      </c>
      <c r="E922" s="2" t="s">
        <v>1126</v>
      </c>
      <c r="I922" s="2" t="s">
        <v>64</v>
      </c>
      <c r="P922" s="2" t="s">
        <v>1127</v>
      </c>
      <c r="T922" s="5">
        <v>0</v>
      </c>
      <c r="V922" s="49">
        <v>4000</v>
      </c>
      <c r="W922" s="50"/>
    </row>
    <row r="923" spans="2:23" x14ac:dyDescent="0.2">
      <c r="C923" s="2" t="s">
        <v>811</v>
      </c>
      <c r="E923" s="2" t="s">
        <v>1128</v>
      </c>
      <c r="I923" s="2" t="s">
        <v>64</v>
      </c>
      <c r="P923" s="2" t="s">
        <v>1129</v>
      </c>
      <c r="T923" s="5">
        <v>0</v>
      </c>
      <c r="V923" s="49">
        <v>4000</v>
      </c>
      <c r="W923" s="50"/>
    </row>
    <row r="924" spans="2:23" x14ac:dyDescent="0.2">
      <c r="C924" s="2" t="s">
        <v>640</v>
      </c>
      <c r="E924" s="2" t="s">
        <v>1130</v>
      </c>
      <c r="I924" s="2" t="s">
        <v>64</v>
      </c>
      <c r="P924" s="2" t="s">
        <v>1131</v>
      </c>
      <c r="T924" s="5">
        <v>0</v>
      </c>
      <c r="V924" s="49">
        <v>2000</v>
      </c>
      <c r="W924" s="50"/>
    </row>
    <row r="925" spans="2:23" x14ac:dyDescent="0.2">
      <c r="C925" s="2" t="s">
        <v>646</v>
      </c>
      <c r="E925" s="2" t="s">
        <v>1132</v>
      </c>
      <c r="I925" s="2" t="s">
        <v>64</v>
      </c>
      <c r="P925" s="2" t="s">
        <v>1133</v>
      </c>
      <c r="T925" s="5">
        <v>0</v>
      </c>
      <c r="V925" s="49">
        <v>2000</v>
      </c>
      <c r="W925" s="50"/>
    </row>
    <row r="926" spans="2:23" x14ac:dyDescent="0.2">
      <c r="C926" s="2" t="s">
        <v>651</v>
      </c>
      <c r="E926" s="2" t="s">
        <v>1134</v>
      </c>
      <c r="I926" s="2" t="s">
        <v>64</v>
      </c>
      <c r="P926" s="2" t="s">
        <v>1135</v>
      </c>
      <c r="T926" s="5">
        <v>0</v>
      </c>
      <c r="V926" s="49">
        <v>4000</v>
      </c>
      <c r="W926" s="50"/>
    </row>
    <row r="927" spans="2:23" x14ac:dyDescent="0.2">
      <c r="C927" s="2" t="s">
        <v>651</v>
      </c>
      <c r="E927" s="2" t="s">
        <v>1136</v>
      </c>
      <c r="I927" s="2" t="s">
        <v>64</v>
      </c>
      <c r="P927" s="2" t="s">
        <v>1137</v>
      </c>
      <c r="T927" s="5">
        <v>0</v>
      </c>
      <c r="V927" s="49">
        <v>4000</v>
      </c>
      <c r="W927" s="50"/>
    </row>
    <row r="928" spans="2:23" x14ac:dyDescent="0.2">
      <c r="C928" s="2" t="s">
        <v>836</v>
      </c>
      <c r="E928" s="2" t="s">
        <v>1138</v>
      </c>
      <c r="I928" s="2" t="s">
        <v>64</v>
      </c>
      <c r="P928" s="2" t="s">
        <v>1139</v>
      </c>
      <c r="T928" s="5">
        <v>0</v>
      </c>
      <c r="V928" s="49">
        <v>2000</v>
      </c>
      <c r="W928" s="50"/>
    </row>
    <row r="929" spans="3:23" x14ac:dyDescent="0.2">
      <c r="C929" s="2" t="s">
        <v>836</v>
      </c>
      <c r="E929" s="2" t="s">
        <v>1140</v>
      </c>
      <c r="I929" s="2" t="s">
        <v>64</v>
      </c>
      <c r="P929" s="2" t="s">
        <v>1141</v>
      </c>
      <c r="T929" s="5">
        <v>0</v>
      </c>
      <c r="V929" s="49">
        <v>4000</v>
      </c>
      <c r="W929" s="50"/>
    </row>
    <row r="930" spans="3:23" x14ac:dyDescent="0.2">
      <c r="C930" s="2" t="s">
        <v>836</v>
      </c>
      <c r="E930" s="2" t="s">
        <v>1142</v>
      </c>
      <c r="I930" s="2" t="s">
        <v>64</v>
      </c>
      <c r="P930" s="2" t="s">
        <v>1143</v>
      </c>
      <c r="T930" s="5">
        <v>0</v>
      </c>
      <c r="V930" s="49">
        <v>4000</v>
      </c>
      <c r="W930" s="50"/>
    </row>
    <row r="931" spans="3:23" x14ac:dyDescent="0.2">
      <c r="C931" s="2" t="s">
        <v>510</v>
      </c>
      <c r="E931" s="2" t="s">
        <v>1144</v>
      </c>
      <c r="I931" s="2" t="s">
        <v>64</v>
      </c>
      <c r="P931" s="2" t="s">
        <v>1145</v>
      </c>
      <c r="T931" s="5">
        <v>0</v>
      </c>
      <c r="V931" s="49">
        <v>4000</v>
      </c>
      <c r="W931" s="50"/>
    </row>
    <row r="932" spans="3:23" x14ac:dyDescent="0.2">
      <c r="C932" s="2" t="s">
        <v>25</v>
      </c>
      <c r="E932" s="2" t="s">
        <v>1146</v>
      </c>
      <c r="I932" s="2" t="s">
        <v>64</v>
      </c>
      <c r="P932" s="2" t="s">
        <v>1147</v>
      </c>
      <c r="T932" s="5">
        <v>0</v>
      </c>
      <c r="V932" s="49">
        <v>4000</v>
      </c>
      <c r="W932" s="50"/>
    </row>
    <row r="933" spans="3:23" x14ac:dyDescent="0.2">
      <c r="C933" s="2" t="s">
        <v>25</v>
      </c>
      <c r="E933" s="2" t="s">
        <v>1148</v>
      </c>
      <c r="I933" s="2" t="s">
        <v>64</v>
      </c>
      <c r="P933" s="2" t="s">
        <v>1149</v>
      </c>
      <c r="T933" s="5">
        <v>0</v>
      </c>
      <c r="V933" s="49">
        <v>4000</v>
      </c>
      <c r="W933" s="50"/>
    </row>
    <row r="934" spans="3:23" x14ac:dyDescent="0.2">
      <c r="C934" s="2" t="s">
        <v>25</v>
      </c>
      <c r="E934" s="2" t="s">
        <v>1150</v>
      </c>
      <c r="I934" s="2" t="s">
        <v>64</v>
      </c>
      <c r="P934" s="2" t="s">
        <v>1151</v>
      </c>
      <c r="T934" s="5">
        <v>0</v>
      </c>
      <c r="V934" s="49">
        <v>2000</v>
      </c>
      <c r="W934" s="50"/>
    </row>
    <row r="935" spans="3:23" x14ac:dyDescent="0.2">
      <c r="C935" s="2" t="s">
        <v>25</v>
      </c>
      <c r="E935" s="2" t="s">
        <v>1152</v>
      </c>
      <c r="I935" s="2" t="s">
        <v>64</v>
      </c>
      <c r="P935" s="2" t="s">
        <v>1153</v>
      </c>
      <c r="T935" s="5">
        <v>0</v>
      </c>
      <c r="V935" s="49">
        <v>2000</v>
      </c>
      <c r="W935" s="50"/>
    </row>
    <row r="936" spans="3:23" x14ac:dyDescent="0.2">
      <c r="C936" s="2" t="s">
        <v>25</v>
      </c>
      <c r="E936" s="2" t="s">
        <v>1154</v>
      </c>
      <c r="I936" s="2" t="s">
        <v>64</v>
      </c>
      <c r="P936" s="2" t="s">
        <v>1155</v>
      </c>
      <c r="T936" s="5">
        <v>0</v>
      </c>
      <c r="V936" s="49">
        <v>4000</v>
      </c>
      <c r="W936" s="50"/>
    </row>
    <row r="937" spans="3:23" x14ac:dyDescent="0.2">
      <c r="C937" s="2" t="s">
        <v>25</v>
      </c>
      <c r="E937" s="2" t="s">
        <v>1156</v>
      </c>
      <c r="I937" s="2" t="s">
        <v>64</v>
      </c>
      <c r="P937" s="2" t="s">
        <v>1157</v>
      </c>
      <c r="T937" s="5">
        <v>0</v>
      </c>
      <c r="V937" s="49">
        <v>4000</v>
      </c>
      <c r="W937" s="50"/>
    </row>
    <row r="938" spans="3:23" x14ac:dyDescent="0.2">
      <c r="C938" s="2" t="s">
        <v>25</v>
      </c>
      <c r="E938" s="2" t="s">
        <v>1158</v>
      </c>
      <c r="I938" s="2" t="s">
        <v>64</v>
      </c>
      <c r="P938" s="2" t="s">
        <v>1159</v>
      </c>
      <c r="T938" s="5">
        <v>0</v>
      </c>
      <c r="V938" s="49">
        <v>4000</v>
      </c>
      <c r="W938" s="50"/>
    </row>
    <row r="939" spans="3:23" x14ac:dyDescent="0.2">
      <c r="C939" s="2" t="s">
        <v>410</v>
      </c>
      <c r="E939" s="2" t="s">
        <v>1160</v>
      </c>
      <c r="I939" s="2" t="s">
        <v>64</v>
      </c>
      <c r="P939" s="2" t="s">
        <v>1161</v>
      </c>
      <c r="T939" s="5">
        <v>0</v>
      </c>
      <c r="V939" s="49">
        <v>-4000</v>
      </c>
      <c r="W939" s="50"/>
    </row>
    <row r="940" spans="3:23" x14ac:dyDescent="0.2">
      <c r="C940" s="2" t="s">
        <v>381</v>
      </c>
      <c r="E940" s="2" t="s">
        <v>1162</v>
      </c>
      <c r="I940" s="2" t="s">
        <v>64</v>
      </c>
      <c r="P940" s="2" t="s">
        <v>1163</v>
      </c>
      <c r="T940" s="5">
        <v>0</v>
      </c>
      <c r="V940" s="49">
        <v>4000</v>
      </c>
      <c r="W940" s="50"/>
    </row>
    <row r="941" spans="3:23" x14ac:dyDescent="0.2">
      <c r="C941" s="2" t="s">
        <v>107</v>
      </c>
      <c r="E941" s="2" t="s">
        <v>1164</v>
      </c>
      <c r="I941" s="2" t="s">
        <v>64</v>
      </c>
      <c r="P941" s="2" t="s">
        <v>1165</v>
      </c>
      <c r="T941" s="5">
        <v>0</v>
      </c>
      <c r="V941" s="49">
        <v>4000</v>
      </c>
      <c r="W941" s="50"/>
    </row>
    <row r="942" spans="3:23" x14ac:dyDescent="0.2">
      <c r="C942" s="2" t="s">
        <v>1167</v>
      </c>
      <c r="E942" s="2" t="s">
        <v>1166</v>
      </c>
      <c r="I942" s="2" t="s">
        <v>64</v>
      </c>
      <c r="P942" s="2" t="s">
        <v>95</v>
      </c>
      <c r="T942" s="5">
        <v>0</v>
      </c>
      <c r="V942" s="49">
        <v>4000</v>
      </c>
      <c r="W942" s="50"/>
    </row>
    <row r="943" spans="3:23" x14ac:dyDescent="0.2">
      <c r="C943" s="2" t="s">
        <v>433</v>
      </c>
      <c r="E943" s="2" t="s">
        <v>1168</v>
      </c>
      <c r="I943" s="2" t="s">
        <v>64</v>
      </c>
      <c r="P943" s="2" t="s">
        <v>1169</v>
      </c>
      <c r="T943" s="5">
        <v>0</v>
      </c>
      <c r="V943" s="49">
        <v>2050</v>
      </c>
      <c r="W943" s="50"/>
    </row>
    <row r="944" spans="3:23" x14ac:dyDescent="0.2">
      <c r="C944" s="2" t="s">
        <v>196</v>
      </c>
      <c r="E944" s="2" t="s">
        <v>1170</v>
      </c>
      <c r="I944" s="2" t="s">
        <v>64</v>
      </c>
      <c r="P944" s="2" t="s">
        <v>1133</v>
      </c>
      <c r="T944" s="5">
        <v>0</v>
      </c>
      <c r="V944" s="49">
        <v>2050</v>
      </c>
      <c r="W944" s="50"/>
    </row>
    <row r="945" spans="2:23" x14ac:dyDescent="0.2">
      <c r="C945" s="2" t="s">
        <v>264</v>
      </c>
      <c r="E945" s="2" t="s">
        <v>1171</v>
      </c>
      <c r="I945" s="2" t="s">
        <v>64</v>
      </c>
      <c r="P945" s="2" t="s">
        <v>1172</v>
      </c>
      <c r="T945" s="5">
        <v>0</v>
      </c>
      <c r="V945" s="49">
        <v>4100</v>
      </c>
      <c r="W945" s="50"/>
    </row>
    <row r="946" spans="2:23" x14ac:dyDescent="0.2">
      <c r="C946" s="2" t="s">
        <v>267</v>
      </c>
      <c r="E946" s="2" t="s">
        <v>1173</v>
      </c>
      <c r="I946" s="2" t="s">
        <v>64</v>
      </c>
      <c r="P946" s="2" t="s">
        <v>1174</v>
      </c>
      <c r="T946" s="5">
        <v>0</v>
      </c>
      <c r="V946" s="49">
        <v>4100</v>
      </c>
      <c r="W946" s="50"/>
    </row>
    <row r="947" spans="2:23" x14ac:dyDescent="0.2">
      <c r="C947" s="2" t="s">
        <v>49</v>
      </c>
      <c r="E947" s="2" t="s">
        <v>91</v>
      </c>
      <c r="I947" s="2" t="s">
        <v>19</v>
      </c>
      <c r="P947" s="2" t="s">
        <v>93</v>
      </c>
      <c r="T947" s="5">
        <v>0</v>
      </c>
      <c r="V947" s="49">
        <v>12318.949999999999</v>
      </c>
      <c r="W947" s="50"/>
    </row>
    <row r="948" spans="2:23" x14ac:dyDescent="0.2">
      <c r="C948" s="2" t="s">
        <v>49</v>
      </c>
      <c r="E948" s="2" t="s">
        <v>1175</v>
      </c>
      <c r="I948" s="2" t="s">
        <v>64</v>
      </c>
      <c r="P948" s="2" t="s">
        <v>1176</v>
      </c>
      <c r="T948" s="5">
        <v>0</v>
      </c>
      <c r="V948" s="49">
        <v>4100</v>
      </c>
      <c r="W948" s="50"/>
    </row>
    <row r="949" spans="2:23" x14ac:dyDescent="0.2">
      <c r="C949" s="2" t="s">
        <v>49</v>
      </c>
      <c r="E949" s="2" t="s">
        <v>1177</v>
      </c>
      <c r="I949" s="2" t="s">
        <v>64</v>
      </c>
      <c r="P949" s="2" t="s">
        <v>1178</v>
      </c>
      <c r="T949" s="5">
        <v>0</v>
      </c>
      <c r="V949" s="49">
        <v>4100</v>
      </c>
      <c r="W949" s="50"/>
    </row>
    <row r="951" spans="2:23" ht="18" x14ac:dyDescent="0.2">
      <c r="B951" s="1" t="s">
        <v>1</v>
      </c>
      <c r="S951" s="55" t="s">
        <v>1107</v>
      </c>
      <c r="T951" s="50"/>
      <c r="U951" s="50"/>
      <c r="V951" s="50"/>
      <c r="W951" s="50"/>
    </row>
    <row r="952" spans="2:23" ht="12.75" thickBot="1" x14ac:dyDescent="0.25">
      <c r="B952" s="10" t="s">
        <v>3</v>
      </c>
      <c r="C952" s="6"/>
      <c r="D952" s="6"/>
      <c r="E952" s="6"/>
      <c r="F952" s="6"/>
      <c r="G952" s="6"/>
      <c r="H952" s="6"/>
      <c r="I952" s="6"/>
      <c r="J952" s="6"/>
      <c r="K952" s="6" t="s">
        <v>5</v>
      </c>
      <c r="L952" s="6"/>
      <c r="M952" s="6"/>
      <c r="N952" s="6"/>
      <c r="O952" s="6"/>
      <c r="P952" s="6" t="s">
        <v>4</v>
      </c>
      <c r="Q952" s="6" t="s">
        <v>2730</v>
      </c>
      <c r="R952" s="6"/>
      <c r="S952" s="56" t="s">
        <v>6</v>
      </c>
      <c r="T952" s="57"/>
      <c r="U952" s="57"/>
      <c r="V952" s="57"/>
      <c r="W952" s="57"/>
    </row>
    <row r="953" spans="2:23" ht="12.75" thickTop="1" x14ac:dyDescent="0.2"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</row>
    <row r="954" spans="2:23" x14ac:dyDescent="0.2">
      <c r="C954" s="2" t="s">
        <v>176</v>
      </c>
      <c r="E954" s="2" t="s">
        <v>1179</v>
      </c>
      <c r="I954" s="2" t="s">
        <v>64</v>
      </c>
      <c r="P954" s="2" t="s">
        <v>1180</v>
      </c>
      <c r="T954" s="5">
        <v>0</v>
      </c>
      <c r="V954" s="49">
        <v>4100</v>
      </c>
      <c r="W954" s="50"/>
    </row>
    <row r="955" spans="2:23" x14ac:dyDescent="0.2">
      <c r="C955" s="2" t="s">
        <v>199</v>
      </c>
      <c r="E955" s="2" t="s">
        <v>1182</v>
      </c>
      <c r="I955" s="2" t="s">
        <v>64</v>
      </c>
      <c r="P955" s="2" t="s">
        <v>1183</v>
      </c>
      <c r="T955" s="5">
        <v>0</v>
      </c>
      <c r="V955" s="49">
        <v>1500</v>
      </c>
      <c r="W955" s="50"/>
    </row>
    <row r="956" spans="2:23" x14ac:dyDescent="0.2">
      <c r="C956" s="2" t="s">
        <v>199</v>
      </c>
      <c r="E956" s="2" t="s">
        <v>1184</v>
      </c>
      <c r="I956" s="2" t="s">
        <v>64</v>
      </c>
      <c r="P956" s="2" t="s">
        <v>1185</v>
      </c>
      <c r="T956" s="5">
        <v>0</v>
      </c>
      <c r="V956" s="49">
        <v>4100</v>
      </c>
      <c r="W956" s="50"/>
    </row>
    <row r="957" spans="2:23" x14ac:dyDescent="0.2">
      <c r="C957" s="2" t="s">
        <v>199</v>
      </c>
      <c r="E957" s="2" t="s">
        <v>1186</v>
      </c>
      <c r="I957" s="2" t="s">
        <v>87</v>
      </c>
      <c r="L957" s="2" t="s">
        <v>1187</v>
      </c>
      <c r="P957" s="2" t="s">
        <v>1188</v>
      </c>
      <c r="T957" s="5">
        <v>0</v>
      </c>
      <c r="V957" s="49">
        <v>2100</v>
      </c>
      <c r="W957" s="50"/>
    </row>
    <row r="958" spans="2:23" x14ac:dyDescent="0.2">
      <c r="C958" s="2" t="s">
        <v>451</v>
      </c>
      <c r="E958" s="2" t="s">
        <v>1189</v>
      </c>
      <c r="I958" s="2" t="s">
        <v>64</v>
      </c>
      <c r="P958" s="2" t="s">
        <v>1190</v>
      </c>
      <c r="T958" s="5">
        <v>0</v>
      </c>
      <c r="V958" s="49">
        <v>4100</v>
      </c>
      <c r="W958" s="50"/>
    </row>
    <row r="959" spans="2:23" x14ac:dyDescent="0.2">
      <c r="C959" s="2" t="s">
        <v>1192</v>
      </c>
      <c r="E959" s="2" t="s">
        <v>1191</v>
      </c>
      <c r="I959" s="2" t="s">
        <v>64</v>
      </c>
      <c r="P959" s="2" t="s">
        <v>1193</v>
      </c>
      <c r="T959" s="5">
        <v>0</v>
      </c>
      <c r="V959" s="49">
        <v>4100</v>
      </c>
      <c r="W959" s="50"/>
    </row>
    <row r="960" spans="2:23" x14ac:dyDescent="0.2">
      <c r="C960" s="2" t="s">
        <v>274</v>
      </c>
      <c r="E960" s="2" t="s">
        <v>1194</v>
      </c>
      <c r="I960" s="2" t="s">
        <v>64</v>
      </c>
      <c r="P960" s="2" t="s">
        <v>1195</v>
      </c>
      <c r="T960" s="5">
        <v>0</v>
      </c>
      <c r="V960" s="49">
        <v>4100</v>
      </c>
      <c r="W960" s="50"/>
    </row>
    <row r="961" spans="2:23" x14ac:dyDescent="0.2">
      <c r="C961" s="2" t="s">
        <v>277</v>
      </c>
      <c r="E961" s="2" t="s">
        <v>1196</v>
      </c>
      <c r="I961" s="2" t="s">
        <v>64</v>
      </c>
      <c r="P961" s="2" t="s">
        <v>1197</v>
      </c>
      <c r="T961" s="5">
        <v>0</v>
      </c>
      <c r="V961" s="49">
        <v>4100</v>
      </c>
      <c r="W961" s="50"/>
    </row>
    <row r="962" spans="2:23" x14ac:dyDescent="0.2">
      <c r="C962" s="2" t="s">
        <v>1199</v>
      </c>
      <c r="E962" s="2" t="s">
        <v>1198</v>
      </c>
      <c r="I962" s="2" t="s">
        <v>64</v>
      </c>
      <c r="P962" s="2" t="s">
        <v>95</v>
      </c>
      <c r="T962" s="5">
        <v>0</v>
      </c>
      <c r="V962" s="49">
        <v>2000</v>
      </c>
      <c r="W962" s="50"/>
    </row>
    <row r="963" spans="2:23" x14ac:dyDescent="0.2">
      <c r="C963" s="2" t="s">
        <v>290</v>
      </c>
      <c r="E963" s="2" t="s">
        <v>1200</v>
      </c>
      <c r="I963" s="2" t="s">
        <v>64</v>
      </c>
      <c r="P963" s="2" t="s">
        <v>1201</v>
      </c>
      <c r="T963" s="5">
        <v>0</v>
      </c>
      <c r="V963" s="49">
        <v>2600</v>
      </c>
      <c r="W963" s="50"/>
    </row>
    <row r="964" spans="2:23" x14ac:dyDescent="0.2">
      <c r="C964" s="2" t="s">
        <v>1203</v>
      </c>
      <c r="E964" s="2" t="s">
        <v>1202</v>
      </c>
      <c r="I964" s="2" t="s">
        <v>64</v>
      </c>
      <c r="P964" s="2" t="s">
        <v>1204</v>
      </c>
      <c r="T964" s="5">
        <v>0</v>
      </c>
      <c r="V964" s="49">
        <v>4100</v>
      </c>
      <c r="W964" s="50"/>
    </row>
    <row r="965" spans="2:23" x14ac:dyDescent="0.2">
      <c r="C965" s="2" t="s">
        <v>20</v>
      </c>
      <c r="E965" s="2" t="s">
        <v>338</v>
      </c>
      <c r="I965" s="2" t="s">
        <v>19</v>
      </c>
      <c r="P965" s="2" t="s">
        <v>339</v>
      </c>
      <c r="T965" s="5">
        <v>0</v>
      </c>
      <c r="V965" s="49">
        <v>-11630.07</v>
      </c>
      <c r="W965" s="50"/>
    </row>
    <row r="966" spans="2:23" x14ac:dyDescent="0.2">
      <c r="B966" s="22" t="s">
        <v>89</v>
      </c>
      <c r="E966" s="22" t="s">
        <v>90</v>
      </c>
      <c r="S966" s="51">
        <v>0</v>
      </c>
      <c r="T966" s="50"/>
      <c r="U966" s="51">
        <v>142088.87999999998</v>
      </c>
      <c r="V966" s="50"/>
      <c r="W966" s="50"/>
    </row>
    <row r="967" spans="2:23" x14ac:dyDescent="0.2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</row>
    <row r="968" spans="2:23" x14ac:dyDescent="0.2"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52">
        <v>0</v>
      </c>
      <c r="T968" s="53"/>
      <c r="U968" s="52">
        <v>196188.87999999998</v>
      </c>
      <c r="V968" s="53"/>
      <c r="W968" s="53"/>
    </row>
    <row r="969" spans="2:23" x14ac:dyDescent="0.2">
      <c r="B969" s="8"/>
      <c r="C969" s="8"/>
      <c r="D969" s="20" t="s">
        <v>96</v>
      </c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11">
        <v>196188.87999999998</v>
      </c>
      <c r="S969" s="8"/>
      <c r="T969" s="8"/>
      <c r="U969" s="8"/>
      <c r="V969" s="8"/>
      <c r="W969" s="8"/>
    </row>
    <row r="970" spans="2:23" x14ac:dyDescent="0.2"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</row>
    <row r="971" spans="2:23" x14ac:dyDescent="0.2">
      <c r="B971" s="22" t="s">
        <v>7</v>
      </c>
      <c r="D971" s="22" t="s">
        <v>1108</v>
      </c>
      <c r="O971" s="20" t="s">
        <v>97</v>
      </c>
      <c r="P971" s="8"/>
      <c r="Q971" s="8"/>
      <c r="R971" s="11">
        <v>88360.209999999992</v>
      </c>
    </row>
    <row r="972" spans="2:23" x14ac:dyDescent="0.2">
      <c r="O972" s="9"/>
      <c r="P972" s="9"/>
      <c r="Q972" s="9"/>
      <c r="R972" s="9"/>
    </row>
    <row r="973" spans="2:23" x14ac:dyDescent="0.2">
      <c r="B973" s="2" t="s">
        <v>98</v>
      </c>
    </row>
    <row r="975" spans="2:23" ht="24" customHeight="1" x14ac:dyDescent="0.2">
      <c r="B975" s="54" t="s">
        <v>0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</row>
    <row r="976" spans="2:23" ht="18" x14ac:dyDescent="0.2">
      <c r="B976" s="1" t="s">
        <v>1</v>
      </c>
      <c r="S976" s="55" t="s">
        <v>1181</v>
      </c>
      <c r="T976" s="50"/>
      <c r="U976" s="50"/>
      <c r="V976" s="50"/>
      <c r="W976" s="50"/>
    </row>
    <row r="977" spans="2:23" ht="12.75" thickBot="1" x14ac:dyDescent="0.25">
      <c r="B977" s="10" t="s">
        <v>3</v>
      </c>
      <c r="C977" s="6"/>
      <c r="D977" s="6"/>
      <c r="E977" s="6"/>
      <c r="F977" s="6"/>
      <c r="G977" s="6"/>
      <c r="H977" s="6"/>
      <c r="I977" s="6"/>
      <c r="J977" s="6"/>
      <c r="K977" s="6" t="s">
        <v>5</v>
      </c>
      <c r="L977" s="6"/>
      <c r="M977" s="6"/>
      <c r="N977" s="6"/>
      <c r="O977" s="6"/>
      <c r="P977" s="6" t="s">
        <v>4</v>
      </c>
      <c r="Q977" s="6" t="s">
        <v>2730</v>
      </c>
      <c r="R977" s="6"/>
      <c r="S977" s="56" t="s">
        <v>6</v>
      </c>
      <c r="T977" s="57"/>
      <c r="U977" s="57"/>
      <c r="V977" s="57"/>
      <c r="W977" s="57"/>
    </row>
    <row r="978" spans="2:23" ht="12.75" thickTop="1" x14ac:dyDescent="0.2"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</row>
    <row r="979" spans="2:23" ht="15.75" x14ac:dyDescent="0.2">
      <c r="B979" s="3" t="s">
        <v>7</v>
      </c>
      <c r="F979" s="3" t="s">
        <v>1206</v>
      </c>
    </row>
    <row r="981" spans="2:23" x14ac:dyDescent="0.2">
      <c r="B981" s="8"/>
      <c r="C981" s="20" t="s">
        <v>8</v>
      </c>
      <c r="D981" s="8"/>
      <c r="E981" s="20" t="s">
        <v>9</v>
      </c>
      <c r="F981" s="8"/>
      <c r="G981" s="8"/>
      <c r="H981" s="8"/>
      <c r="I981" s="20" t="s">
        <v>13</v>
      </c>
      <c r="J981" s="8"/>
      <c r="K981" s="8"/>
      <c r="L981" s="20" t="s">
        <v>12</v>
      </c>
      <c r="M981" s="8"/>
      <c r="N981" s="8"/>
      <c r="O981" s="8"/>
      <c r="P981" s="20" t="s">
        <v>14</v>
      </c>
      <c r="Q981" s="8"/>
      <c r="R981" s="8"/>
      <c r="S981" s="8"/>
      <c r="T981" s="21" t="s">
        <v>11</v>
      </c>
      <c r="U981" s="8"/>
      <c r="V981" s="58" t="s">
        <v>10</v>
      </c>
      <c r="W981" s="59"/>
    </row>
    <row r="982" spans="2:23" x14ac:dyDescent="0.2"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</row>
    <row r="983" spans="2:23" ht="15" x14ac:dyDescent="0.2">
      <c r="B983" s="4" t="s">
        <v>15</v>
      </c>
    </row>
    <row r="985" spans="2:23" x14ac:dyDescent="0.2">
      <c r="B985" s="22" t="s">
        <v>955</v>
      </c>
      <c r="E985" s="22" t="s">
        <v>956</v>
      </c>
    </row>
    <row r="986" spans="2:23" x14ac:dyDescent="0.2">
      <c r="C986" s="2" t="s">
        <v>31</v>
      </c>
      <c r="E986" s="2" t="s">
        <v>1207</v>
      </c>
      <c r="I986" s="2" t="s">
        <v>19</v>
      </c>
      <c r="P986" s="2" t="s">
        <v>1208</v>
      </c>
      <c r="T986" s="5">
        <v>14071</v>
      </c>
      <c r="V986" s="49">
        <v>0</v>
      </c>
      <c r="W986" s="50"/>
    </row>
    <row r="987" spans="2:23" x14ac:dyDescent="0.2">
      <c r="B987" s="22" t="s">
        <v>955</v>
      </c>
      <c r="E987" s="22" t="s">
        <v>956</v>
      </c>
      <c r="S987" s="51">
        <v>14071</v>
      </c>
      <c r="T987" s="50"/>
      <c r="U987" s="51">
        <v>0</v>
      </c>
      <c r="V987" s="50"/>
      <c r="W987" s="50"/>
    </row>
    <row r="989" spans="2:23" x14ac:dyDescent="0.2">
      <c r="B989" s="22" t="s">
        <v>102</v>
      </c>
      <c r="E989" s="22" t="s">
        <v>103</v>
      </c>
    </row>
    <row r="990" spans="2:23" x14ac:dyDescent="0.2">
      <c r="C990" s="2" t="s">
        <v>847</v>
      </c>
      <c r="E990" s="2" t="s">
        <v>1209</v>
      </c>
      <c r="I990" s="2" t="s">
        <v>209</v>
      </c>
      <c r="P990" s="2" t="s">
        <v>1210</v>
      </c>
      <c r="T990" s="5">
        <v>1800</v>
      </c>
      <c r="V990" s="49">
        <v>0</v>
      </c>
      <c r="W990" s="50"/>
    </row>
    <row r="991" spans="2:23" x14ac:dyDescent="0.2">
      <c r="C991" s="2" t="s">
        <v>357</v>
      </c>
      <c r="E991" s="2" t="s">
        <v>1211</v>
      </c>
      <c r="I991" s="2" t="s">
        <v>209</v>
      </c>
      <c r="P991" s="2" t="s">
        <v>1212</v>
      </c>
      <c r="T991" s="5">
        <v>5040</v>
      </c>
      <c r="V991" s="49">
        <v>0</v>
      </c>
      <c r="W991" s="50"/>
    </row>
    <row r="992" spans="2:23" x14ac:dyDescent="0.2">
      <c r="C992" s="2" t="s">
        <v>357</v>
      </c>
      <c r="E992" s="2" t="s">
        <v>1213</v>
      </c>
      <c r="I992" s="2" t="s">
        <v>209</v>
      </c>
      <c r="P992" s="2" t="s">
        <v>1212</v>
      </c>
      <c r="T992" s="5">
        <v>6960</v>
      </c>
      <c r="V992" s="49">
        <v>0</v>
      </c>
      <c r="W992" s="50"/>
    </row>
    <row r="993" spans="3:23" x14ac:dyDescent="0.2">
      <c r="C993" s="2" t="s">
        <v>357</v>
      </c>
      <c r="E993" s="2" t="s">
        <v>1214</v>
      </c>
      <c r="I993" s="2" t="s">
        <v>209</v>
      </c>
      <c r="P993" s="2" t="s">
        <v>1215</v>
      </c>
      <c r="T993" s="5">
        <v>392</v>
      </c>
      <c r="V993" s="49">
        <v>0</v>
      </c>
      <c r="W993" s="50"/>
    </row>
    <row r="994" spans="3:23" x14ac:dyDescent="0.2">
      <c r="C994" s="2" t="s">
        <v>357</v>
      </c>
      <c r="E994" s="2" t="s">
        <v>1216</v>
      </c>
      <c r="I994" s="2" t="s">
        <v>209</v>
      </c>
      <c r="P994" s="2" t="s">
        <v>1217</v>
      </c>
      <c r="T994" s="5">
        <v>2712</v>
      </c>
      <c r="V994" s="49">
        <v>0</v>
      </c>
      <c r="W994" s="50"/>
    </row>
    <row r="995" spans="3:23" x14ac:dyDescent="0.2">
      <c r="C995" s="2" t="s">
        <v>357</v>
      </c>
      <c r="E995" s="2" t="s">
        <v>1218</v>
      </c>
      <c r="I995" s="2" t="s">
        <v>209</v>
      </c>
      <c r="P995" s="2" t="s">
        <v>1219</v>
      </c>
      <c r="T995" s="5">
        <v>848</v>
      </c>
      <c r="V995" s="49">
        <v>0</v>
      </c>
      <c r="W995" s="50"/>
    </row>
    <row r="996" spans="3:23" x14ac:dyDescent="0.2">
      <c r="C996" s="2" t="s">
        <v>357</v>
      </c>
      <c r="E996" s="2" t="s">
        <v>1220</v>
      </c>
      <c r="I996" s="2" t="s">
        <v>209</v>
      </c>
      <c r="P996" s="2" t="s">
        <v>1221</v>
      </c>
      <c r="T996" s="5">
        <v>460</v>
      </c>
      <c r="V996" s="49">
        <v>0</v>
      </c>
      <c r="W996" s="50"/>
    </row>
    <row r="997" spans="3:23" x14ac:dyDescent="0.2">
      <c r="C997" s="2" t="s">
        <v>28</v>
      </c>
      <c r="E997" s="2" t="s">
        <v>1222</v>
      </c>
      <c r="I997" s="2" t="s">
        <v>209</v>
      </c>
      <c r="P997" s="2" t="s">
        <v>1212</v>
      </c>
      <c r="T997" s="5">
        <v>10800</v>
      </c>
      <c r="V997" s="49">
        <v>0</v>
      </c>
      <c r="W997" s="50"/>
    </row>
    <row r="998" spans="3:23" x14ac:dyDescent="0.2">
      <c r="C998" s="2" t="s">
        <v>1224</v>
      </c>
      <c r="E998" s="2" t="s">
        <v>1223</v>
      </c>
      <c r="I998" s="2" t="s">
        <v>209</v>
      </c>
      <c r="P998" s="2" t="s">
        <v>1212</v>
      </c>
      <c r="T998" s="5">
        <v>3600</v>
      </c>
      <c r="V998" s="49">
        <v>0</v>
      </c>
      <c r="W998" s="50"/>
    </row>
    <row r="999" spans="3:23" x14ac:dyDescent="0.2">
      <c r="C999" s="2" t="s">
        <v>1224</v>
      </c>
      <c r="E999" s="2" t="s">
        <v>1225</v>
      </c>
      <c r="I999" s="2" t="s">
        <v>209</v>
      </c>
      <c r="P999" s="2" t="s">
        <v>1226</v>
      </c>
      <c r="T999" s="5">
        <v>446</v>
      </c>
      <c r="V999" s="49">
        <v>0</v>
      </c>
      <c r="W999" s="50"/>
    </row>
    <row r="1000" spans="3:23" x14ac:dyDescent="0.2">
      <c r="C1000" s="2" t="s">
        <v>1224</v>
      </c>
      <c r="E1000" s="2" t="s">
        <v>1227</v>
      </c>
      <c r="I1000" s="2" t="s">
        <v>209</v>
      </c>
      <c r="P1000" s="2" t="s">
        <v>1228</v>
      </c>
      <c r="T1000" s="5">
        <v>2445</v>
      </c>
      <c r="V1000" s="49">
        <v>0</v>
      </c>
      <c r="W1000" s="50"/>
    </row>
    <row r="1001" spans="3:23" x14ac:dyDescent="0.2">
      <c r="C1001" s="2" t="s">
        <v>1224</v>
      </c>
      <c r="E1001" s="2" t="s">
        <v>1229</v>
      </c>
      <c r="I1001" s="2" t="s">
        <v>209</v>
      </c>
      <c r="P1001" s="2" t="s">
        <v>1230</v>
      </c>
      <c r="T1001" s="5">
        <v>527</v>
      </c>
      <c r="V1001" s="49">
        <v>0</v>
      </c>
      <c r="W1001" s="50"/>
    </row>
    <row r="1002" spans="3:23" x14ac:dyDescent="0.2">
      <c r="C1002" s="2" t="s">
        <v>1224</v>
      </c>
      <c r="E1002" s="2" t="s">
        <v>1231</v>
      </c>
      <c r="I1002" s="2" t="s">
        <v>209</v>
      </c>
      <c r="P1002" s="2" t="s">
        <v>1232</v>
      </c>
      <c r="T1002" s="5">
        <v>416</v>
      </c>
      <c r="V1002" s="49">
        <v>0</v>
      </c>
      <c r="W1002" s="50"/>
    </row>
    <row r="1003" spans="3:23" x14ac:dyDescent="0.2">
      <c r="C1003" s="2" t="s">
        <v>1224</v>
      </c>
      <c r="E1003" s="2" t="s">
        <v>1233</v>
      </c>
      <c r="I1003" s="2" t="s">
        <v>209</v>
      </c>
      <c r="P1003" s="2" t="s">
        <v>1234</v>
      </c>
      <c r="T1003" s="5">
        <v>432</v>
      </c>
      <c r="V1003" s="49">
        <v>0</v>
      </c>
      <c r="W1003" s="50"/>
    </row>
    <row r="1004" spans="3:23" x14ac:dyDescent="0.2">
      <c r="C1004" s="2" t="s">
        <v>1236</v>
      </c>
      <c r="E1004" s="2" t="s">
        <v>1235</v>
      </c>
      <c r="I1004" s="2" t="s">
        <v>209</v>
      </c>
      <c r="P1004" s="2" t="s">
        <v>1237</v>
      </c>
      <c r="T1004" s="5">
        <v>513</v>
      </c>
      <c r="V1004" s="49">
        <v>0</v>
      </c>
      <c r="W1004" s="50"/>
    </row>
    <row r="1005" spans="3:23" x14ac:dyDescent="0.2">
      <c r="C1005" s="2" t="s">
        <v>1236</v>
      </c>
      <c r="E1005" s="2" t="s">
        <v>1238</v>
      </c>
      <c r="I1005" s="2" t="s">
        <v>209</v>
      </c>
      <c r="P1005" s="2" t="s">
        <v>1239</v>
      </c>
      <c r="T1005" s="5">
        <v>1220</v>
      </c>
      <c r="V1005" s="49">
        <v>0</v>
      </c>
      <c r="W1005" s="50"/>
    </row>
    <row r="1006" spans="3:23" x14ac:dyDescent="0.2">
      <c r="C1006" s="2" t="s">
        <v>218</v>
      </c>
      <c r="E1006" s="2" t="s">
        <v>1240</v>
      </c>
      <c r="I1006" s="2" t="s">
        <v>209</v>
      </c>
      <c r="P1006" s="2" t="s">
        <v>964</v>
      </c>
      <c r="T1006" s="5">
        <v>1920</v>
      </c>
      <c r="V1006" s="49">
        <v>0</v>
      </c>
      <c r="W1006" s="50"/>
    </row>
    <row r="1007" spans="3:23" x14ac:dyDescent="0.2">
      <c r="C1007" s="2" t="s">
        <v>220</v>
      </c>
      <c r="E1007" s="2" t="s">
        <v>1241</v>
      </c>
      <c r="I1007" s="2" t="s">
        <v>209</v>
      </c>
      <c r="P1007" s="2" t="s">
        <v>1242</v>
      </c>
      <c r="T1007" s="5">
        <v>518</v>
      </c>
      <c r="V1007" s="49">
        <v>0</v>
      </c>
      <c r="W1007" s="50"/>
    </row>
    <row r="1008" spans="3:23" x14ac:dyDescent="0.2">
      <c r="C1008" s="2" t="s">
        <v>220</v>
      </c>
      <c r="E1008" s="2" t="s">
        <v>1243</v>
      </c>
      <c r="I1008" s="2" t="s">
        <v>209</v>
      </c>
      <c r="P1008" s="2" t="s">
        <v>1244</v>
      </c>
      <c r="T1008" s="5">
        <v>2049</v>
      </c>
      <c r="V1008" s="49">
        <v>0</v>
      </c>
      <c r="W1008" s="50"/>
    </row>
    <row r="1009" spans="3:23" x14ac:dyDescent="0.2">
      <c r="C1009" s="2" t="s">
        <v>220</v>
      </c>
      <c r="E1009" s="2" t="s">
        <v>1245</v>
      </c>
      <c r="I1009" s="2" t="s">
        <v>209</v>
      </c>
      <c r="P1009" s="2" t="s">
        <v>1246</v>
      </c>
      <c r="T1009" s="5">
        <v>366</v>
      </c>
      <c r="V1009" s="49">
        <v>0</v>
      </c>
      <c r="W1009" s="50"/>
    </row>
    <row r="1010" spans="3:23" x14ac:dyDescent="0.2">
      <c r="C1010" s="2" t="s">
        <v>220</v>
      </c>
      <c r="E1010" s="2" t="s">
        <v>1247</v>
      </c>
      <c r="I1010" s="2" t="s">
        <v>209</v>
      </c>
      <c r="P1010" s="2" t="s">
        <v>964</v>
      </c>
      <c r="T1010" s="5">
        <v>2400</v>
      </c>
      <c r="V1010" s="49">
        <v>0</v>
      </c>
      <c r="W1010" s="50"/>
    </row>
    <row r="1011" spans="3:23" x14ac:dyDescent="0.2">
      <c r="C1011" s="2" t="s">
        <v>220</v>
      </c>
      <c r="E1011" s="2" t="s">
        <v>1248</v>
      </c>
      <c r="I1011" s="2" t="s">
        <v>209</v>
      </c>
      <c r="P1011" s="2" t="s">
        <v>964</v>
      </c>
      <c r="T1011" s="5">
        <v>8400</v>
      </c>
      <c r="V1011" s="49">
        <v>0</v>
      </c>
      <c r="W1011" s="50"/>
    </row>
    <row r="1012" spans="3:23" x14ac:dyDescent="0.2">
      <c r="C1012" s="2" t="s">
        <v>1250</v>
      </c>
      <c r="E1012" s="2" t="s">
        <v>1249</v>
      </c>
      <c r="I1012" s="2" t="s">
        <v>209</v>
      </c>
      <c r="P1012" s="2" t="s">
        <v>964</v>
      </c>
      <c r="T1012" s="5">
        <v>6720</v>
      </c>
      <c r="V1012" s="49">
        <v>0</v>
      </c>
      <c r="W1012" s="50"/>
    </row>
    <row r="1013" spans="3:23" x14ac:dyDescent="0.2">
      <c r="C1013" s="2" t="s">
        <v>1250</v>
      </c>
      <c r="E1013" s="2" t="s">
        <v>1251</v>
      </c>
      <c r="I1013" s="2" t="s">
        <v>209</v>
      </c>
      <c r="P1013" s="2" t="s">
        <v>1252</v>
      </c>
      <c r="T1013" s="5">
        <v>2657</v>
      </c>
      <c r="V1013" s="49">
        <v>0</v>
      </c>
      <c r="W1013" s="50"/>
    </row>
    <row r="1014" spans="3:23" x14ac:dyDescent="0.2">
      <c r="C1014" s="2" t="s">
        <v>1250</v>
      </c>
      <c r="E1014" s="2" t="s">
        <v>1253</v>
      </c>
      <c r="I1014" s="2" t="s">
        <v>209</v>
      </c>
      <c r="P1014" s="2" t="s">
        <v>1254</v>
      </c>
      <c r="T1014" s="5">
        <v>388</v>
      </c>
      <c r="V1014" s="49">
        <v>0</v>
      </c>
      <c r="W1014" s="50"/>
    </row>
    <row r="1015" spans="3:23" x14ac:dyDescent="0.2">
      <c r="C1015" s="2" t="s">
        <v>1250</v>
      </c>
      <c r="E1015" s="2" t="s">
        <v>1255</v>
      </c>
      <c r="I1015" s="2" t="s">
        <v>209</v>
      </c>
      <c r="P1015" s="2" t="s">
        <v>1256</v>
      </c>
      <c r="T1015" s="5">
        <v>2605</v>
      </c>
      <c r="V1015" s="49">
        <v>0</v>
      </c>
      <c r="W1015" s="50"/>
    </row>
    <row r="1016" spans="3:23" x14ac:dyDescent="0.2">
      <c r="C1016" s="2" t="s">
        <v>201</v>
      </c>
      <c r="E1016" s="2" t="s">
        <v>1257</v>
      </c>
      <c r="I1016" s="2" t="s">
        <v>209</v>
      </c>
      <c r="P1016" s="2" t="s">
        <v>1258</v>
      </c>
      <c r="T1016" s="5">
        <v>325</v>
      </c>
      <c r="V1016" s="49">
        <v>0</v>
      </c>
      <c r="W1016" s="50"/>
    </row>
    <row r="1017" spans="3:23" x14ac:dyDescent="0.2">
      <c r="C1017" s="2" t="s">
        <v>201</v>
      </c>
      <c r="E1017" s="2" t="s">
        <v>1259</v>
      </c>
      <c r="I1017" s="2" t="s">
        <v>209</v>
      </c>
      <c r="P1017" s="2" t="s">
        <v>1260</v>
      </c>
      <c r="T1017" s="5">
        <v>2880</v>
      </c>
      <c r="V1017" s="49">
        <v>0</v>
      </c>
      <c r="W1017" s="50"/>
    </row>
    <row r="1018" spans="3:23" x14ac:dyDescent="0.2">
      <c r="C1018" s="2" t="s">
        <v>201</v>
      </c>
      <c r="E1018" s="2" t="s">
        <v>1261</v>
      </c>
      <c r="I1018" s="2" t="s">
        <v>209</v>
      </c>
      <c r="P1018" s="2" t="s">
        <v>1262</v>
      </c>
      <c r="T1018" s="5">
        <v>3750</v>
      </c>
      <c r="V1018" s="49">
        <v>0</v>
      </c>
      <c r="W1018" s="50"/>
    </row>
    <row r="1019" spans="3:23" x14ac:dyDescent="0.2">
      <c r="C1019" s="2" t="s">
        <v>318</v>
      </c>
      <c r="E1019" s="2" t="s">
        <v>1263</v>
      </c>
      <c r="I1019" s="2" t="s">
        <v>209</v>
      </c>
      <c r="P1019" s="2" t="s">
        <v>964</v>
      </c>
      <c r="T1019" s="5">
        <v>9120</v>
      </c>
      <c r="V1019" s="49">
        <v>0</v>
      </c>
      <c r="W1019" s="50"/>
    </row>
    <row r="1020" spans="3:23" x14ac:dyDescent="0.2">
      <c r="C1020" s="2" t="s">
        <v>467</v>
      </c>
      <c r="E1020" s="2" t="s">
        <v>1264</v>
      </c>
      <c r="I1020" s="2" t="s">
        <v>209</v>
      </c>
      <c r="P1020" s="2" t="s">
        <v>964</v>
      </c>
      <c r="T1020" s="5">
        <v>4950</v>
      </c>
      <c r="V1020" s="49">
        <v>0</v>
      </c>
      <c r="W1020" s="50"/>
    </row>
    <row r="1021" spans="3:23" x14ac:dyDescent="0.2">
      <c r="C1021" s="2" t="s">
        <v>467</v>
      </c>
      <c r="E1021" s="2" t="s">
        <v>1265</v>
      </c>
      <c r="I1021" s="2" t="s">
        <v>209</v>
      </c>
      <c r="P1021" s="2" t="s">
        <v>1266</v>
      </c>
      <c r="T1021" s="5">
        <v>795</v>
      </c>
      <c r="V1021" s="49">
        <v>0</v>
      </c>
      <c r="W1021" s="50"/>
    </row>
    <row r="1022" spans="3:23" x14ac:dyDescent="0.2">
      <c r="C1022" s="2" t="s">
        <v>467</v>
      </c>
      <c r="E1022" s="2" t="s">
        <v>1267</v>
      </c>
      <c r="I1022" s="2" t="s">
        <v>209</v>
      </c>
      <c r="P1022" s="2" t="s">
        <v>1268</v>
      </c>
      <c r="T1022" s="5">
        <v>592</v>
      </c>
      <c r="V1022" s="49">
        <v>0</v>
      </c>
      <c r="W1022" s="50"/>
    </row>
    <row r="1023" spans="3:23" x14ac:dyDescent="0.2">
      <c r="C1023" s="2" t="s">
        <v>467</v>
      </c>
      <c r="E1023" s="2" t="s">
        <v>1269</v>
      </c>
      <c r="I1023" s="2" t="s">
        <v>209</v>
      </c>
      <c r="P1023" s="2" t="s">
        <v>1270</v>
      </c>
      <c r="T1023" s="5">
        <v>885</v>
      </c>
      <c r="V1023" s="49">
        <v>0</v>
      </c>
      <c r="W1023" s="50"/>
    </row>
    <row r="1024" spans="3:23" x14ac:dyDescent="0.2">
      <c r="C1024" s="2" t="s">
        <v>1203</v>
      </c>
      <c r="E1024" s="2" t="s">
        <v>1271</v>
      </c>
      <c r="I1024" s="2" t="s">
        <v>209</v>
      </c>
      <c r="P1024" s="2" t="s">
        <v>1272</v>
      </c>
      <c r="T1024" s="5">
        <v>432</v>
      </c>
      <c r="V1024" s="49">
        <v>0</v>
      </c>
      <c r="W1024" s="50"/>
    </row>
    <row r="1025" spans="2:23" x14ac:dyDescent="0.2">
      <c r="C1025" s="2" t="s">
        <v>1203</v>
      </c>
      <c r="E1025" s="2" t="s">
        <v>1273</v>
      </c>
      <c r="I1025" s="2" t="s">
        <v>209</v>
      </c>
      <c r="P1025" s="2" t="s">
        <v>1274</v>
      </c>
      <c r="T1025" s="5">
        <v>3250</v>
      </c>
      <c r="V1025" s="49">
        <v>0</v>
      </c>
      <c r="W1025" s="50"/>
    </row>
    <row r="1026" spans="2:23" x14ac:dyDescent="0.2">
      <c r="C1026" s="2" t="s">
        <v>1276</v>
      </c>
      <c r="E1026" s="2" t="s">
        <v>1275</v>
      </c>
      <c r="I1026" s="2" t="s">
        <v>209</v>
      </c>
      <c r="P1026" s="2" t="s">
        <v>964</v>
      </c>
      <c r="T1026" s="5">
        <v>1920</v>
      </c>
      <c r="V1026" s="49">
        <v>0</v>
      </c>
      <c r="W1026" s="50"/>
    </row>
    <row r="1027" spans="2:23" x14ac:dyDescent="0.2">
      <c r="C1027" s="2" t="s">
        <v>1278</v>
      </c>
      <c r="E1027" s="2" t="s">
        <v>1277</v>
      </c>
      <c r="I1027" s="2" t="s">
        <v>209</v>
      </c>
      <c r="P1027" s="2" t="s">
        <v>964</v>
      </c>
      <c r="T1027" s="5">
        <v>2400</v>
      </c>
      <c r="V1027" s="49">
        <v>0</v>
      </c>
      <c r="W1027" s="50"/>
    </row>
    <row r="1028" spans="2:23" x14ac:dyDescent="0.2">
      <c r="C1028" s="2" t="s">
        <v>1280</v>
      </c>
      <c r="E1028" s="2" t="s">
        <v>1279</v>
      </c>
      <c r="I1028" s="2" t="s">
        <v>209</v>
      </c>
      <c r="P1028" s="2" t="s">
        <v>1281</v>
      </c>
      <c r="T1028" s="5">
        <v>211</v>
      </c>
      <c r="V1028" s="49">
        <v>0</v>
      </c>
      <c r="W1028" s="50"/>
    </row>
    <row r="1029" spans="2:23" x14ac:dyDescent="0.2">
      <c r="C1029" s="2" t="s">
        <v>1280</v>
      </c>
      <c r="E1029" s="2" t="s">
        <v>1282</v>
      </c>
      <c r="I1029" s="2" t="s">
        <v>209</v>
      </c>
      <c r="P1029" s="2" t="s">
        <v>1283</v>
      </c>
      <c r="T1029" s="5">
        <v>1860</v>
      </c>
      <c r="V1029" s="49">
        <v>0</v>
      </c>
      <c r="W1029" s="50"/>
    </row>
    <row r="1030" spans="2:23" x14ac:dyDescent="0.2">
      <c r="C1030" s="2" t="s">
        <v>1280</v>
      </c>
      <c r="E1030" s="2" t="s">
        <v>1284</v>
      </c>
      <c r="I1030" s="2" t="s">
        <v>209</v>
      </c>
      <c r="P1030" s="2" t="s">
        <v>1285</v>
      </c>
      <c r="T1030" s="5">
        <v>972</v>
      </c>
      <c r="V1030" s="49">
        <v>0</v>
      </c>
      <c r="W1030" s="50"/>
    </row>
    <row r="1031" spans="2:23" x14ac:dyDescent="0.2">
      <c r="B1031" s="22" t="s">
        <v>102</v>
      </c>
      <c r="E1031" s="22" t="s">
        <v>103</v>
      </c>
      <c r="S1031" s="51">
        <v>100976</v>
      </c>
      <c r="T1031" s="50"/>
      <c r="U1031" s="51">
        <v>0</v>
      </c>
      <c r="V1031" s="50"/>
      <c r="W1031" s="50"/>
    </row>
    <row r="1033" spans="2:23" x14ac:dyDescent="0.2">
      <c r="B1033" s="22" t="s">
        <v>109</v>
      </c>
      <c r="E1033" s="22" t="s">
        <v>110</v>
      </c>
    </row>
    <row r="1034" spans="2:23" x14ac:dyDescent="0.2">
      <c r="C1034" s="2" t="s">
        <v>1203</v>
      </c>
      <c r="E1034" s="2" t="s">
        <v>1286</v>
      </c>
      <c r="I1034" s="2" t="s">
        <v>209</v>
      </c>
      <c r="P1034" s="2" t="s">
        <v>110</v>
      </c>
      <c r="T1034" s="5">
        <v>3300</v>
      </c>
      <c r="V1034" s="49">
        <v>0</v>
      </c>
      <c r="W1034" s="50"/>
    </row>
    <row r="1035" spans="2:23" x14ac:dyDescent="0.2">
      <c r="B1035" s="22" t="s">
        <v>109</v>
      </c>
      <c r="E1035" s="22" t="s">
        <v>110</v>
      </c>
      <c r="S1035" s="51">
        <v>3300</v>
      </c>
      <c r="T1035" s="50"/>
      <c r="U1035" s="51">
        <v>0</v>
      </c>
      <c r="V1035" s="50"/>
      <c r="W1035" s="50"/>
    </row>
    <row r="1037" spans="2:23" x14ac:dyDescent="0.2">
      <c r="B1037" s="22" t="s">
        <v>147</v>
      </c>
      <c r="E1037" s="22" t="s">
        <v>148</v>
      </c>
    </row>
    <row r="1038" spans="2:23" x14ac:dyDescent="0.2">
      <c r="C1038" s="2" t="s">
        <v>151</v>
      </c>
      <c r="E1038" s="2" t="s">
        <v>1287</v>
      </c>
      <c r="I1038" s="2" t="s">
        <v>106</v>
      </c>
      <c r="L1038" s="2" t="s">
        <v>150</v>
      </c>
      <c r="P1038" s="2" t="s">
        <v>1288</v>
      </c>
      <c r="T1038" s="5">
        <v>25000</v>
      </c>
      <c r="V1038" s="49">
        <v>0</v>
      </c>
      <c r="W1038" s="50"/>
    </row>
    <row r="1039" spans="2:23" x14ac:dyDescent="0.2">
      <c r="C1039" s="2" t="s">
        <v>1291</v>
      </c>
      <c r="E1039" s="2" t="s">
        <v>1289</v>
      </c>
      <c r="I1039" s="2" t="s">
        <v>106</v>
      </c>
      <c r="L1039" s="2" t="s">
        <v>1290</v>
      </c>
      <c r="P1039" s="2" t="s">
        <v>1292</v>
      </c>
      <c r="T1039" s="5">
        <v>4000</v>
      </c>
      <c r="V1039" s="49">
        <v>0</v>
      </c>
      <c r="W1039" s="50"/>
    </row>
    <row r="1040" spans="2:23" x14ac:dyDescent="0.2">
      <c r="B1040" s="22" t="s">
        <v>147</v>
      </c>
      <c r="E1040" s="22" t="s">
        <v>148</v>
      </c>
      <c r="S1040" s="51">
        <v>29000</v>
      </c>
      <c r="T1040" s="50"/>
      <c r="U1040" s="51">
        <v>0</v>
      </c>
      <c r="V1040" s="50"/>
      <c r="W1040" s="50"/>
    </row>
    <row r="1042" spans="2:23" x14ac:dyDescent="0.2">
      <c r="B1042" s="22" t="s">
        <v>16</v>
      </c>
      <c r="E1042" s="22" t="s">
        <v>17</v>
      </c>
    </row>
    <row r="1043" spans="2:23" x14ac:dyDescent="0.2">
      <c r="C1043" s="2" t="s">
        <v>1294</v>
      </c>
      <c r="E1043" s="2" t="s">
        <v>1293</v>
      </c>
      <c r="I1043" s="2" t="s">
        <v>209</v>
      </c>
      <c r="P1043" s="2" t="s">
        <v>1295</v>
      </c>
      <c r="T1043" s="5">
        <v>1750</v>
      </c>
      <c r="V1043" s="49">
        <v>0</v>
      </c>
      <c r="W1043" s="50"/>
    </row>
    <row r="1044" spans="2:23" x14ac:dyDescent="0.2">
      <c r="C1044" s="2" t="s">
        <v>20</v>
      </c>
      <c r="E1044" s="2" t="s">
        <v>18</v>
      </c>
      <c r="I1044" s="2" t="s">
        <v>19</v>
      </c>
      <c r="P1044" s="2" t="s">
        <v>21</v>
      </c>
      <c r="T1044" s="5">
        <v>107227.08</v>
      </c>
      <c r="V1044" s="49">
        <v>0</v>
      </c>
      <c r="W1044" s="50"/>
    </row>
    <row r="1045" spans="2:23" x14ac:dyDescent="0.2">
      <c r="B1045" s="22" t="s">
        <v>16</v>
      </c>
      <c r="E1045" s="22" t="s">
        <v>17</v>
      </c>
      <c r="S1045" s="51">
        <v>108977.08</v>
      </c>
      <c r="T1045" s="50"/>
      <c r="U1045" s="51">
        <v>0</v>
      </c>
      <c r="V1045" s="50"/>
      <c r="W1045" s="50"/>
    </row>
    <row r="1047" spans="2:23" ht="18" x14ac:dyDescent="0.2">
      <c r="B1047" s="1" t="s">
        <v>1</v>
      </c>
      <c r="S1047" s="55" t="s">
        <v>1205</v>
      </c>
      <c r="T1047" s="50"/>
      <c r="U1047" s="50"/>
      <c r="V1047" s="50"/>
      <c r="W1047" s="50"/>
    </row>
    <row r="1048" spans="2:23" ht="12.75" thickBot="1" x14ac:dyDescent="0.25">
      <c r="B1048" s="10" t="s">
        <v>3</v>
      </c>
      <c r="C1048" s="6"/>
      <c r="D1048" s="6"/>
      <c r="E1048" s="6"/>
      <c r="F1048" s="6"/>
      <c r="G1048" s="6"/>
      <c r="H1048" s="6"/>
      <c r="I1048" s="6"/>
      <c r="J1048" s="6"/>
      <c r="K1048" s="6" t="s">
        <v>5</v>
      </c>
      <c r="L1048" s="6"/>
      <c r="M1048" s="6"/>
      <c r="N1048" s="6"/>
      <c r="O1048" s="6"/>
      <c r="P1048" s="6" t="s">
        <v>4</v>
      </c>
      <c r="Q1048" s="6" t="s">
        <v>2730</v>
      </c>
      <c r="R1048" s="6"/>
      <c r="S1048" s="56" t="s">
        <v>6</v>
      </c>
      <c r="T1048" s="57"/>
      <c r="U1048" s="57"/>
      <c r="V1048" s="57"/>
      <c r="W1048" s="57"/>
    </row>
    <row r="1049" spans="2:23" ht="12.75" thickTop="1" x14ac:dyDescent="0.2"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</row>
    <row r="1051" spans="2:23" x14ac:dyDescent="0.2">
      <c r="B1051" s="22" t="s">
        <v>153</v>
      </c>
      <c r="E1051" s="22" t="s">
        <v>154</v>
      </c>
    </row>
    <row r="1052" spans="2:23" x14ac:dyDescent="0.2">
      <c r="C1052" s="2" t="s">
        <v>186</v>
      </c>
      <c r="E1052" s="2" t="s">
        <v>1297</v>
      </c>
      <c r="I1052" s="2" t="s">
        <v>106</v>
      </c>
      <c r="L1052" s="2" t="s">
        <v>1298</v>
      </c>
      <c r="P1052" s="2" t="s">
        <v>1299</v>
      </c>
      <c r="T1052" s="5">
        <v>14778</v>
      </c>
      <c r="V1052" s="49">
        <v>0</v>
      </c>
      <c r="W1052" s="50"/>
    </row>
    <row r="1053" spans="2:23" x14ac:dyDescent="0.2">
      <c r="C1053" s="2" t="s">
        <v>1301</v>
      </c>
      <c r="E1053" s="2" t="s">
        <v>1300</v>
      </c>
      <c r="I1053" s="2" t="s">
        <v>106</v>
      </c>
      <c r="L1053" s="2" t="s">
        <v>1298</v>
      </c>
      <c r="P1053" s="2" t="s">
        <v>1302</v>
      </c>
      <c r="T1053" s="5">
        <v>20484</v>
      </c>
      <c r="V1053" s="49">
        <v>0</v>
      </c>
      <c r="W1053" s="50"/>
    </row>
    <row r="1054" spans="2:23" x14ac:dyDescent="0.2">
      <c r="B1054" s="22" t="s">
        <v>153</v>
      </c>
      <c r="E1054" s="22" t="s">
        <v>154</v>
      </c>
      <c r="S1054" s="51">
        <v>35262</v>
      </c>
      <c r="T1054" s="50"/>
      <c r="U1054" s="51">
        <v>0</v>
      </c>
      <c r="V1054" s="50"/>
      <c r="W1054" s="50"/>
    </row>
    <row r="1056" spans="2:23" x14ac:dyDescent="0.2">
      <c r="B1056" s="22" t="s">
        <v>161</v>
      </c>
      <c r="E1056" s="22" t="s">
        <v>162</v>
      </c>
    </row>
    <row r="1057" spans="2:23" x14ac:dyDescent="0.2">
      <c r="C1057" s="2" t="s">
        <v>1305</v>
      </c>
      <c r="E1057" s="2" t="s">
        <v>1303</v>
      </c>
      <c r="I1057" s="2" t="s">
        <v>106</v>
      </c>
      <c r="L1057" s="2" t="s">
        <v>1304</v>
      </c>
      <c r="P1057" s="2" t="s">
        <v>166</v>
      </c>
      <c r="T1057" s="5">
        <v>18000</v>
      </c>
      <c r="V1057" s="49">
        <v>0</v>
      </c>
      <c r="W1057" s="50"/>
    </row>
    <row r="1058" spans="2:23" x14ac:dyDescent="0.2">
      <c r="B1058" s="22" t="s">
        <v>161</v>
      </c>
      <c r="E1058" s="22" t="s">
        <v>162</v>
      </c>
      <c r="S1058" s="51">
        <v>18000</v>
      </c>
      <c r="T1058" s="50"/>
      <c r="U1058" s="51">
        <v>0</v>
      </c>
      <c r="V1058" s="50"/>
      <c r="W1058" s="50"/>
    </row>
    <row r="1060" spans="2:23" x14ac:dyDescent="0.2">
      <c r="B1060" s="22" t="s">
        <v>178</v>
      </c>
      <c r="E1060" s="22" t="s">
        <v>179</v>
      </c>
    </row>
    <row r="1061" spans="2:23" x14ac:dyDescent="0.2">
      <c r="C1061" s="2" t="s">
        <v>1307</v>
      </c>
      <c r="E1061" s="2" t="s">
        <v>1306</v>
      </c>
      <c r="I1061" s="2" t="s">
        <v>19</v>
      </c>
      <c r="P1061" s="2" t="s">
        <v>1308</v>
      </c>
      <c r="T1061" s="5">
        <v>3057</v>
      </c>
      <c r="V1061" s="49">
        <v>0</v>
      </c>
      <c r="W1061" s="50"/>
    </row>
    <row r="1062" spans="2:23" x14ac:dyDescent="0.2">
      <c r="C1062" s="2" t="s">
        <v>1310</v>
      </c>
      <c r="E1062" s="2" t="s">
        <v>1309</v>
      </c>
      <c r="I1062" s="2" t="s">
        <v>19</v>
      </c>
      <c r="P1062" s="2" t="s">
        <v>1311</v>
      </c>
      <c r="T1062" s="5">
        <v>3057</v>
      </c>
      <c r="V1062" s="49">
        <v>0</v>
      </c>
      <c r="W1062" s="50"/>
    </row>
    <row r="1063" spans="2:23" x14ac:dyDescent="0.2">
      <c r="C1063" s="2" t="s">
        <v>385</v>
      </c>
      <c r="E1063" s="2" t="s">
        <v>1312</v>
      </c>
      <c r="I1063" s="2" t="s">
        <v>19</v>
      </c>
      <c r="P1063" s="2" t="s">
        <v>1311</v>
      </c>
      <c r="T1063" s="5">
        <v>2877</v>
      </c>
      <c r="V1063" s="49">
        <v>0</v>
      </c>
      <c r="W1063" s="50"/>
    </row>
    <row r="1064" spans="2:23" x14ac:dyDescent="0.2">
      <c r="C1064" s="2" t="s">
        <v>486</v>
      </c>
      <c r="E1064" s="2" t="s">
        <v>1313</v>
      </c>
      <c r="I1064" s="2" t="s">
        <v>19</v>
      </c>
      <c r="P1064" s="2" t="s">
        <v>1314</v>
      </c>
      <c r="T1064" s="5">
        <v>3336</v>
      </c>
      <c r="V1064" s="49">
        <v>0</v>
      </c>
      <c r="W1064" s="50"/>
    </row>
    <row r="1065" spans="2:23" x14ac:dyDescent="0.2">
      <c r="C1065" s="2" t="s">
        <v>1316</v>
      </c>
      <c r="E1065" s="2" t="s">
        <v>1315</v>
      </c>
      <c r="I1065" s="2" t="s">
        <v>19</v>
      </c>
      <c r="P1065" s="2" t="s">
        <v>1311</v>
      </c>
      <c r="T1065" s="5">
        <v>3165</v>
      </c>
      <c r="V1065" s="49">
        <v>0</v>
      </c>
      <c r="W1065" s="50"/>
    </row>
    <row r="1066" spans="2:23" x14ac:dyDescent="0.2">
      <c r="C1066" s="2" t="s">
        <v>193</v>
      </c>
      <c r="E1066" s="2" t="s">
        <v>192</v>
      </c>
      <c r="I1066" s="2" t="s">
        <v>19</v>
      </c>
      <c r="P1066" s="2" t="s">
        <v>194</v>
      </c>
      <c r="T1066" s="5">
        <v>3075</v>
      </c>
      <c r="V1066" s="49">
        <v>0</v>
      </c>
      <c r="W1066" s="50"/>
    </row>
    <row r="1067" spans="2:23" x14ac:dyDescent="0.2">
      <c r="C1067" s="2" t="s">
        <v>1318</v>
      </c>
      <c r="E1067" s="2" t="s">
        <v>1317</v>
      </c>
      <c r="I1067" s="2" t="s">
        <v>19</v>
      </c>
      <c r="P1067" s="2" t="s">
        <v>1319</v>
      </c>
      <c r="T1067" s="5">
        <v>3500</v>
      </c>
      <c r="V1067" s="49">
        <v>0</v>
      </c>
      <c r="W1067" s="50"/>
    </row>
    <row r="1068" spans="2:23" x14ac:dyDescent="0.2">
      <c r="C1068" s="2" t="s">
        <v>49</v>
      </c>
      <c r="E1068" s="2" t="s">
        <v>1320</v>
      </c>
      <c r="I1068" s="2" t="s">
        <v>19</v>
      </c>
      <c r="P1068" s="2" t="s">
        <v>1319</v>
      </c>
      <c r="T1068" s="5">
        <v>3750</v>
      </c>
      <c r="V1068" s="49">
        <v>0</v>
      </c>
      <c r="W1068" s="50"/>
    </row>
    <row r="1069" spans="2:23" x14ac:dyDescent="0.2">
      <c r="C1069" s="2" t="s">
        <v>199</v>
      </c>
      <c r="E1069" s="2" t="s">
        <v>1321</v>
      </c>
      <c r="I1069" s="2" t="s">
        <v>19</v>
      </c>
      <c r="P1069" s="2" t="s">
        <v>1319</v>
      </c>
      <c r="T1069" s="5">
        <v>3800</v>
      </c>
      <c r="V1069" s="49">
        <v>0</v>
      </c>
      <c r="W1069" s="50"/>
    </row>
    <row r="1070" spans="2:23" x14ac:dyDescent="0.2">
      <c r="C1070" s="2" t="s">
        <v>1323</v>
      </c>
      <c r="E1070" s="2" t="s">
        <v>1322</v>
      </c>
      <c r="I1070" s="2" t="s">
        <v>19</v>
      </c>
      <c r="P1070" s="2" t="s">
        <v>1319</v>
      </c>
      <c r="T1070" s="5">
        <v>3345</v>
      </c>
      <c r="V1070" s="49">
        <v>0</v>
      </c>
      <c r="W1070" s="50"/>
    </row>
    <row r="1071" spans="2:23" x14ac:dyDescent="0.2">
      <c r="C1071" s="2" t="s">
        <v>293</v>
      </c>
      <c r="E1071" s="2" t="s">
        <v>1324</v>
      </c>
      <c r="I1071" s="2" t="s">
        <v>19</v>
      </c>
      <c r="P1071" s="2" t="s">
        <v>1319</v>
      </c>
      <c r="T1071" s="5">
        <v>1470</v>
      </c>
      <c r="V1071" s="49">
        <v>0</v>
      </c>
      <c r="W1071" s="50"/>
    </row>
    <row r="1072" spans="2:23" x14ac:dyDescent="0.2">
      <c r="C1072" s="2" t="s">
        <v>55</v>
      </c>
      <c r="E1072" s="2" t="s">
        <v>1325</v>
      </c>
      <c r="I1072" s="2" t="s">
        <v>19</v>
      </c>
      <c r="P1072" s="2" t="s">
        <v>1319</v>
      </c>
      <c r="T1072" s="5">
        <v>3075</v>
      </c>
      <c r="V1072" s="49">
        <v>0</v>
      </c>
      <c r="W1072" s="50"/>
    </row>
    <row r="1073" spans="2:23" x14ac:dyDescent="0.2">
      <c r="B1073" s="22" t="s">
        <v>178</v>
      </c>
      <c r="E1073" s="22" t="s">
        <v>179</v>
      </c>
      <c r="S1073" s="51">
        <v>37507</v>
      </c>
      <c r="T1073" s="50"/>
      <c r="U1073" s="51">
        <v>0</v>
      </c>
      <c r="V1073" s="50"/>
      <c r="W1073" s="50"/>
    </row>
    <row r="1075" spans="2:23" x14ac:dyDescent="0.2">
      <c r="B1075" s="22" t="s">
        <v>206</v>
      </c>
      <c r="E1075" s="22" t="s">
        <v>207</v>
      </c>
    </row>
    <row r="1076" spans="2:23" x14ac:dyDescent="0.2">
      <c r="C1076" s="2" t="s">
        <v>1307</v>
      </c>
      <c r="E1076" s="2" t="s">
        <v>1326</v>
      </c>
      <c r="I1076" s="2" t="s">
        <v>209</v>
      </c>
      <c r="P1076" s="2" t="s">
        <v>210</v>
      </c>
      <c r="T1076" s="5">
        <v>2500</v>
      </c>
      <c r="V1076" s="49">
        <v>0</v>
      </c>
      <c r="W1076" s="50"/>
    </row>
    <row r="1077" spans="2:23" x14ac:dyDescent="0.2">
      <c r="C1077" s="2" t="s">
        <v>1310</v>
      </c>
      <c r="E1077" s="2" t="s">
        <v>1327</v>
      </c>
      <c r="I1077" s="2" t="s">
        <v>209</v>
      </c>
      <c r="P1077" s="2" t="s">
        <v>210</v>
      </c>
      <c r="T1077" s="5">
        <v>1200</v>
      </c>
      <c r="V1077" s="49">
        <v>0</v>
      </c>
      <c r="W1077" s="50"/>
    </row>
    <row r="1078" spans="2:23" x14ac:dyDescent="0.2">
      <c r="C1078" s="2" t="s">
        <v>1310</v>
      </c>
      <c r="E1078" s="2" t="s">
        <v>1328</v>
      </c>
      <c r="I1078" s="2" t="s">
        <v>209</v>
      </c>
      <c r="P1078" s="2" t="s">
        <v>210</v>
      </c>
      <c r="T1078" s="5">
        <v>2500</v>
      </c>
      <c r="V1078" s="49">
        <v>0</v>
      </c>
      <c r="W1078" s="50"/>
    </row>
    <row r="1079" spans="2:23" x14ac:dyDescent="0.2">
      <c r="C1079" s="2" t="s">
        <v>486</v>
      </c>
      <c r="E1079" s="2" t="s">
        <v>1329</v>
      </c>
      <c r="I1079" s="2" t="s">
        <v>209</v>
      </c>
      <c r="P1079" s="2" t="s">
        <v>210</v>
      </c>
      <c r="T1079" s="5">
        <v>2500</v>
      </c>
      <c r="V1079" s="49">
        <v>0</v>
      </c>
      <c r="W1079" s="50"/>
    </row>
    <row r="1080" spans="2:23" x14ac:dyDescent="0.2">
      <c r="C1080" s="2" t="s">
        <v>1316</v>
      </c>
      <c r="E1080" s="2" t="s">
        <v>1330</v>
      </c>
      <c r="I1080" s="2" t="s">
        <v>209</v>
      </c>
      <c r="P1080" s="2" t="s">
        <v>210</v>
      </c>
      <c r="T1080" s="5">
        <v>2500</v>
      </c>
      <c r="V1080" s="49">
        <v>0</v>
      </c>
      <c r="W1080" s="50"/>
    </row>
    <row r="1081" spans="2:23" x14ac:dyDescent="0.2">
      <c r="C1081" s="2" t="s">
        <v>220</v>
      </c>
      <c r="E1081" s="2" t="s">
        <v>1331</v>
      </c>
      <c r="I1081" s="2" t="s">
        <v>209</v>
      </c>
      <c r="P1081" s="2" t="s">
        <v>210</v>
      </c>
      <c r="T1081" s="5">
        <v>3400</v>
      </c>
      <c r="V1081" s="49">
        <v>0</v>
      </c>
      <c r="W1081" s="50"/>
    </row>
    <row r="1082" spans="2:23" x14ac:dyDescent="0.2">
      <c r="C1082" s="2" t="s">
        <v>220</v>
      </c>
      <c r="E1082" s="2" t="s">
        <v>1332</v>
      </c>
      <c r="I1082" s="2" t="s">
        <v>209</v>
      </c>
      <c r="P1082" s="2" t="s">
        <v>210</v>
      </c>
      <c r="T1082" s="5">
        <v>2200</v>
      </c>
      <c r="V1082" s="49">
        <v>0</v>
      </c>
      <c r="W1082" s="50"/>
    </row>
    <row r="1083" spans="2:23" x14ac:dyDescent="0.2">
      <c r="C1083" s="2" t="s">
        <v>444</v>
      </c>
      <c r="E1083" s="2" t="s">
        <v>1333</v>
      </c>
      <c r="I1083" s="2" t="s">
        <v>209</v>
      </c>
      <c r="P1083" s="2" t="s">
        <v>210</v>
      </c>
      <c r="T1083" s="5">
        <v>2200</v>
      </c>
      <c r="V1083" s="49">
        <v>0</v>
      </c>
      <c r="W1083" s="50"/>
    </row>
    <row r="1084" spans="2:23" x14ac:dyDescent="0.2">
      <c r="C1084" s="2" t="s">
        <v>199</v>
      </c>
      <c r="E1084" s="2" t="s">
        <v>1334</v>
      </c>
      <c r="I1084" s="2" t="s">
        <v>209</v>
      </c>
      <c r="P1084" s="2" t="s">
        <v>210</v>
      </c>
      <c r="T1084" s="5">
        <v>2200</v>
      </c>
      <c r="V1084" s="49">
        <v>0</v>
      </c>
      <c r="W1084" s="50"/>
    </row>
    <row r="1085" spans="2:23" x14ac:dyDescent="0.2">
      <c r="C1085" s="2" t="s">
        <v>199</v>
      </c>
      <c r="E1085" s="2" t="s">
        <v>1335</v>
      </c>
      <c r="I1085" s="2" t="s">
        <v>209</v>
      </c>
      <c r="P1085" s="2" t="s">
        <v>210</v>
      </c>
      <c r="T1085" s="5">
        <v>1200</v>
      </c>
      <c r="V1085" s="49">
        <v>0</v>
      </c>
      <c r="W1085" s="50"/>
    </row>
    <row r="1086" spans="2:23" x14ac:dyDescent="0.2">
      <c r="C1086" s="2" t="s">
        <v>1323</v>
      </c>
      <c r="E1086" s="2" t="s">
        <v>1336</v>
      </c>
      <c r="I1086" s="2" t="s">
        <v>209</v>
      </c>
      <c r="P1086" s="2" t="s">
        <v>210</v>
      </c>
      <c r="T1086" s="5">
        <v>2200</v>
      </c>
      <c r="V1086" s="49">
        <v>0</v>
      </c>
      <c r="W1086" s="50"/>
    </row>
    <row r="1087" spans="2:23" x14ac:dyDescent="0.2">
      <c r="C1087" s="2" t="s">
        <v>293</v>
      </c>
      <c r="E1087" s="2" t="s">
        <v>1337</v>
      </c>
      <c r="I1087" s="2" t="s">
        <v>209</v>
      </c>
      <c r="P1087" s="2" t="s">
        <v>210</v>
      </c>
      <c r="T1087" s="5">
        <v>2200</v>
      </c>
      <c r="V1087" s="49">
        <v>0</v>
      </c>
      <c r="W1087" s="50"/>
    </row>
    <row r="1088" spans="2:23" x14ac:dyDescent="0.2">
      <c r="C1088" s="2" t="s">
        <v>1339</v>
      </c>
      <c r="E1088" s="2" t="s">
        <v>1338</v>
      </c>
      <c r="I1088" s="2" t="s">
        <v>209</v>
      </c>
      <c r="P1088" s="2" t="s">
        <v>210</v>
      </c>
      <c r="T1088" s="5">
        <v>2200</v>
      </c>
      <c r="V1088" s="49">
        <v>0</v>
      </c>
      <c r="W1088" s="50"/>
    </row>
    <row r="1089" spans="2:23" x14ac:dyDescent="0.2">
      <c r="B1089" s="22" t="s">
        <v>206</v>
      </c>
      <c r="E1089" s="22" t="s">
        <v>207</v>
      </c>
      <c r="S1089" s="51">
        <v>29000</v>
      </c>
      <c r="T1089" s="50"/>
      <c r="U1089" s="51">
        <v>0</v>
      </c>
      <c r="V1089" s="50"/>
      <c r="W1089" s="50"/>
    </row>
    <row r="1091" spans="2:23" x14ac:dyDescent="0.2">
      <c r="B1091" s="22" t="s">
        <v>22</v>
      </c>
      <c r="E1091" s="22" t="s">
        <v>23</v>
      </c>
    </row>
    <row r="1092" spans="2:23" x14ac:dyDescent="0.2">
      <c r="C1092" s="2" t="s">
        <v>20</v>
      </c>
      <c r="E1092" s="2" t="s">
        <v>59</v>
      </c>
      <c r="I1092" s="2" t="s">
        <v>19</v>
      </c>
      <c r="P1092" s="2" t="s">
        <v>60</v>
      </c>
      <c r="T1092" s="5">
        <v>84400</v>
      </c>
      <c r="V1092" s="49">
        <v>0</v>
      </c>
      <c r="W1092" s="50"/>
    </row>
    <row r="1093" spans="2:23" x14ac:dyDescent="0.2">
      <c r="B1093" s="22" t="s">
        <v>22</v>
      </c>
      <c r="E1093" s="22" t="s">
        <v>23</v>
      </c>
      <c r="S1093" s="51">
        <v>84400</v>
      </c>
      <c r="T1093" s="50"/>
      <c r="U1093" s="51">
        <v>0</v>
      </c>
      <c r="V1093" s="50"/>
      <c r="W1093" s="50"/>
    </row>
    <row r="1094" spans="2:23" x14ac:dyDescent="0.2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</row>
    <row r="1095" spans="2:23" x14ac:dyDescent="0.2"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52">
        <v>460493.08</v>
      </c>
      <c r="T1095" s="53"/>
      <c r="U1095" s="52">
        <v>0</v>
      </c>
      <c r="V1095" s="53"/>
      <c r="W1095" s="53"/>
    </row>
    <row r="1096" spans="2:23" x14ac:dyDescent="0.2">
      <c r="B1096" s="8"/>
      <c r="C1096" s="8"/>
      <c r="D1096" s="20" t="s">
        <v>81</v>
      </c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11">
        <v>460493.08</v>
      </c>
      <c r="S1096" s="8"/>
      <c r="T1096" s="8"/>
      <c r="U1096" s="8"/>
      <c r="V1096" s="8"/>
      <c r="W1096" s="8"/>
    </row>
    <row r="1097" spans="2:23" x14ac:dyDescent="0.2"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9"/>
      <c r="U1097" s="9"/>
      <c r="V1097" s="9"/>
      <c r="W1097" s="9"/>
    </row>
    <row r="1099" spans="2:23" ht="15" x14ac:dyDescent="0.2">
      <c r="B1099" s="4" t="s">
        <v>82</v>
      </c>
    </row>
    <row r="1101" spans="2:23" x14ac:dyDescent="0.2">
      <c r="B1101" s="22" t="s">
        <v>225</v>
      </c>
      <c r="E1101" s="22" t="s">
        <v>226</v>
      </c>
    </row>
    <row r="1102" spans="2:23" x14ac:dyDescent="0.2">
      <c r="C1102" s="2" t="s">
        <v>1342</v>
      </c>
      <c r="E1102" s="2" t="s">
        <v>1340</v>
      </c>
      <c r="I1102" s="2" t="s">
        <v>87</v>
      </c>
      <c r="L1102" s="2" t="s">
        <v>1341</v>
      </c>
      <c r="P1102" s="2" t="s">
        <v>1343</v>
      </c>
      <c r="T1102" s="5">
        <v>0</v>
      </c>
      <c r="V1102" s="49">
        <v>7500</v>
      </c>
      <c r="W1102" s="50"/>
    </row>
    <row r="1103" spans="2:23" x14ac:dyDescent="0.2">
      <c r="C1103" s="2" t="s">
        <v>203</v>
      </c>
      <c r="E1103" s="2" t="s">
        <v>1344</v>
      </c>
      <c r="I1103" s="2" t="s">
        <v>87</v>
      </c>
      <c r="L1103" s="2" t="s">
        <v>1341</v>
      </c>
      <c r="P1103" s="2" t="s">
        <v>1345</v>
      </c>
      <c r="T1103" s="5">
        <v>0</v>
      </c>
      <c r="V1103" s="49">
        <v>7500</v>
      </c>
      <c r="W1103" s="50"/>
    </row>
    <row r="1104" spans="2:23" x14ac:dyDescent="0.2">
      <c r="B1104" s="22" t="s">
        <v>225</v>
      </c>
      <c r="E1104" s="22" t="s">
        <v>226</v>
      </c>
      <c r="S1104" s="51">
        <v>0</v>
      </c>
      <c r="T1104" s="50"/>
      <c r="U1104" s="51">
        <v>15000</v>
      </c>
      <c r="V1104" s="50"/>
      <c r="W1104" s="50"/>
    </row>
    <row r="1106" spans="2:23" x14ac:dyDescent="0.2">
      <c r="B1106" s="22" t="s">
        <v>83</v>
      </c>
      <c r="E1106" s="22" t="s">
        <v>84</v>
      </c>
    </row>
    <row r="1107" spans="2:23" x14ac:dyDescent="0.2">
      <c r="C1107" s="2" t="s">
        <v>46</v>
      </c>
      <c r="E1107" s="2" t="s">
        <v>1346</v>
      </c>
      <c r="I1107" s="2" t="s">
        <v>87</v>
      </c>
      <c r="L1107" s="2" t="s">
        <v>1347</v>
      </c>
      <c r="P1107" s="2" t="s">
        <v>1348</v>
      </c>
      <c r="T1107" s="5">
        <v>0</v>
      </c>
      <c r="V1107" s="49">
        <v>33333.340000000004</v>
      </c>
      <c r="W1107" s="50"/>
    </row>
    <row r="1108" spans="2:23" x14ac:dyDescent="0.2">
      <c r="C1108" s="2" t="s">
        <v>46</v>
      </c>
      <c r="E1108" s="2" t="s">
        <v>1349</v>
      </c>
      <c r="I1108" s="2" t="s">
        <v>87</v>
      </c>
      <c r="L1108" s="2" t="s">
        <v>1350</v>
      </c>
      <c r="P1108" s="2" t="s">
        <v>1351</v>
      </c>
      <c r="T1108" s="5">
        <v>0</v>
      </c>
      <c r="V1108" s="49">
        <v>19666.669999999998</v>
      </c>
      <c r="W1108" s="50"/>
    </row>
    <row r="1109" spans="2:23" x14ac:dyDescent="0.2">
      <c r="B1109" s="22" t="s">
        <v>83</v>
      </c>
      <c r="E1109" s="22" t="s">
        <v>84</v>
      </c>
      <c r="S1109" s="51">
        <v>0</v>
      </c>
      <c r="T1109" s="50"/>
      <c r="U1109" s="51">
        <v>53000.01</v>
      </c>
      <c r="V1109" s="50"/>
      <c r="W1109" s="50"/>
    </row>
    <row r="1110" spans="2:23" x14ac:dyDescent="0.2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</row>
    <row r="1111" spans="2:23" x14ac:dyDescent="0.2"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52">
        <v>0</v>
      </c>
      <c r="T1111" s="53"/>
      <c r="U1111" s="52">
        <v>68000.009999999995</v>
      </c>
      <c r="V1111" s="53"/>
      <c r="W1111" s="53"/>
    </row>
    <row r="1112" spans="2:23" x14ac:dyDescent="0.2">
      <c r="B1112" s="8"/>
      <c r="C1112" s="8"/>
      <c r="D1112" s="20" t="s">
        <v>96</v>
      </c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11">
        <v>68000.009999999995</v>
      </c>
      <c r="S1112" s="8"/>
      <c r="T1112" s="8"/>
      <c r="U1112" s="8"/>
      <c r="V1112" s="8"/>
      <c r="W1112" s="8"/>
    </row>
    <row r="1113" spans="2:23" x14ac:dyDescent="0.2"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9"/>
      <c r="U1113" s="9"/>
      <c r="V1113" s="9"/>
      <c r="W1113" s="9"/>
    </row>
    <row r="1114" spans="2:23" x14ac:dyDescent="0.2">
      <c r="B1114" s="22" t="s">
        <v>7</v>
      </c>
      <c r="D1114" s="22" t="s">
        <v>1206</v>
      </c>
      <c r="O1114" s="20" t="s">
        <v>97</v>
      </c>
      <c r="P1114" s="8"/>
      <c r="Q1114" s="8"/>
      <c r="R1114" s="11">
        <v>-392493.07</v>
      </c>
    </row>
    <row r="1115" spans="2:23" x14ac:dyDescent="0.2">
      <c r="O1115" s="9"/>
      <c r="P1115" s="9"/>
      <c r="Q1115" s="9"/>
      <c r="R1115" s="9"/>
    </row>
    <row r="1116" spans="2:23" x14ac:dyDescent="0.2">
      <c r="B1116" s="2" t="s">
        <v>98</v>
      </c>
    </row>
    <row r="1118" spans="2:23" ht="18" x14ac:dyDescent="0.2">
      <c r="B1118" s="1" t="s">
        <v>1</v>
      </c>
      <c r="S1118" s="55" t="s">
        <v>1296</v>
      </c>
      <c r="T1118" s="50"/>
      <c r="U1118" s="50"/>
      <c r="V1118" s="50"/>
      <c r="W1118" s="50"/>
    </row>
    <row r="1119" spans="2:23" ht="12.75" thickBot="1" x14ac:dyDescent="0.25">
      <c r="B1119" s="10" t="s">
        <v>3</v>
      </c>
      <c r="C1119" s="6"/>
      <c r="D1119" s="6"/>
      <c r="E1119" s="6"/>
      <c r="F1119" s="6"/>
      <c r="G1119" s="6"/>
      <c r="H1119" s="6"/>
      <c r="I1119" s="6"/>
      <c r="J1119" s="6"/>
      <c r="K1119" s="6" t="s">
        <v>5</v>
      </c>
      <c r="L1119" s="6"/>
      <c r="M1119" s="6"/>
      <c r="N1119" s="6"/>
      <c r="O1119" s="6"/>
      <c r="P1119" s="6" t="s">
        <v>4</v>
      </c>
      <c r="Q1119" s="6" t="s">
        <v>2730</v>
      </c>
      <c r="R1119" s="6"/>
      <c r="S1119" s="56" t="s">
        <v>6</v>
      </c>
      <c r="T1119" s="57"/>
      <c r="U1119" s="57"/>
      <c r="V1119" s="57"/>
      <c r="W1119" s="57"/>
    </row>
    <row r="1120" spans="2:23" ht="12.75" thickTop="1" x14ac:dyDescent="0.2"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</row>
    <row r="1122" spans="2:23" ht="24" customHeight="1" x14ac:dyDescent="0.2">
      <c r="B1122" s="54" t="s">
        <v>0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</row>
    <row r="1123" spans="2:23" ht="18" x14ac:dyDescent="0.2">
      <c r="B1123" s="1" t="s">
        <v>1</v>
      </c>
      <c r="S1123" s="55" t="s">
        <v>1352</v>
      </c>
      <c r="T1123" s="50"/>
      <c r="U1123" s="50"/>
      <c r="V1123" s="50"/>
      <c r="W1123" s="50"/>
    </row>
    <row r="1124" spans="2:23" ht="12.75" thickBot="1" x14ac:dyDescent="0.25">
      <c r="B1124" s="10" t="s">
        <v>3</v>
      </c>
      <c r="C1124" s="6"/>
      <c r="D1124" s="6"/>
      <c r="E1124" s="6"/>
      <c r="F1124" s="6"/>
      <c r="G1124" s="6"/>
      <c r="H1124" s="6"/>
      <c r="I1124" s="6"/>
      <c r="J1124" s="6"/>
      <c r="K1124" s="6" t="s">
        <v>5</v>
      </c>
      <c r="L1124" s="6"/>
      <c r="M1124" s="6"/>
      <c r="N1124" s="6"/>
      <c r="O1124" s="6"/>
      <c r="P1124" s="6" t="s">
        <v>4</v>
      </c>
      <c r="Q1124" s="6" t="s">
        <v>2730</v>
      </c>
      <c r="R1124" s="6"/>
      <c r="S1124" s="56" t="s">
        <v>6</v>
      </c>
      <c r="T1124" s="57"/>
      <c r="U1124" s="57"/>
      <c r="V1124" s="57"/>
      <c r="W1124" s="57"/>
    </row>
    <row r="1125" spans="2:23" ht="12.75" thickTop="1" x14ac:dyDescent="0.2"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</row>
    <row r="1126" spans="2:23" ht="15.75" x14ac:dyDescent="0.2">
      <c r="B1126" s="3" t="s">
        <v>7</v>
      </c>
      <c r="F1126" s="3" t="s">
        <v>1354</v>
      </c>
    </row>
    <row r="1128" spans="2:23" x14ac:dyDescent="0.2">
      <c r="B1128" s="8"/>
      <c r="C1128" s="20" t="s">
        <v>8</v>
      </c>
      <c r="D1128" s="8"/>
      <c r="E1128" s="20" t="s">
        <v>9</v>
      </c>
      <c r="F1128" s="8"/>
      <c r="G1128" s="8"/>
      <c r="H1128" s="8"/>
      <c r="I1128" s="20" t="s">
        <v>13</v>
      </c>
      <c r="J1128" s="8"/>
      <c r="K1128" s="8"/>
      <c r="L1128" s="20" t="s">
        <v>12</v>
      </c>
      <c r="M1128" s="8"/>
      <c r="N1128" s="8"/>
      <c r="O1128" s="8"/>
      <c r="P1128" s="20" t="s">
        <v>14</v>
      </c>
      <c r="Q1128" s="8"/>
      <c r="R1128" s="8"/>
      <c r="S1128" s="8"/>
      <c r="T1128" s="21" t="s">
        <v>11</v>
      </c>
      <c r="U1128" s="8"/>
      <c r="V1128" s="58" t="s">
        <v>10</v>
      </c>
      <c r="W1128" s="59"/>
    </row>
    <row r="1129" spans="2:23" x14ac:dyDescent="0.2"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9"/>
      <c r="U1129" s="9"/>
      <c r="V1129" s="9"/>
      <c r="W1129" s="9"/>
    </row>
    <row r="1130" spans="2:23" ht="15" x14ac:dyDescent="0.2">
      <c r="B1130" s="4" t="s">
        <v>15</v>
      </c>
    </row>
    <row r="1132" spans="2:23" x14ac:dyDescent="0.2">
      <c r="B1132" s="22" t="s">
        <v>178</v>
      </c>
      <c r="E1132" s="22" t="s">
        <v>179</v>
      </c>
    </row>
    <row r="1133" spans="2:23" x14ac:dyDescent="0.2">
      <c r="C1133" s="2" t="s">
        <v>507</v>
      </c>
      <c r="E1133" s="2" t="s">
        <v>1355</v>
      </c>
      <c r="I1133" s="2" t="s">
        <v>19</v>
      </c>
      <c r="P1133" s="2" t="s">
        <v>1356</v>
      </c>
      <c r="T1133" s="5">
        <v>4286</v>
      </c>
      <c r="V1133" s="49">
        <v>0</v>
      </c>
      <c r="W1133" s="50"/>
    </row>
    <row r="1134" spans="2:23" x14ac:dyDescent="0.2">
      <c r="C1134" s="2" t="s">
        <v>1358</v>
      </c>
      <c r="E1134" s="2" t="s">
        <v>1357</v>
      </c>
      <c r="I1134" s="2" t="s">
        <v>19</v>
      </c>
      <c r="P1134" s="2" t="s">
        <v>1359</v>
      </c>
      <c r="T1134" s="5">
        <v>2850</v>
      </c>
      <c r="V1134" s="49">
        <v>0</v>
      </c>
      <c r="W1134" s="50"/>
    </row>
    <row r="1135" spans="2:23" x14ac:dyDescent="0.2">
      <c r="B1135" s="22" t="s">
        <v>178</v>
      </c>
      <c r="E1135" s="22" t="s">
        <v>179</v>
      </c>
      <c r="S1135" s="51">
        <v>7136</v>
      </c>
      <c r="T1135" s="50"/>
      <c r="U1135" s="51">
        <v>0</v>
      </c>
      <c r="V1135" s="50"/>
      <c r="W1135" s="50"/>
    </row>
    <row r="1136" spans="2:23" x14ac:dyDescent="0.2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</row>
    <row r="1137" spans="2:23" x14ac:dyDescent="0.2"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52">
        <v>7136</v>
      </c>
      <c r="T1137" s="53"/>
      <c r="U1137" s="52">
        <v>0</v>
      </c>
      <c r="V1137" s="53"/>
      <c r="W1137" s="53"/>
    </row>
    <row r="1138" spans="2:23" x14ac:dyDescent="0.2">
      <c r="B1138" s="8"/>
      <c r="C1138" s="8"/>
      <c r="D1138" s="20" t="s">
        <v>81</v>
      </c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11">
        <v>7136</v>
      </c>
      <c r="S1138" s="8"/>
      <c r="T1138" s="8"/>
      <c r="U1138" s="8"/>
      <c r="V1138" s="8"/>
      <c r="W1138" s="8"/>
    </row>
    <row r="1139" spans="2:23" x14ac:dyDescent="0.2"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9"/>
      <c r="U1139" s="9"/>
      <c r="V1139" s="9"/>
      <c r="W1139" s="9"/>
    </row>
    <row r="1141" spans="2:23" ht="15" x14ac:dyDescent="0.2">
      <c r="B1141" s="4" t="s">
        <v>82</v>
      </c>
    </row>
    <row r="1143" spans="2:23" x14ac:dyDescent="0.2">
      <c r="B1143" s="22" t="s">
        <v>89</v>
      </c>
      <c r="E1143" s="22" t="s">
        <v>90</v>
      </c>
    </row>
    <row r="1144" spans="2:23" x14ac:dyDescent="0.2">
      <c r="C1144" s="2" t="s">
        <v>544</v>
      </c>
      <c r="E1144" s="2" t="s">
        <v>1360</v>
      </c>
      <c r="I1144" s="2" t="s">
        <v>64</v>
      </c>
      <c r="P1144" s="2" t="s">
        <v>1361</v>
      </c>
      <c r="T1144" s="5">
        <v>0</v>
      </c>
      <c r="V1144" s="49">
        <v>9000</v>
      </c>
      <c r="W1144" s="50"/>
    </row>
    <row r="1145" spans="2:23" x14ac:dyDescent="0.2">
      <c r="C1145" s="2" t="s">
        <v>49</v>
      </c>
      <c r="E1145" s="2" t="s">
        <v>91</v>
      </c>
      <c r="I1145" s="2" t="s">
        <v>19</v>
      </c>
      <c r="P1145" s="2" t="s">
        <v>93</v>
      </c>
      <c r="T1145" s="5">
        <v>0</v>
      </c>
      <c r="V1145" s="49">
        <v>8307.19</v>
      </c>
      <c r="W1145" s="50"/>
    </row>
    <row r="1146" spans="2:23" x14ac:dyDescent="0.2">
      <c r="C1146" s="2" t="s">
        <v>293</v>
      </c>
      <c r="E1146" s="2" t="s">
        <v>1362</v>
      </c>
      <c r="I1146" s="2" t="s">
        <v>64</v>
      </c>
      <c r="P1146" s="2" t="s">
        <v>1363</v>
      </c>
      <c r="T1146" s="5">
        <v>0</v>
      </c>
      <c r="V1146" s="49">
        <v>32500</v>
      </c>
      <c r="W1146" s="50"/>
    </row>
    <row r="1147" spans="2:23" x14ac:dyDescent="0.2">
      <c r="C1147" s="2" t="s">
        <v>20</v>
      </c>
      <c r="E1147" s="2" t="s">
        <v>338</v>
      </c>
      <c r="I1147" s="2" t="s">
        <v>19</v>
      </c>
      <c r="P1147" s="2" t="s">
        <v>339</v>
      </c>
      <c r="T1147" s="5">
        <v>0</v>
      </c>
      <c r="V1147" s="49">
        <v>-8408.5</v>
      </c>
      <c r="W1147" s="50"/>
    </row>
    <row r="1148" spans="2:23" x14ac:dyDescent="0.2">
      <c r="B1148" s="22" t="s">
        <v>89</v>
      </c>
      <c r="E1148" s="22" t="s">
        <v>90</v>
      </c>
      <c r="S1148" s="51">
        <v>0</v>
      </c>
      <c r="T1148" s="50"/>
      <c r="U1148" s="51">
        <v>41398.689999999995</v>
      </c>
      <c r="V1148" s="50"/>
      <c r="W1148" s="50"/>
    </row>
    <row r="1149" spans="2:23" x14ac:dyDescent="0.2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</row>
    <row r="1150" spans="2:23" x14ac:dyDescent="0.2"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52">
        <v>0</v>
      </c>
      <c r="T1150" s="53"/>
      <c r="U1150" s="52">
        <v>41398.689999999995</v>
      </c>
      <c r="V1150" s="53"/>
      <c r="W1150" s="53"/>
    </row>
    <row r="1151" spans="2:23" x14ac:dyDescent="0.2">
      <c r="B1151" s="8"/>
      <c r="C1151" s="8"/>
      <c r="D1151" s="20" t="s">
        <v>96</v>
      </c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11">
        <v>41398.689999999995</v>
      </c>
      <c r="S1151" s="8"/>
      <c r="T1151" s="8"/>
      <c r="U1151" s="8"/>
      <c r="V1151" s="8"/>
      <c r="W1151" s="8"/>
    </row>
    <row r="1152" spans="2:23" x14ac:dyDescent="0.2"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9"/>
      <c r="U1152" s="9"/>
      <c r="V1152" s="9"/>
      <c r="W1152" s="9"/>
    </row>
    <row r="1153" spans="2:23" x14ac:dyDescent="0.2">
      <c r="B1153" s="22" t="s">
        <v>7</v>
      </c>
      <c r="D1153" s="22" t="s">
        <v>1354</v>
      </c>
      <c r="O1153" s="20" t="s">
        <v>97</v>
      </c>
      <c r="P1153" s="8"/>
      <c r="Q1153" s="8"/>
      <c r="R1153" s="11">
        <v>34262.689999999995</v>
      </c>
    </row>
    <row r="1154" spans="2:23" x14ac:dyDescent="0.2">
      <c r="O1154" s="9"/>
      <c r="P1154" s="9"/>
      <c r="Q1154" s="9"/>
      <c r="R1154" s="9"/>
    </row>
    <row r="1155" spans="2:23" x14ac:dyDescent="0.2">
      <c r="B1155" s="2" t="s">
        <v>98</v>
      </c>
    </row>
    <row r="1157" spans="2:23" ht="24" customHeight="1" x14ac:dyDescent="0.2">
      <c r="B1157" s="54" t="s">
        <v>0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</row>
    <row r="1158" spans="2:23" ht="18" x14ac:dyDescent="0.2">
      <c r="B1158" s="1" t="s">
        <v>1</v>
      </c>
      <c r="S1158" s="55" t="s">
        <v>1353</v>
      </c>
      <c r="T1158" s="50"/>
      <c r="U1158" s="50"/>
      <c r="V1158" s="50"/>
      <c r="W1158" s="50"/>
    </row>
    <row r="1159" spans="2:23" ht="12.75" thickBot="1" x14ac:dyDescent="0.25">
      <c r="B1159" s="10" t="s">
        <v>3</v>
      </c>
      <c r="C1159" s="6"/>
      <c r="D1159" s="6"/>
      <c r="E1159" s="6"/>
      <c r="F1159" s="6"/>
      <c r="G1159" s="6"/>
      <c r="H1159" s="6"/>
      <c r="I1159" s="6"/>
      <c r="J1159" s="6"/>
      <c r="K1159" s="6" t="s">
        <v>5</v>
      </c>
      <c r="L1159" s="6"/>
      <c r="M1159" s="6"/>
      <c r="N1159" s="6"/>
      <c r="O1159" s="6"/>
      <c r="P1159" s="6" t="s">
        <v>4</v>
      </c>
      <c r="Q1159" s="6" t="s">
        <v>2730</v>
      </c>
      <c r="R1159" s="6"/>
      <c r="S1159" s="56" t="s">
        <v>6</v>
      </c>
      <c r="T1159" s="57"/>
      <c r="U1159" s="57"/>
      <c r="V1159" s="57"/>
      <c r="W1159" s="57"/>
    </row>
    <row r="1160" spans="2:23" ht="12.75" thickTop="1" x14ac:dyDescent="0.2"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</row>
    <row r="1161" spans="2:23" ht="15.75" x14ac:dyDescent="0.2">
      <c r="B1161" s="3" t="s">
        <v>7</v>
      </c>
      <c r="F1161" s="3" t="s">
        <v>1365</v>
      </c>
    </row>
    <row r="1163" spans="2:23" x14ac:dyDescent="0.2">
      <c r="B1163" s="8"/>
      <c r="C1163" s="20" t="s">
        <v>8</v>
      </c>
      <c r="D1163" s="8"/>
      <c r="E1163" s="20" t="s">
        <v>9</v>
      </c>
      <c r="F1163" s="8"/>
      <c r="G1163" s="8"/>
      <c r="H1163" s="8"/>
      <c r="I1163" s="20" t="s">
        <v>13</v>
      </c>
      <c r="J1163" s="8"/>
      <c r="K1163" s="8"/>
      <c r="L1163" s="20" t="s">
        <v>12</v>
      </c>
      <c r="M1163" s="8"/>
      <c r="N1163" s="8"/>
      <c r="O1163" s="8"/>
      <c r="P1163" s="20" t="s">
        <v>14</v>
      </c>
      <c r="Q1163" s="8"/>
      <c r="R1163" s="8"/>
      <c r="S1163" s="8"/>
      <c r="T1163" s="21" t="s">
        <v>11</v>
      </c>
      <c r="U1163" s="8"/>
      <c r="V1163" s="58" t="s">
        <v>10</v>
      </c>
      <c r="W1163" s="59"/>
    </row>
    <row r="1164" spans="2:23" x14ac:dyDescent="0.2"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9"/>
      <c r="U1164" s="9"/>
      <c r="V1164" s="9"/>
      <c r="W1164" s="9"/>
    </row>
    <row r="1165" spans="2:23" ht="15" x14ac:dyDescent="0.2">
      <c r="B1165" s="4" t="s">
        <v>15</v>
      </c>
    </row>
    <row r="1167" spans="2:23" x14ac:dyDescent="0.2">
      <c r="B1167" s="22" t="s">
        <v>102</v>
      </c>
      <c r="E1167" s="22" t="s">
        <v>103</v>
      </c>
    </row>
    <row r="1168" spans="2:23" x14ac:dyDescent="0.2">
      <c r="C1168" s="2" t="s">
        <v>1367</v>
      </c>
      <c r="E1168" s="2" t="s">
        <v>1366</v>
      </c>
      <c r="I1168" s="2" t="s">
        <v>209</v>
      </c>
      <c r="P1168" s="2" t="s">
        <v>1368</v>
      </c>
      <c r="T1168" s="5">
        <v>5178</v>
      </c>
      <c r="V1168" s="49">
        <v>0</v>
      </c>
      <c r="W1168" s="50"/>
    </row>
    <row r="1169" spans="2:23" x14ac:dyDescent="0.2">
      <c r="C1169" s="2" t="s">
        <v>1367</v>
      </c>
      <c r="E1169" s="2" t="s">
        <v>1369</v>
      </c>
      <c r="I1169" s="2" t="s">
        <v>209</v>
      </c>
      <c r="P1169" s="2" t="s">
        <v>1368</v>
      </c>
      <c r="T1169" s="5">
        <v>6072</v>
      </c>
      <c r="V1169" s="49">
        <v>0</v>
      </c>
      <c r="W1169" s="50"/>
    </row>
    <row r="1170" spans="2:23" x14ac:dyDescent="0.2">
      <c r="C1170" s="2" t="s">
        <v>1048</v>
      </c>
      <c r="E1170" s="2" t="s">
        <v>1370</v>
      </c>
      <c r="I1170" s="2" t="s">
        <v>209</v>
      </c>
      <c r="P1170" s="2" t="s">
        <v>1368</v>
      </c>
      <c r="T1170" s="5">
        <v>9972</v>
      </c>
      <c r="V1170" s="49">
        <v>0</v>
      </c>
      <c r="W1170" s="50"/>
    </row>
    <row r="1171" spans="2:23" x14ac:dyDescent="0.2">
      <c r="C1171" s="2" t="s">
        <v>1048</v>
      </c>
      <c r="E1171" s="2" t="s">
        <v>1371</v>
      </c>
      <c r="I1171" s="2" t="s">
        <v>209</v>
      </c>
      <c r="P1171" s="2" t="s">
        <v>1368</v>
      </c>
      <c r="T1171" s="5">
        <v>3324</v>
      </c>
      <c r="V1171" s="49">
        <v>0</v>
      </c>
      <c r="W1171" s="50"/>
    </row>
    <row r="1172" spans="2:23" x14ac:dyDescent="0.2">
      <c r="C1172" s="2" t="s">
        <v>293</v>
      </c>
      <c r="E1172" s="2" t="s">
        <v>1372</v>
      </c>
      <c r="I1172" s="2" t="s">
        <v>209</v>
      </c>
      <c r="P1172" s="2" t="s">
        <v>964</v>
      </c>
      <c r="T1172" s="5">
        <v>8970</v>
      </c>
      <c r="V1172" s="49">
        <v>0</v>
      </c>
      <c r="W1172" s="50"/>
    </row>
    <row r="1173" spans="2:23" x14ac:dyDescent="0.2">
      <c r="C1173" s="2" t="s">
        <v>318</v>
      </c>
      <c r="E1173" s="2" t="s">
        <v>1373</v>
      </c>
      <c r="I1173" s="2" t="s">
        <v>209</v>
      </c>
      <c r="P1173" s="2" t="s">
        <v>964</v>
      </c>
      <c r="T1173" s="5">
        <v>6900</v>
      </c>
      <c r="V1173" s="49">
        <v>0</v>
      </c>
      <c r="W1173" s="50"/>
    </row>
    <row r="1174" spans="2:23" x14ac:dyDescent="0.2">
      <c r="C1174" s="2" t="s">
        <v>318</v>
      </c>
      <c r="E1174" s="2" t="s">
        <v>1374</v>
      </c>
      <c r="I1174" s="2" t="s">
        <v>209</v>
      </c>
      <c r="P1174" s="2" t="s">
        <v>964</v>
      </c>
      <c r="T1174" s="5">
        <v>3792</v>
      </c>
      <c r="V1174" s="49">
        <v>0</v>
      </c>
      <c r="W1174" s="50"/>
    </row>
    <row r="1175" spans="2:23" x14ac:dyDescent="0.2">
      <c r="C1175" s="2" t="s">
        <v>1203</v>
      </c>
      <c r="E1175" s="2" t="s">
        <v>1375</v>
      </c>
      <c r="I1175" s="2" t="s">
        <v>209</v>
      </c>
      <c r="P1175" s="2" t="s">
        <v>964</v>
      </c>
      <c r="T1175" s="5">
        <v>6720</v>
      </c>
      <c r="V1175" s="49">
        <v>0</v>
      </c>
      <c r="W1175" s="50"/>
    </row>
    <row r="1176" spans="2:23" x14ac:dyDescent="0.2">
      <c r="B1176" s="22" t="s">
        <v>102</v>
      </c>
      <c r="E1176" s="22" t="s">
        <v>103</v>
      </c>
      <c r="S1176" s="51">
        <v>50928</v>
      </c>
      <c r="T1176" s="50"/>
      <c r="U1176" s="51">
        <v>0</v>
      </c>
      <c r="V1176" s="50"/>
      <c r="W1176" s="50"/>
    </row>
    <row r="1178" spans="2:23" x14ac:dyDescent="0.2">
      <c r="B1178" s="22" t="s">
        <v>1376</v>
      </c>
      <c r="E1178" s="22" t="s">
        <v>1377</v>
      </c>
    </row>
    <row r="1179" spans="2:23" x14ac:dyDescent="0.2">
      <c r="C1179" s="2" t="s">
        <v>1367</v>
      </c>
      <c r="E1179" s="2" t="s">
        <v>1378</v>
      </c>
      <c r="I1179" s="2" t="s">
        <v>209</v>
      </c>
      <c r="P1179" s="2" t="s">
        <v>1379</v>
      </c>
      <c r="T1179" s="5">
        <v>4370</v>
      </c>
      <c r="V1179" s="49">
        <v>0</v>
      </c>
      <c r="W1179" s="50"/>
    </row>
    <row r="1180" spans="2:23" x14ac:dyDescent="0.2">
      <c r="B1180" s="22" t="s">
        <v>1376</v>
      </c>
      <c r="E1180" s="22" t="s">
        <v>1377</v>
      </c>
      <c r="S1180" s="51">
        <v>4370</v>
      </c>
      <c r="T1180" s="50"/>
      <c r="U1180" s="51">
        <v>0</v>
      </c>
      <c r="V1180" s="50"/>
      <c r="W1180" s="50"/>
    </row>
    <row r="1182" spans="2:23" x14ac:dyDescent="0.2">
      <c r="B1182" s="22" t="s">
        <v>109</v>
      </c>
      <c r="E1182" s="22" t="s">
        <v>110</v>
      </c>
    </row>
    <row r="1183" spans="2:23" x14ac:dyDescent="0.2">
      <c r="C1183" s="2" t="s">
        <v>52</v>
      </c>
      <c r="E1183" s="2" t="s">
        <v>1380</v>
      </c>
      <c r="I1183" s="2" t="s">
        <v>106</v>
      </c>
      <c r="L1183" s="2" t="s">
        <v>1381</v>
      </c>
      <c r="P1183" s="2" t="s">
        <v>1382</v>
      </c>
      <c r="T1183" s="5">
        <v>5000</v>
      </c>
      <c r="V1183" s="49">
        <v>0</v>
      </c>
      <c r="W1183" s="50"/>
    </row>
    <row r="1184" spans="2:23" x14ac:dyDescent="0.2">
      <c r="C1184" s="2" t="s">
        <v>55</v>
      </c>
      <c r="E1184" s="2" t="s">
        <v>1383</v>
      </c>
      <c r="I1184" s="2" t="s">
        <v>106</v>
      </c>
      <c r="L1184" s="2" t="s">
        <v>1381</v>
      </c>
      <c r="P1184" s="2" t="s">
        <v>1384</v>
      </c>
      <c r="T1184" s="5">
        <v>5000</v>
      </c>
      <c r="V1184" s="49">
        <v>0</v>
      </c>
      <c r="W1184" s="50"/>
    </row>
    <row r="1185" spans="2:23" x14ac:dyDescent="0.2">
      <c r="C1185" s="2" t="s">
        <v>20</v>
      </c>
      <c r="E1185" s="2" t="s">
        <v>1385</v>
      </c>
      <c r="I1185" s="2" t="s">
        <v>106</v>
      </c>
      <c r="L1185" s="2" t="s">
        <v>1381</v>
      </c>
      <c r="P1185" s="2" t="s">
        <v>1386</v>
      </c>
      <c r="T1185" s="5">
        <v>5000</v>
      </c>
      <c r="V1185" s="49">
        <v>0</v>
      </c>
      <c r="W1185" s="50"/>
    </row>
    <row r="1186" spans="2:23" x14ac:dyDescent="0.2">
      <c r="B1186" s="22" t="s">
        <v>109</v>
      </c>
      <c r="E1186" s="22" t="s">
        <v>110</v>
      </c>
      <c r="S1186" s="51">
        <v>15000</v>
      </c>
      <c r="T1186" s="50"/>
      <c r="U1186" s="51">
        <v>0</v>
      </c>
      <c r="V1186" s="50"/>
      <c r="W1186" s="50"/>
    </row>
    <row r="1188" spans="2:23" x14ac:dyDescent="0.2">
      <c r="B1188" s="22" t="s">
        <v>16</v>
      </c>
      <c r="E1188" s="22" t="s">
        <v>17</v>
      </c>
    </row>
    <row r="1189" spans="2:23" x14ac:dyDescent="0.2">
      <c r="C1189" s="2" t="s">
        <v>611</v>
      </c>
      <c r="E1189" s="2" t="s">
        <v>1387</v>
      </c>
      <c r="I1189" s="2" t="s">
        <v>106</v>
      </c>
      <c r="L1189" s="2" t="s">
        <v>1388</v>
      </c>
      <c r="P1189" s="2" t="s">
        <v>1389</v>
      </c>
      <c r="T1189" s="5">
        <v>3500</v>
      </c>
      <c r="V1189" s="49">
        <v>0</v>
      </c>
      <c r="W1189" s="50"/>
    </row>
    <row r="1190" spans="2:23" x14ac:dyDescent="0.2">
      <c r="C1190" s="2" t="s">
        <v>31</v>
      </c>
      <c r="E1190" s="2" t="s">
        <v>1390</v>
      </c>
      <c r="I1190" s="2" t="s">
        <v>106</v>
      </c>
      <c r="L1190" s="2" t="s">
        <v>1391</v>
      </c>
      <c r="P1190" s="2" t="s">
        <v>1392</v>
      </c>
      <c r="T1190" s="5">
        <v>6600</v>
      </c>
      <c r="V1190" s="49">
        <v>0</v>
      </c>
      <c r="W1190" s="50"/>
    </row>
    <row r="1191" spans="2:23" x14ac:dyDescent="0.2">
      <c r="C1191" s="2" t="s">
        <v>1393</v>
      </c>
      <c r="E1191" s="2" t="s">
        <v>1275</v>
      </c>
      <c r="I1191" s="2" t="s">
        <v>106</v>
      </c>
      <c r="L1191" s="2" t="s">
        <v>1391</v>
      </c>
      <c r="P1191" s="2" t="s">
        <v>1392</v>
      </c>
      <c r="T1191" s="5">
        <v>9100</v>
      </c>
      <c r="V1191" s="49">
        <v>0</v>
      </c>
      <c r="W1191" s="50"/>
    </row>
    <row r="1192" spans="2:23" x14ac:dyDescent="0.2">
      <c r="C1192" s="2" t="s">
        <v>20</v>
      </c>
      <c r="E1192" s="2" t="s">
        <v>18</v>
      </c>
      <c r="I1192" s="2" t="s">
        <v>19</v>
      </c>
      <c r="P1192" s="2" t="s">
        <v>21</v>
      </c>
      <c r="T1192" s="5">
        <v>73229.170000000013</v>
      </c>
      <c r="V1192" s="49">
        <v>0</v>
      </c>
      <c r="W1192" s="50"/>
    </row>
    <row r="1193" spans="2:23" x14ac:dyDescent="0.2">
      <c r="B1193" s="22" t="s">
        <v>16</v>
      </c>
      <c r="E1193" s="22" t="s">
        <v>17</v>
      </c>
      <c r="S1193" s="51">
        <v>92429.170000000013</v>
      </c>
      <c r="T1193" s="50"/>
      <c r="U1193" s="51">
        <v>0</v>
      </c>
      <c r="V1193" s="50"/>
      <c r="W1193" s="50"/>
    </row>
    <row r="1195" spans="2:23" x14ac:dyDescent="0.2">
      <c r="B1195" s="22" t="s">
        <v>153</v>
      </c>
      <c r="E1195" s="22" t="s">
        <v>154</v>
      </c>
    </row>
    <row r="1196" spans="2:23" x14ac:dyDescent="0.2">
      <c r="C1196" s="2" t="s">
        <v>196</v>
      </c>
      <c r="E1196" s="2" t="s">
        <v>1394</v>
      </c>
      <c r="I1196" s="2" t="s">
        <v>106</v>
      </c>
      <c r="L1196" s="2" t="s">
        <v>973</v>
      </c>
      <c r="P1196" s="2" t="s">
        <v>1395</v>
      </c>
      <c r="T1196" s="5">
        <v>22500</v>
      </c>
      <c r="V1196" s="49">
        <v>0</v>
      </c>
      <c r="W1196" s="50"/>
    </row>
    <row r="1197" spans="2:23" x14ac:dyDescent="0.2">
      <c r="C1197" s="2" t="s">
        <v>1323</v>
      </c>
      <c r="E1197" s="2" t="s">
        <v>1396</v>
      </c>
      <c r="I1197" s="2" t="s">
        <v>106</v>
      </c>
      <c r="L1197" s="2" t="s">
        <v>973</v>
      </c>
      <c r="P1197" s="2" t="s">
        <v>1395</v>
      </c>
      <c r="T1197" s="5">
        <v>17400</v>
      </c>
      <c r="V1197" s="49">
        <v>0</v>
      </c>
      <c r="W1197" s="50"/>
    </row>
    <row r="1198" spans="2:23" x14ac:dyDescent="0.2">
      <c r="B1198" s="22" t="s">
        <v>153</v>
      </c>
      <c r="E1198" s="22" t="s">
        <v>154</v>
      </c>
      <c r="S1198" s="51">
        <v>39900</v>
      </c>
      <c r="T1198" s="50"/>
      <c r="U1198" s="51">
        <v>0</v>
      </c>
      <c r="V1198" s="50"/>
      <c r="W1198" s="50"/>
    </row>
    <row r="1200" spans="2:23" x14ac:dyDescent="0.2">
      <c r="B1200" s="22" t="s">
        <v>161</v>
      </c>
      <c r="E1200" s="22" t="s">
        <v>162</v>
      </c>
    </row>
    <row r="1201" spans="2:23" x14ac:dyDescent="0.2">
      <c r="C1201" s="2" t="s">
        <v>1399</v>
      </c>
      <c r="E1201" s="2" t="s">
        <v>1397</v>
      </c>
      <c r="I1201" s="2" t="s">
        <v>106</v>
      </c>
      <c r="L1201" s="2" t="s">
        <v>1398</v>
      </c>
      <c r="P1201" s="2" t="s">
        <v>1400</v>
      </c>
      <c r="T1201" s="5">
        <v>3000</v>
      </c>
      <c r="V1201" s="49">
        <v>0</v>
      </c>
      <c r="W1201" s="50"/>
    </row>
    <row r="1202" spans="2:23" x14ac:dyDescent="0.2">
      <c r="B1202" s="22" t="s">
        <v>161</v>
      </c>
      <c r="E1202" s="22" t="s">
        <v>162</v>
      </c>
      <c r="S1202" s="51">
        <v>3000</v>
      </c>
      <c r="T1202" s="50"/>
      <c r="U1202" s="51">
        <v>0</v>
      </c>
      <c r="V1202" s="50"/>
      <c r="W1202" s="50"/>
    </row>
    <row r="1204" spans="2:23" x14ac:dyDescent="0.2">
      <c r="B1204" s="22" t="s">
        <v>178</v>
      </c>
      <c r="E1204" s="22" t="s">
        <v>179</v>
      </c>
    </row>
    <row r="1205" spans="2:23" x14ac:dyDescent="0.2">
      <c r="C1205" s="2" t="s">
        <v>391</v>
      </c>
      <c r="E1205" s="2" t="s">
        <v>1401</v>
      </c>
      <c r="I1205" s="2" t="s">
        <v>19</v>
      </c>
      <c r="P1205" s="2" t="s">
        <v>1402</v>
      </c>
      <c r="T1205" s="5">
        <v>1985</v>
      </c>
      <c r="V1205" s="49">
        <v>0</v>
      </c>
      <c r="W1205" s="50"/>
    </row>
    <row r="1206" spans="2:23" x14ac:dyDescent="0.2">
      <c r="C1206" s="2" t="s">
        <v>391</v>
      </c>
      <c r="E1206" s="2" t="s">
        <v>1403</v>
      </c>
      <c r="I1206" s="2" t="s">
        <v>19</v>
      </c>
      <c r="P1206" s="2" t="s">
        <v>1402</v>
      </c>
      <c r="T1206" s="5">
        <v>1450</v>
      </c>
      <c r="V1206" s="49">
        <v>0</v>
      </c>
      <c r="W1206" s="50"/>
    </row>
    <row r="1207" spans="2:23" x14ac:dyDescent="0.2">
      <c r="C1207" s="2" t="s">
        <v>1310</v>
      </c>
      <c r="E1207" s="2" t="s">
        <v>1404</v>
      </c>
      <c r="I1207" s="2" t="s">
        <v>19</v>
      </c>
      <c r="P1207" s="2" t="s">
        <v>1402</v>
      </c>
      <c r="T1207" s="5">
        <v>1540</v>
      </c>
      <c r="V1207" s="49">
        <v>0</v>
      </c>
      <c r="W1207" s="50"/>
    </row>
    <row r="1208" spans="2:23" x14ac:dyDescent="0.2">
      <c r="C1208" s="2" t="s">
        <v>1406</v>
      </c>
      <c r="E1208" s="2" t="s">
        <v>1405</v>
      </c>
      <c r="I1208" s="2" t="s">
        <v>19</v>
      </c>
      <c r="P1208" s="2" t="s">
        <v>1402</v>
      </c>
      <c r="T1208" s="5">
        <v>1270</v>
      </c>
      <c r="V1208" s="49">
        <v>0</v>
      </c>
      <c r="W1208" s="50"/>
    </row>
    <row r="1209" spans="2:23" x14ac:dyDescent="0.2">
      <c r="C1209" s="2" t="s">
        <v>214</v>
      </c>
      <c r="E1209" s="2" t="s">
        <v>1407</v>
      </c>
      <c r="I1209" s="2" t="s">
        <v>19</v>
      </c>
      <c r="P1209" s="2" t="s">
        <v>1402</v>
      </c>
      <c r="T1209" s="5">
        <v>1891</v>
      </c>
      <c r="V1209" s="49">
        <v>0</v>
      </c>
      <c r="W1209" s="50"/>
    </row>
    <row r="1210" spans="2:23" x14ac:dyDescent="0.2">
      <c r="C1210" s="2" t="s">
        <v>186</v>
      </c>
      <c r="E1210" s="2" t="s">
        <v>1408</v>
      </c>
      <c r="I1210" s="2" t="s">
        <v>19</v>
      </c>
      <c r="P1210" s="2" t="s">
        <v>1409</v>
      </c>
      <c r="T1210" s="5">
        <v>1875</v>
      </c>
      <c r="V1210" s="49">
        <v>0</v>
      </c>
      <c r="W1210" s="50"/>
    </row>
    <row r="1211" spans="2:23" x14ac:dyDescent="0.2">
      <c r="C1211" s="2" t="s">
        <v>486</v>
      </c>
      <c r="E1211" s="2" t="s">
        <v>1410</v>
      </c>
      <c r="I1211" s="2" t="s">
        <v>19</v>
      </c>
      <c r="P1211" s="2" t="s">
        <v>1402</v>
      </c>
      <c r="T1211" s="5">
        <v>2280</v>
      </c>
      <c r="V1211" s="49">
        <v>0</v>
      </c>
      <c r="W1211" s="50"/>
    </row>
    <row r="1212" spans="2:23" x14ac:dyDescent="0.2">
      <c r="C1212" s="2" t="s">
        <v>1412</v>
      </c>
      <c r="E1212" s="2" t="s">
        <v>1411</v>
      </c>
      <c r="I1212" s="2" t="s">
        <v>19</v>
      </c>
      <c r="P1212" s="2" t="s">
        <v>1402</v>
      </c>
      <c r="T1212" s="5">
        <v>1425</v>
      </c>
      <c r="V1212" s="49">
        <v>0</v>
      </c>
      <c r="W1212" s="50"/>
    </row>
    <row r="1213" spans="2:23" x14ac:dyDescent="0.2">
      <c r="C1213" s="2" t="s">
        <v>343</v>
      </c>
      <c r="E1213" s="2" t="s">
        <v>1413</v>
      </c>
      <c r="I1213" s="2" t="s">
        <v>19</v>
      </c>
      <c r="P1213" s="2" t="s">
        <v>1402</v>
      </c>
      <c r="T1213" s="5">
        <v>1650</v>
      </c>
      <c r="V1213" s="49">
        <v>0</v>
      </c>
      <c r="W1213" s="50"/>
    </row>
    <row r="1214" spans="2:23" x14ac:dyDescent="0.2">
      <c r="C1214" s="2" t="s">
        <v>1236</v>
      </c>
      <c r="E1214" s="2" t="s">
        <v>1414</v>
      </c>
      <c r="I1214" s="2" t="s">
        <v>19</v>
      </c>
      <c r="P1214" s="2" t="s">
        <v>1402</v>
      </c>
      <c r="T1214" s="5">
        <v>2055</v>
      </c>
      <c r="V1214" s="49">
        <v>0</v>
      </c>
      <c r="W1214" s="50"/>
    </row>
    <row r="1215" spans="2:23" x14ac:dyDescent="0.2">
      <c r="C1215" s="2" t="s">
        <v>1416</v>
      </c>
      <c r="E1215" s="2" t="s">
        <v>1415</v>
      </c>
      <c r="I1215" s="2" t="s">
        <v>19</v>
      </c>
      <c r="P1215" s="2" t="s">
        <v>1402</v>
      </c>
      <c r="T1215" s="5">
        <v>1432</v>
      </c>
      <c r="V1215" s="49">
        <v>0</v>
      </c>
      <c r="W1215" s="50"/>
    </row>
    <row r="1216" spans="2:23" x14ac:dyDescent="0.2">
      <c r="C1216" s="2" t="s">
        <v>49</v>
      </c>
      <c r="E1216" s="2" t="s">
        <v>1417</v>
      </c>
      <c r="I1216" s="2" t="s">
        <v>19</v>
      </c>
      <c r="P1216" s="2" t="s">
        <v>377</v>
      </c>
      <c r="T1216" s="5">
        <v>1315</v>
      </c>
      <c r="V1216" s="49">
        <v>0</v>
      </c>
      <c r="W1216" s="50"/>
    </row>
    <row r="1217" spans="2:23" x14ac:dyDescent="0.2">
      <c r="C1217" s="2" t="s">
        <v>980</v>
      </c>
      <c r="E1217" s="2" t="s">
        <v>1418</v>
      </c>
      <c r="I1217" s="2" t="s">
        <v>19</v>
      </c>
      <c r="P1217" s="2" t="s">
        <v>1402</v>
      </c>
      <c r="T1217" s="5">
        <v>1544</v>
      </c>
      <c r="V1217" s="49">
        <v>0</v>
      </c>
      <c r="W1217" s="50"/>
    </row>
    <row r="1218" spans="2:23" x14ac:dyDescent="0.2">
      <c r="C1218" s="2" t="s">
        <v>742</v>
      </c>
      <c r="E1218" s="2" t="s">
        <v>1419</v>
      </c>
      <c r="I1218" s="2" t="s">
        <v>19</v>
      </c>
      <c r="P1218" s="2" t="s">
        <v>1402</v>
      </c>
      <c r="T1218" s="5">
        <v>1437</v>
      </c>
      <c r="V1218" s="49">
        <v>0</v>
      </c>
      <c r="W1218" s="50"/>
    </row>
    <row r="1219" spans="2:23" x14ac:dyDescent="0.2">
      <c r="C1219" s="2" t="s">
        <v>492</v>
      </c>
      <c r="E1219" s="2" t="s">
        <v>1420</v>
      </c>
      <c r="I1219" s="2" t="s">
        <v>19</v>
      </c>
      <c r="P1219" s="2" t="s">
        <v>1402</v>
      </c>
      <c r="T1219" s="5">
        <v>1000</v>
      </c>
      <c r="V1219" s="49">
        <v>0</v>
      </c>
      <c r="W1219" s="50"/>
    </row>
    <row r="1220" spans="2:23" x14ac:dyDescent="0.2">
      <c r="C1220" s="2" t="s">
        <v>1422</v>
      </c>
      <c r="E1220" s="2" t="s">
        <v>1421</v>
      </c>
      <c r="I1220" s="2" t="s">
        <v>19</v>
      </c>
      <c r="P1220" s="2" t="s">
        <v>1402</v>
      </c>
      <c r="T1220" s="5">
        <v>1490</v>
      </c>
      <c r="V1220" s="49">
        <v>0</v>
      </c>
      <c r="W1220" s="50"/>
    </row>
    <row r="1221" spans="2:23" x14ac:dyDescent="0.2">
      <c r="C1221" s="2" t="s">
        <v>20</v>
      </c>
      <c r="E1221" s="2" t="s">
        <v>1423</v>
      </c>
      <c r="I1221" s="2" t="s">
        <v>19</v>
      </c>
      <c r="P1221" s="2" t="s">
        <v>1402</v>
      </c>
      <c r="T1221" s="5">
        <v>1270</v>
      </c>
      <c r="V1221" s="49">
        <v>0</v>
      </c>
      <c r="W1221" s="50"/>
    </row>
    <row r="1222" spans="2:23" x14ac:dyDescent="0.2">
      <c r="B1222" s="22" t="s">
        <v>178</v>
      </c>
      <c r="E1222" s="22" t="s">
        <v>179</v>
      </c>
      <c r="S1222" s="51">
        <v>26909</v>
      </c>
      <c r="T1222" s="50"/>
      <c r="U1222" s="51">
        <v>0</v>
      </c>
      <c r="V1222" s="50"/>
      <c r="W1222" s="50"/>
    </row>
    <row r="1224" spans="2:23" x14ac:dyDescent="0.2">
      <c r="B1224" s="22" t="s">
        <v>206</v>
      </c>
      <c r="E1224" s="22" t="s">
        <v>207</v>
      </c>
    </row>
    <row r="1225" spans="2:23" x14ac:dyDescent="0.2">
      <c r="C1225" s="2" t="s">
        <v>391</v>
      </c>
      <c r="E1225" s="2" t="s">
        <v>1424</v>
      </c>
      <c r="I1225" s="2" t="s">
        <v>209</v>
      </c>
      <c r="P1225" s="2" t="s">
        <v>210</v>
      </c>
      <c r="T1225" s="5">
        <v>1200</v>
      </c>
      <c r="V1225" s="49">
        <v>0</v>
      </c>
      <c r="W1225" s="50"/>
    </row>
    <row r="1226" spans="2:23" x14ac:dyDescent="0.2">
      <c r="C1226" s="2" t="s">
        <v>1406</v>
      </c>
      <c r="E1226" s="2" t="s">
        <v>1425</v>
      </c>
      <c r="I1226" s="2" t="s">
        <v>209</v>
      </c>
      <c r="P1226" s="2" t="s">
        <v>210</v>
      </c>
      <c r="T1226" s="5">
        <v>1200</v>
      </c>
      <c r="V1226" s="49">
        <v>0</v>
      </c>
      <c r="W1226" s="50"/>
    </row>
    <row r="1227" spans="2:23" x14ac:dyDescent="0.2">
      <c r="C1227" s="2" t="s">
        <v>385</v>
      </c>
      <c r="E1227" s="2" t="s">
        <v>1426</v>
      </c>
      <c r="I1227" s="2" t="s">
        <v>209</v>
      </c>
      <c r="P1227" s="2" t="s">
        <v>210</v>
      </c>
      <c r="T1227" s="5">
        <v>2500</v>
      </c>
      <c r="V1227" s="49">
        <v>0</v>
      </c>
      <c r="W1227" s="50"/>
    </row>
    <row r="1228" spans="2:23" ht="18" x14ac:dyDescent="0.2">
      <c r="B1228" s="1" t="s">
        <v>1</v>
      </c>
      <c r="S1228" s="55" t="s">
        <v>1364</v>
      </c>
      <c r="T1228" s="50"/>
      <c r="U1228" s="50"/>
      <c r="V1228" s="50"/>
      <c r="W1228" s="50"/>
    </row>
    <row r="1229" spans="2:23" ht="12.75" thickBot="1" x14ac:dyDescent="0.25">
      <c r="B1229" s="10" t="s">
        <v>3</v>
      </c>
      <c r="C1229" s="6"/>
      <c r="D1229" s="6"/>
      <c r="E1229" s="6"/>
      <c r="F1229" s="6"/>
      <c r="G1229" s="6"/>
      <c r="H1229" s="6"/>
      <c r="I1229" s="6"/>
      <c r="J1229" s="6"/>
      <c r="K1229" s="6" t="s">
        <v>5</v>
      </c>
      <c r="L1229" s="6"/>
      <c r="M1229" s="6"/>
      <c r="N1229" s="6"/>
      <c r="O1229" s="6"/>
      <c r="P1229" s="6" t="s">
        <v>4</v>
      </c>
      <c r="Q1229" s="6" t="s">
        <v>2730</v>
      </c>
      <c r="R1229" s="6"/>
      <c r="S1229" s="56" t="s">
        <v>6</v>
      </c>
      <c r="T1229" s="57"/>
      <c r="U1229" s="57"/>
      <c r="V1229" s="57"/>
      <c r="W1229" s="57"/>
    </row>
    <row r="1230" spans="2:23" ht="12.75" thickTop="1" x14ac:dyDescent="0.2"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</row>
    <row r="1231" spans="2:23" x14ac:dyDescent="0.2">
      <c r="C1231" s="2" t="s">
        <v>186</v>
      </c>
      <c r="E1231" s="2" t="s">
        <v>1428</v>
      </c>
      <c r="I1231" s="2" t="s">
        <v>209</v>
      </c>
      <c r="P1231" s="2" t="s">
        <v>210</v>
      </c>
      <c r="T1231" s="5">
        <v>1900</v>
      </c>
      <c r="V1231" s="49">
        <v>0</v>
      </c>
      <c r="W1231" s="50"/>
    </row>
    <row r="1232" spans="2:23" x14ac:dyDescent="0.2">
      <c r="C1232" s="2" t="s">
        <v>486</v>
      </c>
      <c r="E1232" s="2" t="s">
        <v>1429</v>
      </c>
      <c r="I1232" s="2" t="s">
        <v>209</v>
      </c>
      <c r="P1232" s="2" t="s">
        <v>210</v>
      </c>
      <c r="T1232" s="5">
        <v>2200</v>
      </c>
      <c r="V1232" s="49">
        <v>0</v>
      </c>
      <c r="W1232" s="50"/>
    </row>
    <row r="1233" spans="2:23" x14ac:dyDescent="0.2">
      <c r="C1233" s="2" t="s">
        <v>1412</v>
      </c>
      <c r="E1233" s="2" t="s">
        <v>1430</v>
      </c>
      <c r="I1233" s="2" t="s">
        <v>209</v>
      </c>
      <c r="P1233" s="2" t="s">
        <v>210</v>
      </c>
      <c r="T1233" s="5">
        <v>2200</v>
      </c>
      <c r="V1233" s="49">
        <v>0</v>
      </c>
      <c r="W1233" s="50"/>
    </row>
    <row r="1234" spans="2:23" x14ac:dyDescent="0.2">
      <c r="C1234" s="2" t="s">
        <v>343</v>
      </c>
      <c r="E1234" s="2" t="s">
        <v>1431</v>
      </c>
      <c r="I1234" s="2" t="s">
        <v>209</v>
      </c>
      <c r="P1234" s="2" t="s">
        <v>210</v>
      </c>
      <c r="T1234" s="5">
        <v>2200</v>
      </c>
      <c r="V1234" s="49">
        <v>0</v>
      </c>
      <c r="W1234" s="50"/>
    </row>
    <row r="1235" spans="2:23" x14ac:dyDescent="0.2">
      <c r="C1235" s="2" t="s">
        <v>1236</v>
      </c>
      <c r="E1235" s="2" t="s">
        <v>1432</v>
      </c>
      <c r="I1235" s="2" t="s">
        <v>209</v>
      </c>
      <c r="P1235" s="2" t="s">
        <v>210</v>
      </c>
      <c r="T1235" s="5">
        <v>2200</v>
      </c>
      <c r="V1235" s="49">
        <v>0</v>
      </c>
      <c r="W1235" s="50"/>
    </row>
    <row r="1236" spans="2:23" x14ac:dyDescent="0.2">
      <c r="C1236" s="2" t="s">
        <v>220</v>
      </c>
      <c r="E1236" s="2" t="s">
        <v>1433</v>
      </c>
      <c r="I1236" s="2" t="s">
        <v>209</v>
      </c>
      <c r="P1236" s="2" t="s">
        <v>210</v>
      </c>
      <c r="T1236" s="5">
        <v>900</v>
      </c>
      <c r="V1236" s="49">
        <v>0</v>
      </c>
      <c r="W1236" s="50"/>
    </row>
    <row r="1237" spans="2:23" x14ac:dyDescent="0.2">
      <c r="C1237" s="2" t="s">
        <v>444</v>
      </c>
      <c r="E1237" s="2" t="s">
        <v>1434</v>
      </c>
      <c r="I1237" s="2" t="s">
        <v>209</v>
      </c>
      <c r="P1237" s="2" t="s">
        <v>210</v>
      </c>
      <c r="T1237" s="5">
        <v>900</v>
      </c>
      <c r="V1237" s="49">
        <v>0</v>
      </c>
      <c r="W1237" s="50"/>
    </row>
    <row r="1238" spans="2:23" x14ac:dyDescent="0.2">
      <c r="C1238" s="2" t="s">
        <v>1250</v>
      </c>
      <c r="E1238" s="2" t="s">
        <v>1435</v>
      </c>
      <c r="I1238" s="2" t="s">
        <v>209</v>
      </c>
      <c r="P1238" s="2" t="s">
        <v>210</v>
      </c>
      <c r="T1238" s="5">
        <v>1200</v>
      </c>
      <c r="V1238" s="49">
        <v>0</v>
      </c>
      <c r="W1238" s="50"/>
    </row>
    <row r="1239" spans="2:23" x14ac:dyDescent="0.2">
      <c r="C1239" s="2" t="s">
        <v>1250</v>
      </c>
      <c r="E1239" s="2" t="s">
        <v>1436</v>
      </c>
      <c r="I1239" s="2" t="s">
        <v>209</v>
      </c>
      <c r="P1239" s="2" t="s">
        <v>210</v>
      </c>
      <c r="T1239" s="5">
        <v>1200</v>
      </c>
      <c r="V1239" s="49">
        <v>0</v>
      </c>
      <c r="W1239" s="50"/>
    </row>
    <row r="1240" spans="2:23" x14ac:dyDescent="0.2">
      <c r="C1240" s="2" t="s">
        <v>492</v>
      </c>
      <c r="E1240" s="2" t="s">
        <v>1437</v>
      </c>
      <c r="I1240" s="2" t="s">
        <v>209</v>
      </c>
      <c r="P1240" s="2" t="s">
        <v>210</v>
      </c>
      <c r="T1240" s="5">
        <v>1200</v>
      </c>
      <c r="V1240" s="49">
        <v>0</v>
      </c>
      <c r="W1240" s="50"/>
    </row>
    <row r="1241" spans="2:23" x14ac:dyDescent="0.2">
      <c r="C1241" s="2" t="s">
        <v>1422</v>
      </c>
      <c r="E1241" s="2" t="s">
        <v>1438</v>
      </c>
      <c r="I1241" s="2" t="s">
        <v>209</v>
      </c>
      <c r="P1241" s="2" t="s">
        <v>210</v>
      </c>
      <c r="T1241" s="5">
        <v>1200</v>
      </c>
      <c r="V1241" s="49">
        <v>0</v>
      </c>
      <c r="W1241" s="50"/>
    </row>
    <row r="1242" spans="2:23" x14ac:dyDescent="0.2">
      <c r="C1242" s="2" t="s">
        <v>1278</v>
      </c>
      <c r="E1242" s="2" t="s">
        <v>1439</v>
      </c>
      <c r="I1242" s="2" t="s">
        <v>209</v>
      </c>
      <c r="P1242" s="2" t="s">
        <v>210</v>
      </c>
      <c r="T1242" s="5">
        <v>1200</v>
      </c>
      <c r="V1242" s="49">
        <v>0</v>
      </c>
      <c r="W1242" s="50"/>
    </row>
    <row r="1243" spans="2:23" x14ac:dyDescent="0.2">
      <c r="B1243" s="22" t="s">
        <v>206</v>
      </c>
      <c r="E1243" s="22" t="s">
        <v>207</v>
      </c>
      <c r="S1243" s="51">
        <v>23400</v>
      </c>
      <c r="T1243" s="50"/>
      <c r="U1243" s="51">
        <v>0</v>
      </c>
      <c r="V1243" s="50"/>
      <c r="W1243" s="50"/>
    </row>
    <row r="1245" spans="2:23" x14ac:dyDescent="0.2">
      <c r="B1245" s="22" t="s">
        <v>22</v>
      </c>
      <c r="E1245" s="22" t="s">
        <v>23</v>
      </c>
    </row>
    <row r="1246" spans="2:23" x14ac:dyDescent="0.2">
      <c r="C1246" s="2" t="s">
        <v>20</v>
      </c>
      <c r="E1246" s="2" t="s">
        <v>59</v>
      </c>
      <c r="I1246" s="2" t="s">
        <v>19</v>
      </c>
      <c r="P1246" s="2" t="s">
        <v>60</v>
      </c>
      <c r="T1246" s="5">
        <v>109900</v>
      </c>
      <c r="V1246" s="49">
        <v>0</v>
      </c>
      <c r="W1246" s="50"/>
    </row>
    <row r="1247" spans="2:23" x14ac:dyDescent="0.2">
      <c r="B1247" s="22" t="s">
        <v>22</v>
      </c>
      <c r="E1247" s="22" t="s">
        <v>23</v>
      </c>
      <c r="S1247" s="51">
        <v>109900</v>
      </c>
      <c r="T1247" s="50"/>
      <c r="U1247" s="51">
        <v>0</v>
      </c>
      <c r="V1247" s="50"/>
      <c r="W1247" s="50"/>
    </row>
    <row r="1248" spans="2:23" x14ac:dyDescent="0.2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</row>
    <row r="1249" spans="2:23" x14ac:dyDescent="0.2"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52">
        <v>365836.17</v>
      </c>
      <c r="T1249" s="53"/>
      <c r="U1249" s="52">
        <v>0</v>
      </c>
      <c r="V1249" s="53"/>
      <c r="W1249" s="53"/>
    </row>
    <row r="1250" spans="2:23" x14ac:dyDescent="0.2">
      <c r="B1250" s="8"/>
      <c r="C1250" s="8"/>
      <c r="D1250" s="20" t="s">
        <v>81</v>
      </c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11">
        <v>365836.17</v>
      </c>
      <c r="S1250" s="8"/>
      <c r="T1250" s="8"/>
      <c r="U1250" s="8"/>
      <c r="V1250" s="8"/>
      <c r="W1250" s="8"/>
    </row>
    <row r="1251" spans="2:23" x14ac:dyDescent="0.2"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9"/>
      <c r="U1251" s="9"/>
      <c r="V1251" s="9"/>
      <c r="W1251" s="9"/>
    </row>
    <row r="1253" spans="2:23" ht="15" x14ac:dyDescent="0.2">
      <c r="B1253" s="4" t="s">
        <v>82</v>
      </c>
    </row>
    <row r="1255" spans="2:23" x14ac:dyDescent="0.2">
      <c r="B1255" s="22" t="s">
        <v>83</v>
      </c>
      <c r="E1255" s="22" t="s">
        <v>84</v>
      </c>
    </row>
    <row r="1256" spans="2:23" x14ac:dyDescent="0.2">
      <c r="C1256" s="2" t="s">
        <v>46</v>
      </c>
      <c r="E1256" s="2" t="s">
        <v>1346</v>
      </c>
      <c r="I1256" s="2" t="s">
        <v>87</v>
      </c>
      <c r="L1256" s="2" t="s">
        <v>1347</v>
      </c>
      <c r="P1256" s="2" t="s">
        <v>1348</v>
      </c>
      <c r="T1256" s="5">
        <v>0</v>
      </c>
      <c r="V1256" s="49">
        <v>33333.33</v>
      </c>
      <c r="W1256" s="50"/>
    </row>
    <row r="1257" spans="2:23" x14ac:dyDescent="0.2">
      <c r="C1257" s="2" t="s">
        <v>46</v>
      </c>
      <c r="E1257" s="2" t="s">
        <v>1349</v>
      </c>
      <c r="I1257" s="2" t="s">
        <v>87</v>
      </c>
      <c r="L1257" s="2" t="s">
        <v>1350</v>
      </c>
      <c r="P1257" s="2" t="s">
        <v>1351</v>
      </c>
      <c r="T1257" s="5">
        <v>0</v>
      </c>
      <c r="V1257" s="49">
        <v>19666.66</v>
      </c>
      <c r="W1257" s="50"/>
    </row>
    <row r="1258" spans="2:23" x14ac:dyDescent="0.2">
      <c r="B1258" s="22" t="s">
        <v>83</v>
      </c>
      <c r="E1258" s="22" t="s">
        <v>84</v>
      </c>
      <c r="S1258" s="51">
        <v>0</v>
      </c>
      <c r="T1258" s="50"/>
      <c r="U1258" s="51">
        <v>52999.99</v>
      </c>
      <c r="V1258" s="50"/>
      <c r="W1258" s="50"/>
    </row>
    <row r="1260" spans="2:23" x14ac:dyDescent="0.2">
      <c r="B1260" s="22" t="s">
        <v>89</v>
      </c>
      <c r="E1260" s="22" t="s">
        <v>90</v>
      </c>
    </row>
    <row r="1261" spans="2:23" x14ac:dyDescent="0.2">
      <c r="C1261" s="2" t="s">
        <v>630</v>
      </c>
      <c r="E1261" s="2" t="s">
        <v>1440</v>
      </c>
      <c r="I1261" s="2" t="s">
        <v>64</v>
      </c>
      <c r="P1261" s="2" t="s">
        <v>1441</v>
      </c>
      <c r="T1261" s="5">
        <v>0</v>
      </c>
      <c r="V1261" s="49">
        <v>4600</v>
      </c>
      <c r="W1261" s="50"/>
    </row>
    <row r="1262" spans="2:23" x14ac:dyDescent="0.2">
      <c r="C1262" s="2" t="s">
        <v>635</v>
      </c>
      <c r="E1262" s="2" t="s">
        <v>1442</v>
      </c>
      <c r="I1262" s="2" t="s">
        <v>64</v>
      </c>
      <c r="P1262" s="2" t="s">
        <v>1443</v>
      </c>
      <c r="T1262" s="5">
        <v>0</v>
      </c>
      <c r="V1262" s="49">
        <v>4600</v>
      </c>
      <c r="W1262" s="50"/>
    </row>
    <row r="1263" spans="2:23" x14ac:dyDescent="0.2">
      <c r="C1263" s="2" t="s">
        <v>635</v>
      </c>
      <c r="E1263" s="2" t="s">
        <v>1444</v>
      </c>
      <c r="I1263" s="2" t="s">
        <v>64</v>
      </c>
      <c r="P1263" s="2" t="s">
        <v>1445</v>
      </c>
      <c r="T1263" s="5">
        <v>0</v>
      </c>
      <c r="V1263" s="49">
        <v>2300</v>
      </c>
      <c r="W1263" s="50"/>
    </row>
    <row r="1264" spans="2:23" x14ac:dyDescent="0.2">
      <c r="C1264" s="2" t="s">
        <v>640</v>
      </c>
      <c r="E1264" s="2" t="s">
        <v>1446</v>
      </c>
      <c r="I1264" s="2" t="s">
        <v>64</v>
      </c>
      <c r="P1264" s="2" t="s">
        <v>95</v>
      </c>
      <c r="T1264" s="5">
        <v>0</v>
      </c>
      <c r="V1264" s="49">
        <v>4600</v>
      </c>
      <c r="W1264" s="50"/>
    </row>
    <row r="1265" spans="3:23" x14ac:dyDescent="0.2">
      <c r="C1265" s="2" t="s">
        <v>646</v>
      </c>
      <c r="E1265" s="2" t="s">
        <v>1447</v>
      </c>
      <c r="I1265" s="2" t="s">
        <v>64</v>
      </c>
      <c r="P1265" s="2" t="s">
        <v>1448</v>
      </c>
      <c r="T1265" s="5">
        <v>0</v>
      </c>
      <c r="V1265" s="49">
        <v>2300</v>
      </c>
      <c r="W1265" s="50"/>
    </row>
    <row r="1266" spans="3:23" x14ac:dyDescent="0.2">
      <c r="C1266" s="2" t="s">
        <v>502</v>
      </c>
      <c r="E1266" s="2" t="s">
        <v>1449</v>
      </c>
      <c r="I1266" s="2" t="s">
        <v>64</v>
      </c>
      <c r="P1266" s="2" t="s">
        <v>95</v>
      </c>
      <c r="T1266" s="5">
        <v>0</v>
      </c>
      <c r="V1266" s="49">
        <v>2300</v>
      </c>
      <c r="W1266" s="50"/>
    </row>
    <row r="1267" spans="3:23" x14ac:dyDescent="0.2">
      <c r="C1267" s="2" t="s">
        <v>510</v>
      </c>
      <c r="E1267" s="2" t="s">
        <v>1450</v>
      </c>
      <c r="I1267" s="2" t="s">
        <v>64</v>
      </c>
      <c r="P1267" s="2" t="s">
        <v>1451</v>
      </c>
      <c r="T1267" s="5">
        <v>0</v>
      </c>
      <c r="V1267" s="49">
        <v>2300</v>
      </c>
      <c r="W1267" s="50"/>
    </row>
    <row r="1268" spans="3:23" x14ac:dyDescent="0.2">
      <c r="C1268" s="2" t="s">
        <v>513</v>
      </c>
      <c r="E1268" s="2" t="s">
        <v>1452</v>
      </c>
      <c r="I1268" s="2" t="s">
        <v>64</v>
      </c>
      <c r="P1268" s="2" t="s">
        <v>1453</v>
      </c>
      <c r="T1268" s="5">
        <v>0</v>
      </c>
      <c r="V1268" s="49">
        <v>2300</v>
      </c>
      <c r="W1268" s="50"/>
    </row>
    <row r="1269" spans="3:23" x14ac:dyDescent="0.2">
      <c r="C1269" s="2" t="s">
        <v>407</v>
      </c>
      <c r="E1269" s="2" t="s">
        <v>1454</v>
      </c>
      <c r="I1269" s="2" t="s">
        <v>64</v>
      </c>
      <c r="P1269" s="2" t="s">
        <v>95</v>
      </c>
      <c r="T1269" s="5">
        <v>0</v>
      </c>
      <c r="V1269" s="49">
        <v>2300</v>
      </c>
      <c r="W1269" s="50"/>
    </row>
    <row r="1270" spans="3:23" x14ac:dyDescent="0.2">
      <c r="C1270" s="2" t="s">
        <v>531</v>
      </c>
      <c r="E1270" s="2" t="s">
        <v>1455</v>
      </c>
      <c r="I1270" s="2" t="s">
        <v>64</v>
      </c>
      <c r="P1270" s="2" t="s">
        <v>1443</v>
      </c>
      <c r="T1270" s="5">
        <v>0</v>
      </c>
      <c r="V1270" s="49">
        <v>5300</v>
      </c>
      <c r="W1270" s="50"/>
    </row>
    <row r="1271" spans="3:23" x14ac:dyDescent="0.2">
      <c r="C1271" s="2" t="s">
        <v>1318</v>
      </c>
      <c r="E1271" s="2" t="s">
        <v>1456</v>
      </c>
      <c r="I1271" s="2" t="s">
        <v>64</v>
      </c>
      <c r="P1271" s="2" t="s">
        <v>1457</v>
      </c>
      <c r="T1271" s="5">
        <v>0</v>
      </c>
      <c r="V1271" s="49">
        <v>2650</v>
      </c>
      <c r="W1271" s="50"/>
    </row>
    <row r="1272" spans="3:23" x14ac:dyDescent="0.2">
      <c r="C1272" s="2" t="s">
        <v>544</v>
      </c>
      <c r="E1272" s="2" t="s">
        <v>1458</v>
      </c>
      <c r="I1272" s="2" t="s">
        <v>64</v>
      </c>
      <c r="P1272" s="2" t="s">
        <v>1459</v>
      </c>
      <c r="T1272" s="5">
        <v>0</v>
      </c>
      <c r="V1272" s="49">
        <v>2650</v>
      </c>
      <c r="W1272" s="50"/>
    </row>
    <row r="1273" spans="3:23" x14ac:dyDescent="0.2">
      <c r="C1273" s="2" t="s">
        <v>433</v>
      </c>
      <c r="E1273" s="2" t="s">
        <v>1460</v>
      </c>
      <c r="I1273" s="2" t="s">
        <v>64</v>
      </c>
      <c r="P1273" s="2" t="s">
        <v>1461</v>
      </c>
      <c r="T1273" s="5">
        <v>0</v>
      </c>
      <c r="V1273" s="49">
        <v>2650</v>
      </c>
      <c r="W1273" s="50"/>
    </row>
    <row r="1274" spans="3:23" x14ac:dyDescent="0.2">
      <c r="C1274" s="2" t="s">
        <v>709</v>
      </c>
      <c r="E1274" s="2" t="s">
        <v>1462</v>
      </c>
      <c r="I1274" s="2" t="s">
        <v>64</v>
      </c>
      <c r="P1274" s="2" t="s">
        <v>1463</v>
      </c>
      <c r="T1274" s="5">
        <v>0</v>
      </c>
      <c r="V1274" s="49">
        <v>2650</v>
      </c>
      <c r="W1274" s="50"/>
    </row>
    <row r="1275" spans="3:23" x14ac:dyDescent="0.2">
      <c r="C1275" s="2" t="s">
        <v>444</v>
      </c>
      <c r="E1275" s="2" t="s">
        <v>1464</v>
      </c>
      <c r="I1275" s="2" t="s">
        <v>64</v>
      </c>
      <c r="P1275" s="2" t="s">
        <v>95</v>
      </c>
      <c r="T1275" s="5">
        <v>0</v>
      </c>
      <c r="V1275" s="49">
        <v>2650</v>
      </c>
      <c r="W1275" s="50"/>
    </row>
    <row r="1276" spans="3:23" x14ac:dyDescent="0.2">
      <c r="C1276" s="2" t="s">
        <v>481</v>
      </c>
      <c r="E1276" s="2" t="s">
        <v>1465</v>
      </c>
      <c r="I1276" s="2" t="s">
        <v>64</v>
      </c>
      <c r="P1276" s="2" t="s">
        <v>1466</v>
      </c>
      <c r="T1276" s="5">
        <v>0</v>
      </c>
      <c r="V1276" s="49">
        <v>2650</v>
      </c>
      <c r="W1276" s="50"/>
    </row>
    <row r="1277" spans="3:23" x14ac:dyDescent="0.2">
      <c r="C1277" s="2" t="s">
        <v>49</v>
      </c>
      <c r="E1277" s="2" t="s">
        <v>91</v>
      </c>
      <c r="I1277" s="2" t="s">
        <v>19</v>
      </c>
      <c r="P1277" s="2" t="s">
        <v>93</v>
      </c>
      <c r="T1277" s="5">
        <v>0</v>
      </c>
      <c r="V1277" s="49">
        <v>8003.2699999999995</v>
      </c>
      <c r="W1277" s="50"/>
    </row>
    <row r="1278" spans="3:23" x14ac:dyDescent="0.2">
      <c r="C1278" s="2" t="s">
        <v>49</v>
      </c>
      <c r="E1278" s="2" t="s">
        <v>1467</v>
      </c>
      <c r="I1278" s="2" t="s">
        <v>64</v>
      </c>
      <c r="P1278" s="2" t="s">
        <v>1468</v>
      </c>
      <c r="T1278" s="5">
        <v>0</v>
      </c>
      <c r="V1278" s="49">
        <v>2650</v>
      </c>
      <c r="W1278" s="50"/>
    </row>
    <row r="1279" spans="3:23" x14ac:dyDescent="0.2">
      <c r="C1279" s="2" t="s">
        <v>49</v>
      </c>
      <c r="E1279" s="2" t="s">
        <v>1469</v>
      </c>
      <c r="I1279" s="2" t="s">
        <v>64</v>
      </c>
      <c r="P1279" s="2" t="s">
        <v>1470</v>
      </c>
      <c r="T1279" s="5">
        <v>0</v>
      </c>
      <c r="V1279" s="49">
        <v>2650</v>
      </c>
      <c r="W1279" s="50"/>
    </row>
    <row r="1280" spans="3:23" x14ac:dyDescent="0.2">
      <c r="C1280" s="2" t="s">
        <v>349</v>
      </c>
      <c r="E1280" s="2" t="s">
        <v>1471</v>
      </c>
      <c r="I1280" s="2" t="s">
        <v>64</v>
      </c>
      <c r="P1280" s="2" t="s">
        <v>1472</v>
      </c>
      <c r="T1280" s="5">
        <v>0</v>
      </c>
      <c r="V1280" s="49">
        <v>5300</v>
      </c>
      <c r="W1280" s="50"/>
    </row>
    <row r="1281" spans="2:23" x14ac:dyDescent="0.2">
      <c r="C1281" s="2" t="s">
        <v>270</v>
      </c>
      <c r="E1281" s="2" t="s">
        <v>1473</v>
      </c>
      <c r="I1281" s="2" t="s">
        <v>64</v>
      </c>
      <c r="P1281" s="2" t="s">
        <v>1474</v>
      </c>
      <c r="T1281" s="5">
        <v>0</v>
      </c>
      <c r="V1281" s="49">
        <v>2650</v>
      </c>
      <c r="W1281" s="50"/>
    </row>
    <row r="1282" spans="2:23" x14ac:dyDescent="0.2">
      <c r="C1282" s="2" t="s">
        <v>565</v>
      </c>
      <c r="E1282" s="2" t="s">
        <v>1475</v>
      </c>
      <c r="I1282" s="2" t="s">
        <v>64</v>
      </c>
      <c r="P1282" s="2" t="s">
        <v>1476</v>
      </c>
      <c r="T1282" s="5">
        <v>0</v>
      </c>
      <c r="V1282" s="49">
        <v>5300</v>
      </c>
      <c r="W1282" s="50"/>
    </row>
    <row r="1283" spans="2:23" x14ac:dyDescent="0.2">
      <c r="C1283" s="2" t="s">
        <v>274</v>
      </c>
      <c r="E1283" s="2" t="s">
        <v>1477</v>
      </c>
      <c r="I1283" s="2" t="s">
        <v>64</v>
      </c>
      <c r="P1283" s="2" t="s">
        <v>1478</v>
      </c>
      <c r="T1283" s="5">
        <v>0</v>
      </c>
      <c r="V1283" s="49">
        <v>2650</v>
      </c>
      <c r="W1283" s="50"/>
    </row>
    <row r="1284" spans="2:23" x14ac:dyDescent="0.2">
      <c r="C1284" s="2" t="s">
        <v>293</v>
      </c>
      <c r="E1284" s="2" t="s">
        <v>1479</v>
      </c>
      <c r="I1284" s="2" t="s">
        <v>64</v>
      </c>
      <c r="P1284" s="2" t="s">
        <v>1480</v>
      </c>
      <c r="T1284" s="5">
        <v>0</v>
      </c>
      <c r="V1284" s="49">
        <v>2650</v>
      </c>
      <c r="W1284" s="50"/>
    </row>
    <row r="1285" spans="2:23" x14ac:dyDescent="0.2">
      <c r="C1285" s="2" t="s">
        <v>20</v>
      </c>
      <c r="E1285" s="2" t="s">
        <v>338</v>
      </c>
      <c r="I1285" s="2" t="s">
        <v>19</v>
      </c>
      <c r="P1285" s="2" t="s">
        <v>339</v>
      </c>
      <c r="T1285" s="5">
        <v>0</v>
      </c>
      <c r="V1285" s="49">
        <v>-9127.7800000000007</v>
      </c>
      <c r="W1285" s="50"/>
    </row>
    <row r="1286" spans="2:23" x14ac:dyDescent="0.2">
      <c r="B1286" s="22" t="s">
        <v>89</v>
      </c>
      <c r="E1286" s="22" t="s">
        <v>90</v>
      </c>
      <c r="S1286" s="51">
        <v>0</v>
      </c>
      <c r="T1286" s="50"/>
      <c r="U1286" s="51">
        <v>71525.489999999991</v>
      </c>
      <c r="V1286" s="50"/>
      <c r="W1286" s="50"/>
    </row>
    <row r="1287" spans="2:23" x14ac:dyDescent="0.2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  <c r="V1287" s="8"/>
      <c r="W1287" s="8"/>
    </row>
    <row r="1288" spans="2:23" x14ac:dyDescent="0.2"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52">
        <v>0</v>
      </c>
      <c r="T1288" s="53"/>
      <c r="U1288" s="52">
        <v>124525.48</v>
      </c>
      <c r="V1288" s="53"/>
      <c r="W1288" s="53"/>
    </row>
    <row r="1289" spans="2:23" x14ac:dyDescent="0.2">
      <c r="B1289" s="8"/>
      <c r="C1289" s="8"/>
      <c r="D1289" s="20" t="s">
        <v>96</v>
      </c>
      <c r="E1289" s="8"/>
      <c r="F1289" s="8"/>
      <c r="G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11">
        <v>124525.48</v>
      </c>
      <c r="S1289" s="8"/>
      <c r="T1289" s="8"/>
      <c r="U1289" s="8"/>
      <c r="V1289" s="8"/>
      <c r="W1289" s="8"/>
    </row>
    <row r="1290" spans="2:23" x14ac:dyDescent="0.2"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9"/>
      <c r="U1290" s="9"/>
      <c r="V1290" s="9"/>
      <c r="W1290" s="9"/>
    </row>
    <row r="1291" spans="2:23" x14ac:dyDescent="0.2">
      <c r="B1291" s="22" t="s">
        <v>7</v>
      </c>
      <c r="D1291" s="22" t="s">
        <v>1365</v>
      </c>
      <c r="O1291" s="20" t="s">
        <v>97</v>
      </c>
      <c r="P1291" s="8"/>
      <c r="Q1291" s="8"/>
      <c r="R1291" s="11">
        <v>-241310.69</v>
      </c>
    </row>
    <row r="1292" spans="2:23" x14ac:dyDescent="0.2">
      <c r="O1292" s="9"/>
      <c r="P1292" s="9"/>
      <c r="Q1292" s="9"/>
      <c r="R1292" s="9"/>
    </row>
    <row r="1293" spans="2:23" x14ac:dyDescent="0.2">
      <c r="B1293" s="2" t="s">
        <v>98</v>
      </c>
    </row>
    <row r="1295" spans="2:23" ht="24" customHeight="1" x14ac:dyDescent="0.2">
      <c r="B1295" s="54" t="s">
        <v>0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  <c r="R1295" s="50"/>
      <c r="S1295" s="50"/>
      <c r="T1295" s="50"/>
      <c r="U1295" s="50"/>
      <c r="V1295" s="50"/>
      <c r="W1295" s="50"/>
    </row>
    <row r="1296" spans="2:23" ht="18" x14ac:dyDescent="0.2">
      <c r="B1296" s="1" t="s">
        <v>1</v>
      </c>
      <c r="S1296" s="55" t="s">
        <v>1427</v>
      </c>
      <c r="T1296" s="50"/>
      <c r="U1296" s="50"/>
      <c r="V1296" s="50"/>
      <c r="W1296" s="50"/>
    </row>
    <row r="1297" spans="2:23" ht="12.75" thickBot="1" x14ac:dyDescent="0.25">
      <c r="B1297" s="10" t="s">
        <v>3</v>
      </c>
      <c r="C1297" s="6"/>
      <c r="D1297" s="6"/>
      <c r="E1297" s="6"/>
      <c r="F1297" s="6"/>
      <c r="G1297" s="6"/>
      <c r="H1297" s="6"/>
      <c r="I1297" s="6"/>
      <c r="J1297" s="6"/>
      <c r="K1297" s="6" t="s">
        <v>5</v>
      </c>
      <c r="L1297" s="6"/>
      <c r="M1297" s="6"/>
      <c r="N1297" s="6"/>
      <c r="O1297" s="6"/>
      <c r="P1297" s="6" t="s">
        <v>4</v>
      </c>
      <c r="Q1297" s="6" t="s">
        <v>2730</v>
      </c>
      <c r="R1297" s="6"/>
      <c r="S1297" s="56" t="s">
        <v>6</v>
      </c>
      <c r="T1297" s="57"/>
      <c r="U1297" s="57"/>
      <c r="V1297" s="57"/>
      <c r="W1297" s="57"/>
    </row>
    <row r="1298" spans="2:23" ht="12.75" thickTop="1" x14ac:dyDescent="0.2"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</row>
    <row r="1299" spans="2:23" ht="15.75" x14ac:dyDescent="0.2">
      <c r="B1299" s="3" t="s">
        <v>7</v>
      </c>
      <c r="F1299" s="3" t="s">
        <v>1482</v>
      </c>
    </row>
    <row r="1301" spans="2:23" x14ac:dyDescent="0.2">
      <c r="B1301" s="8"/>
      <c r="C1301" s="20" t="s">
        <v>8</v>
      </c>
      <c r="D1301" s="8"/>
      <c r="E1301" s="20" t="s">
        <v>9</v>
      </c>
      <c r="F1301" s="8"/>
      <c r="G1301" s="8"/>
      <c r="H1301" s="8"/>
      <c r="I1301" s="20" t="s">
        <v>13</v>
      </c>
      <c r="J1301" s="8"/>
      <c r="K1301" s="8"/>
      <c r="L1301" s="20" t="s">
        <v>12</v>
      </c>
      <c r="M1301" s="8"/>
      <c r="N1301" s="8"/>
      <c r="O1301" s="8"/>
      <c r="P1301" s="20" t="s">
        <v>14</v>
      </c>
      <c r="Q1301" s="8"/>
      <c r="R1301" s="8"/>
      <c r="S1301" s="8"/>
      <c r="T1301" s="21" t="s">
        <v>11</v>
      </c>
      <c r="U1301" s="8"/>
      <c r="V1301" s="58" t="s">
        <v>10</v>
      </c>
      <c r="W1301" s="59"/>
    </row>
    <row r="1302" spans="2:23" x14ac:dyDescent="0.2"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9"/>
      <c r="U1302" s="9"/>
      <c r="V1302" s="9"/>
      <c r="W1302" s="9"/>
    </row>
    <row r="1303" spans="2:23" ht="15" x14ac:dyDescent="0.2">
      <c r="B1303" s="4" t="s">
        <v>15</v>
      </c>
    </row>
    <row r="1305" spans="2:23" x14ac:dyDescent="0.2">
      <c r="B1305" s="22" t="s">
        <v>147</v>
      </c>
      <c r="E1305" s="22" t="s">
        <v>148</v>
      </c>
    </row>
    <row r="1306" spans="2:23" x14ac:dyDescent="0.2">
      <c r="C1306" s="2" t="s">
        <v>1484</v>
      </c>
      <c r="E1306" s="2" t="s">
        <v>1483</v>
      </c>
      <c r="I1306" s="2" t="s">
        <v>106</v>
      </c>
      <c r="L1306" s="2" t="s">
        <v>1341</v>
      </c>
      <c r="P1306" s="2" t="s">
        <v>235</v>
      </c>
      <c r="T1306" s="5">
        <v>5000</v>
      </c>
      <c r="V1306" s="49">
        <v>0</v>
      </c>
      <c r="W1306" s="50"/>
    </row>
    <row r="1307" spans="2:23" x14ac:dyDescent="0.2">
      <c r="C1307" s="2" t="s">
        <v>151</v>
      </c>
      <c r="E1307" s="2" t="s">
        <v>1485</v>
      </c>
      <c r="I1307" s="2" t="s">
        <v>106</v>
      </c>
      <c r="L1307" s="2" t="s">
        <v>1486</v>
      </c>
      <c r="P1307" s="2" t="s">
        <v>1487</v>
      </c>
      <c r="T1307" s="5">
        <v>5850</v>
      </c>
      <c r="V1307" s="49">
        <v>0</v>
      </c>
      <c r="W1307" s="50"/>
    </row>
    <row r="1308" spans="2:23" x14ac:dyDescent="0.2">
      <c r="B1308" s="22" t="s">
        <v>147</v>
      </c>
      <c r="E1308" s="22" t="s">
        <v>148</v>
      </c>
      <c r="S1308" s="51">
        <v>10850</v>
      </c>
      <c r="T1308" s="50"/>
      <c r="U1308" s="51">
        <v>0</v>
      </c>
      <c r="V1308" s="50"/>
      <c r="W1308" s="50"/>
    </row>
    <row r="1310" spans="2:23" x14ac:dyDescent="0.2">
      <c r="B1310" s="22" t="s">
        <v>16</v>
      </c>
      <c r="E1310" s="22" t="s">
        <v>17</v>
      </c>
    </row>
    <row r="1311" spans="2:23" x14ac:dyDescent="0.2">
      <c r="C1311" s="2" t="s">
        <v>1316</v>
      </c>
      <c r="E1311" s="2" t="s">
        <v>1488</v>
      </c>
      <c r="I1311" s="2" t="s">
        <v>106</v>
      </c>
      <c r="L1311" s="2" t="s">
        <v>471</v>
      </c>
      <c r="P1311" s="2" t="s">
        <v>1489</v>
      </c>
      <c r="T1311" s="5">
        <v>2600</v>
      </c>
      <c r="V1311" s="49">
        <v>0</v>
      </c>
      <c r="W1311" s="50"/>
    </row>
    <row r="1312" spans="2:23" x14ac:dyDescent="0.2">
      <c r="C1312" s="2" t="s">
        <v>1492</v>
      </c>
      <c r="E1312" s="2" t="s">
        <v>1490</v>
      </c>
      <c r="I1312" s="2" t="s">
        <v>106</v>
      </c>
      <c r="L1312" s="2" t="s">
        <v>1491</v>
      </c>
      <c r="P1312" s="2" t="s">
        <v>1489</v>
      </c>
      <c r="T1312" s="5">
        <v>3000</v>
      </c>
      <c r="V1312" s="49">
        <v>0</v>
      </c>
      <c r="W1312" s="50"/>
    </row>
    <row r="1313" spans="2:23" x14ac:dyDescent="0.2">
      <c r="C1313" s="2" t="s">
        <v>20</v>
      </c>
      <c r="E1313" s="2" t="s">
        <v>18</v>
      </c>
      <c r="I1313" s="2" t="s">
        <v>19</v>
      </c>
      <c r="P1313" s="2" t="s">
        <v>21</v>
      </c>
      <c r="T1313" s="5">
        <v>137238.04</v>
      </c>
      <c r="V1313" s="49">
        <v>0</v>
      </c>
      <c r="W1313" s="50"/>
    </row>
    <row r="1314" spans="2:23" x14ac:dyDescent="0.2">
      <c r="B1314" s="22" t="s">
        <v>16</v>
      </c>
      <c r="E1314" s="22" t="s">
        <v>17</v>
      </c>
      <c r="S1314" s="51">
        <v>142838.04</v>
      </c>
      <c r="T1314" s="50"/>
      <c r="U1314" s="51">
        <v>0</v>
      </c>
      <c r="V1314" s="50"/>
      <c r="W1314" s="50"/>
    </row>
    <row r="1316" spans="2:23" x14ac:dyDescent="0.2">
      <c r="B1316" s="22" t="s">
        <v>153</v>
      </c>
      <c r="E1316" s="22" t="s">
        <v>154</v>
      </c>
    </row>
    <row r="1317" spans="2:23" x14ac:dyDescent="0.2">
      <c r="C1317" s="2" t="s">
        <v>789</v>
      </c>
      <c r="E1317" s="2" t="s">
        <v>1493</v>
      </c>
      <c r="I1317" s="2" t="s">
        <v>106</v>
      </c>
      <c r="L1317" s="2" t="s">
        <v>1494</v>
      </c>
      <c r="P1317" s="2" t="s">
        <v>1495</v>
      </c>
      <c r="T1317" s="5">
        <v>10000</v>
      </c>
      <c r="V1317" s="49">
        <v>0</v>
      </c>
      <c r="W1317" s="50"/>
    </row>
    <row r="1318" spans="2:23" x14ac:dyDescent="0.2">
      <c r="B1318" s="22" t="s">
        <v>153</v>
      </c>
      <c r="E1318" s="22" t="s">
        <v>154</v>
      </c>
      <c r="S1318" s="51">
        <v>10000</v>
      </c>
      <c r="T1318" s="50"/>
      <c r="U1318" s="51">
        <v>0</v>
      </c>
      <c r="V1318" s="50"/>
      <c r="W1318" s="50"/>
    </row>
    <row r="1320" spans="2:23" x14ac:dyDescent="0.2">
      <c r="B1320" s="22" t="s">
        <v>161</v>
      </c>
      <c r="E1320" s="22" t="s">
        <v>162</v>
      </c>
    </row>
    <row r="1321" spans="2:23" x14ac:dyDescent="0.2">
      <c r="C1321" s="2" t="s">
        <v>1497</v>
      </c>
      <c r="E1321" s="2" t="s">
        <v>1496</v>
      </c>
      <c r="I1321" s="2" t="s">
        <v>106</v>
      </c>
      <c r="L1321" s="2" t="s">
        <v>164</v>
      </c>
      <c r="P1321" s="2" t="s">
        <v>166</v>
      </c>
      <c r="T1321" s="5">
        <v>5000</v>
      </c>
      <c r="V1321" s="49">
        <v>0</v>
      </c>
      <c r="W1321" s="50"/>
    </row>
    <row r="1322" spans="2:23" x14ac:dyDescent="0.2">
      <c r="B1322" s="22" t="s">
        <v>161</v>
      </c>
      <c r="E1322" s="22" t="s">
        <v>162</v>
      </c>
      <c r="S1322" s="51">
        <v>5000</v>
      </c>
      <c r="T1322" s="50"/>
      <c r="U1322" s="51">
        <v>0</v>
      </c>
      <c r="V1322" s="50"/>
      <c r="W1322" s="50"/>
    </row>
    <row r="1324" spans="2:23" x14ac:dyDescent="0.2">
      <c r="B1324" s="22" t="s">
        <v>178</v>
      </c>
      <c r="E1324" s="22" t="s">
        <v>179</v>
      </c>
    </row>
    <row r="1325" spans="2:23" x14ac:dyDescent="0.2">
      <c r="C1325" s="2" t="s">
        <v>181</v>
      </c>
      <c r="E1325" s="2" t="s">
        <v>1498</v>
      </c>
      <c r="I1325" s="2" t="s">
        <v>19</v>
      </c>
      <c r="P1325" s="2" t="s">
        <v>1499</v>
      </c>
      <c r="T1325" s="5">
        <v>1800</v>
      </c>
      <c r="V1325" s="49">
        <v>0</v>
      </c>
      <c r="W1325" s="50"/>
    </row>
    <row r="1326" spans="2:23" x14ac:dyDescent="0.2">
      <c r="C1326" s="2" t="s">
        <v>869</v>
      </c>
      <c r="E1326" s="2" t="s">
        <v>1500</v>
      </c>
      <c r="I1326" s="2" t="s">
        <v>19</v>
      </c>
      <c r="P1326" s="2" t="s">
        <v>1501</v>
      </c>
      <c r="T1326" s="5">
        <v>1735</v>
      </c>
      <c r="V1326" s="49">
        <v>0</v>
      </c>
      <c r="W1326" s="50"/>
    </row>
    <row r="1327" spans="2:23" x14ac:dyDescent="0.2">
      <c r="C1327" s="2" t="s">
        <v>199</v>
      </c>
      <c r="E1327" s="2" t="s">
        <v>1502</v>
      </c>
      <c r="I1327" s="2" t="s">
        <v>19</v>
      </c>
      <c r="P1327" s="2" t="s">
        <v>1499</v>
      </c>
      <c r="T1327" s="5">
        <v>2670</v>
      </c>
      <c r="V1327" s="49">
        <v>0</v>
      </c>
      <c r="W1327" s="50"/>
    </row>
    <row r="1328" spans="2:23" x14ac:dyDescent="0.2">
      <c r="B1328" s="22" t="s">
        <v>178</v>
      </c>
      <c r="E1328" s="22" t="s">
        <v>179</v>
      </c>
      <c r="S1328" s="51">
        <v>6205</v>
      </c>
      <c r="T1328" s="50"/>
      <c r="U1328" s="51">
        <v>0</v>
      </c>
      <c r="V1328" s="50"/>
      <c r="W1328" s="50"/>
    </row>
    <row r="1330" spans="2:23" x14ac:dyDescent="0.2">
      <c r="B1330" s="22" t="s">
        <v>22</v>
      </c>
      <c r="E1330" s="22" t="s">
        <v>23</v>
      </c>
    </row>
    <row r="1331" spans="2:23" x14ac:dyDescent="0.2">
      <c r="C1331" s="2" t="s">
        <v>20</v>
      </c>
      <c r="E1331" s="2" t="s">
        <v>59</v>
      </c>
      <c r="I1331" s="2" t="s">
        <v>19</v>
      </c>
      <c r="P1331" s="2" t="s">
        <v>60</v>
      </c>
      <c r="T1331" s="5">
        <v>17970</v>
      </c>
      <c r="V1331" s="49">
        <v>0</v>
      </c>
      <c r="W1331" s="50"/>
    </row>
    <row r="1332" spans="2:23" x14ac:dyDescent="0.2">
      <c r="B1332" s="22" t="s">
        <v>22</v>
      </c>
      <c r="E1332" s="22" t="s">
        <v>23</v>
      </c>
      <c r="S1332" s="51">
        <v>17970</v>
      </c>
      <c r="T1332" s="50"/>
      <c r="U1332" s="51">
        <v>0</v>
      </c>
      <c r="V1332" s="50"/>
      <c r="W1332" s="50"/>
    </row>
    <row r="1333" spans="2:23" x14ac:dyDescent="0.2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  <c r="V1333" s="8"/>
      <c r="W1333" s="8"/>
    </row>
    <row r="1334" spans="2:23" x14ac:dyDescent="0.2"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52">
        <v>192863.04</v>
      </c>
      <c r="T1334" s="53"/>
      <c r="U1334" s="52">
        <v>0</v>
      </c>
      <c r="V1334" s="53"/>
      <c r="W1334" s="53"/>
    </row>
    <row r="1335" spans="2:23" x14ac:dyDescent="0.2">
      <c r="B1335" s="8"/>
      <c r="C1335" s="8"/>
      <c r="D1335" s="20" t="s">
        <v>81</v>
      </c>
      <c r="E1335" s="8"/>
      <c r="F1335" s="8"/>
      <c r="G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11">
        <v>192863.04</v>
      </c>
      <c r="S1335" s="8"/>
      <c r="T1335" s="8"/>
      <c r="U1335" s="8"/>
      <c r="V1335" s="8"/>
      <c r="W1335" s="8"/>
    </row>
    <row r="1336" spans="2:23" x14ac:dyDescent="0.2"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9"/>
      <c r="U1336" s="9"/>
      <c r="V1336" s="9"/>
      <c r="W1336" s="9"/>
    </row>
    <row r="1338" spans="2:23" ht="15" x14ac:dyDescent="0.2">
      <c r="B1338" s="4" t="s">
        <v>82</v>
      </c>
    </row>
    <row r="1340" spans="2:23" x14ac:dyDescent="0.2">
      <c r="B1340" s="22" t="s">
        <v>245</v>
      </c>
      <c r="E1340" s="22" t="s">
        <v>246</v>
      </c>
    </row>
    <row r="1341" spans="2:23" x14ac:dyDescent="0.2">
      <c r="C1341" s="2" t="s">
        <v>49</v>
      </c>
      <c r="E1341" s="2" t="s">
        <v>1503</v>
      </c>
      <c r="I1341" s="2" t="s">
        <v>19</v>
      </c>
      <c r="P1341" s="2" t="s">
        <v>1504</v>
      </c>
      <c r="T1341" s="5">
        <v>0</v>
      </c>
      <c r="V1341" s="49">
        <v>37700</v>
      </c>
      <c r="W1341" s="50"/>
    </row>
    <row r="1342" spans="2:23" x14ac:dyDescent="0.2">
      <c r="B1342" s="22" t="s">
        <v>245</v>
      </c>
      <c r="E1342" s="22" t="s">
        <v>246</v>
      </c>
      <c r="S1342" s="51">
        <v>0</v>
      </c>
      <c r="T1342" s="50"/>
      <c r="U1342" s="51">
        <v>37700</v>
      </c>
      <c r="V1342" s="50"/>
      <c r="W1342" s="50"/>
    </row>
    <row r="1344" spans="2:23" x14ac:dyDescent="0.2">
      <c r="B1344" s="22" t="s">
        <v>89</v>
      </c>
      <c r="E1344" s="22" t="s">
        <v>90</v>
      </c>
    </row>
    <row r="1345" spans="3:23" x14ac:dyDescent="0.2">
      <c r="C1345" s="2" t="s">
        <v>635</v>
      </c>
      <c r="E1345" s="2" t="s">
        <v>1505</v>
      </c>
      <c r="I1345" s="2" t="s">
        <v>64</v>
      </c>
      <c r="P1345" s="2" t="s">
        <v>1506</v>
      </c>
      <c r="T1345" s="5">
        <v>0</v>
      </c>
      <c r="V1345" s="49">
        <v>4600</v>
      </c>
      <c r="W1345" s="50"/>
    </row>
    <row r="1346" spans="3:23" x14ac:dyDescent="0.2">
      <c r="C1346" s="2" t="s">
        <v>376</v>
      </c>
      <c r="E1346" s="2" t="s">
        <v>1507</v>
      </c>
      <c r="I1346" s="2" t="s">
        <v>64</v>
      </c>
      <c r="P1346" s="2" t="s">
        <v>1508</v>
      </c>
      <c r="T1346" s="5">
        <v>0</v>
      </c>
      <c r="V1346" s="49">
        <v>4600</v>
      </c>
      <c r="W1346" s="50"/>
    </row>
    <row r="1347" spans="3:23" x14ac:dyDescent="0.2">
      <c r="C1347" s="2" t="s">
        <v>836</v>
      </c>
      <c r="E1347" s="2" t="s">
        <v>1509</v>
      </c>
      <c r="I1347" s="2" t="s">
        <v>64</v>
      </c>
      <c r="P1347" s="2" t="s">
        <v>1510</v>
      </c>
      <c r="T1347" s="5">
        <v>0</v>
      </c>
      <c r="V1347" s="49">
        <v>4600</v>
      </c>
      <c r="W1347" s="50"/>
    </row>
    <row r="1348" spans="3:23" x14ac:dyDescent="0.2">
      <c r="C1348" s="2" t="s">
        <v>513</v>
      </c>
      <c r="E1348" s="2" t="s">
        <v>1511</v>
      </c>
      <c r="I1348" s="2" t="s">
        <v>64</v>
      </c>
      <c r="P1348" s="2" t="s">
        <v>95</v>
      </c>
      <c r="T1348" s="5">
        <v>0</v>
      </c>
      <c r="V1348" s="49">
        <v>4600</v>
      </c>
      <c r="W1348" s="50"/>
    </row>
    <row r="1349" spans="3:23" x14ac:dyDescent="0.2">
      <c r="C1349" s="2" t="s">
        <v>1513</v>
      </c>
      <c r="E1349" s="2" t="s">
        <v>1512</v>
      </c>
      <c r="I1349" s="2" t="s">
        <v>64</v>
      </c>
      <c r="P1349" s="2" t="s">
        <v>1514</v>
      </c>
      <c r="T1349" s="5">
        <v>0</v>
      </c>
      <c r="V1349" s="49">
        <v>4600</v>
      </c>
      <c r="W1349" s="50"/>
    </row>
    <row r="1350" spans="3:23" x14ac:dyDescent="0.2">
      <c r="C1350" s="2" t="s">
        <v>407</v>
      </c>
      <c r="E1350" s="2" t="s">
        <v>1515</v>
      </c>
      <c r="I1350" s="2" t="s">
        <v>64</v>
      </c>
      <c r="P1350" s="2" t="s">
        <v>1516</v>
      </c>
      <c r="T1350" s="5">
        <v>0</v>
      </c>
      <c r="V1350" s="49">
        <v>4600</v>
      </c>
      <c r="W1350" s="50"/>
    </row>
    <row r="1351" spans="3:23" x14ac:dyDescent="0.2">
      <c r="C1351" s="2" t="s">
        <v>25</v>
      </c>
      <c r="E1351" s="2" t="s">
        <v>1517</v>
      </c>
      <c r="I1351" s="2" t="s">
        <v>64</v>
      </c>
      <c r="P1351" s="2" t="s">
        <v>1518</v>
      </c>
      <c r="T1351" s="5">
        <v>0</v>
      </c>
      <c r="V1351" s="49">
        <v>2300</v>
      </c>
      <c r="W1351" s="50"/>
    </row>
    <row r="1352" spans="3:23" x14ac:dyDescent="0.2">
      <c r="C1352" s="2" t="s">
        <v>25</v>
      </c>
      <c r="E1352" s="2" t="s">
        <v>1519</v>
      </c>
      <c r="I1352" s="2" t="s">
        <v>64</v>
      </c>
      <c r="P1352" s="2" t="s">
        <v>1520</v>
      </c>
      <c r="T1352" s="5">
        <v>0</v>
      </c>
      <c r="V1352" s="49">
        <v>2300</v>
      </c>
      <c r="W1352" s="50"/>
    </row>
    <row r="1353" spans="3:23" x14ac:dyDescent="0.2">
      <c r="C1353" s="2" t="s">
        <v>25</v>
      </c>
      <c r="E1353" s="2" t="s">
        <v>1521</v>
      </c>
      <c r="I1353" s="2" t="s">
        <v>64</v>
      </c>
      <c r="P1353" s="2" t="s">
        <v>95</v>
      </c>
      <c r="T1353" s="5">
        <v>0</v>
      </c>
      <c r="V1353" s="49">
        <v>2300</v>
      </c>
      <c r="W1353" s="50"/>
    </row>
    <row r="1354" spans="3:23" x14ac:dyDescent="0.2">
      <c r="C1354" s="2" t="s">
        <v>413</v>
      </c>
      <c r="E1354" s="2" t="s">
        <v>1522</v>
      </c>
      <c r="I1354" s="2" t="s">
        <v>64</v>
      </c>
      <c r="P1354" s="2" t="s">
        <v>1523</v>
      </c>
      <c r="T1354" s="5">
        <v>0</v>
      </c>
      <c r="V1354" s="49">
        <v>4600</v>
      </c>
      <c r="W1354" s="50"/>
    </row>
    <row r="1355" spans="3:23" x14ac:dyDescent="0.2">
      <c r="C1355" s="2" t="s">
        <v>1525</v>
      </c>
      <c r="E1355" s="2" t="s">
        <v>1524</v>
      </c>
      <c r="I1355" s="2" t="s">
        <v>64</v>
      </c>
      <c r="P1355" s="2" t="s">
        <v>1526</v>
      </c>
      <c r="T1355" s="5">
        <v>0</v>
      </c>
      <c r="V1355" s="49">
        <v>4600</v>
      </c>
      <c r="W1355" s="50"/>
    </row>
    <row r="1356" spans="3:23" x14ac:dyDescent="0.2">
      <c r="C1356" s="2" t="s">
        <v>1528</v>
      </c>
      <c r="E1356" s="2" t="s">
        <v>1527</v>
      </c>
      <c r="I1356" s="2" t="s">
        <v>64</v>
      </c>
      <c r="P1356" s="2" t="s">
        <v>1529</v>
      </c>
      <c r="T1356" s="5">
        <v>0</v>
      </c>
      <c r="V1356" s="49">
        <v>4600</v>
      </c>
      <c r="W1356" s="50"/>
    </row>
    <row r="1357" spans="3:23" x14ac:dyDescent="0.2">
      <c r="C1357" s="2" t="s">
        <v>1531</v>
      </c>
      <c r="E1357" s="2" t="s">
        <v>1530</v>
      </c>
      <c r="I1357" s="2" t="s">
        <v>64</v>
      </c>
      <c r="P1357" s="2" t="s">
        <v>1532</v>
      </c>
      <c r="T1357" s="5">
        <v>0</v>
      </c>
      <c r="V1357" s="49">
        <v>4600</v>
      </c>
      <c r="W1357" s="50"/>
    </row>
    <row r="1358" spans="3:23" x14ac:dyDescent="0.2">
      <c r="C1358" s="2" t="s">
        <v>1534</v>
      </c>
      <c r="E1358" s="2" t="s">
        <v>1533</v>
      </c>
      <c r="I1358" s="2" t="s">
        <v>64</v>
      </c>
      <c r="P1358" s="2" t="s">
        <v>1535</v>
      </c>
      <c r="T1358" s="5">
        <v>0</v>
      </c>
      <c r="V1358" s="49">
        <v>2300</v>
      </c>
      <c r="W1358" s="50"/>
    </row>
    <row r="1359" spans="3:23" x14ac:dyDescent="0.2">
      <c r="C1359" s="2" t="s">
        <v>256</v>
      </c>
      <c r="E1359" s="2" t="s">
        <v>1536</v>
      </c>
      <c r="I1359" s="2" t="s">
        <v>64</v>
      </c>
      <c r="P1359" s="2" t="s">
        <v>1537</v>
      </c>
      <c r="T1359" s="5">
        <v>0</v>
      </c>
      <c r="V1359" s="49">
        <v>2650</v>
      </c>
      <c r="W1359" s="50"/>
    </row>
    <row r="1360" spans="3:23" x14ac:dyDescent="0.2">
      <c r="C1360" s="2" t="s">
        <v>256</v>
      </c>
      <c r="E1360" s="2" t="s">
        <v>1538</v>
      </c>
      <c r="I1360" s="2" t="s">
        <v>64</v>
      </c>
      <c r="P1360" s="2" t="s">
        <v>1539</v>
      </c>
      <c r="T1360" s="5">
        <v>0</v>
      </c>
      <c r="V1360" s="49">
        <v>5300</v>
      </c>
      <c r="W1360" s="50"/>
    </row>
    <row r="1361" spans="2:23" x14ac:dyDescent="0.2">
      <c r="C1361" s="2" t="s">
        <v>256</v>
      </c>
      <c r="E1361" s="2" t="s">
        <v>1540</v>
      </c>
      <c r="I1361" s="2" t="s">
        <v>64</v>
      </c>
      <c r="P1361" s="2" t="s">
        <v>1541</v>
      </c>
      <c r="T1361" s="5">
        <v>0</v>
      </c>
      <c r="V1361" s="49">
        <v>5300</v>
      </c>
      <c r="W1361" s="50"/>
    </row>
    <row r="1362" spans="2:23" x14ac:dyDescent="0.2">
      <c r="C1362" s="2" t="s">
        <v>536</v>
      </c>
      <c r="E1362" s="2" t="s">
        <v>1542</v>
      </c>
      <c r="I1362" s="2" t="s">
        <v>64</v>
      </c>
      <c r="P1362" s="2" t="s">
        <v>1543</v>
      </c>
      <c r="T1362" s="5">
        <v>0</v>
      </c>
      <c r="V1362" s="49">
        <v>5300</v>
      </c>
      <c r="W1362" s="50"/>
    </row>
    <row r="1363" spans="2:23" x14ac:dyDescent="0.2">
      <c r="C1363" s="2" t="s">
        <v>544</v>
      </c>
      <c r="E1363" s="2" t="s">
        <v>1544</v>
      </c>
      <c r="I1363" s="2" t="s">
        <v>64</v>
      </c>
      <c r="P1363" s="2" t="s">
        <v>95</v>
      </c>
      <c r="T1363" s="5">
        <v>0</v>
      </c>
      <c r="V1363" s="49">
        <v>5300</v>
      </c>
      <c r="W1363" s="50"/>
    </row>
    <row r="1364" spans="2:23" x14ac:dyDescent="0.2">
      <c r="C1364" s="2" t="s">
        <v>261</v>
      </c>
      <c r="E1364" s="2" t="s">
        <v>1545</v>
      </c>
      <c r="I1364" s="2" t="s">
        <v>64</v>
      </c>
      <c r="P1364" s="2" t="s">
        <v>95</v>
      </c>
      <c r="T1364" s="5">
        <v>0</v>
      </c>
      <c r="V1364" s="49">
        <v>5300</v>
      </c>
      <c r="W1364" s="50"/>
    </row>
    <row r="1365" spans="2:23" x14ac:dyDescent="0.2">
      <c r="C1365" s="2" t="s">
        <v>705</v>
      </c>
      <c r="E1365" s="2" t="s">
        <v>1546</v>
      </c>
      <c r="I1365" s="2" t="s">
        <v>64</v>
      </c>
      <c r="P1365" s="2" t="s">
        <v>1547</v>
      </c>
      <c r="T1365" s="5">
        <v>0</v>
      </c>
      <c r="V1365" s="49">
        <v>5300</v>
      </c>
      <c r="W1365" s="50"/>
    </row>
    <row r="1366" spans="2:23" ht="18" x14ac:dyDescent="0.2">
      <c r="B1366" s="1" t="s">
        <v>1</v>
      </c>
      <c r="S1366" s="55" t="s">
        <v>1481</v>
      </c>
      <c r="T1366" s="50"/>
      <c r="U1366" s="50"/>
      <c r="V1366" s="50"/>
      <c r="W1366" s="50"/>
    </row>
    <row r="1367" spans="2:23" ht="12.75" thickBot="1" x14ac:dyDescent="0.25">
      <c r="B1367" s="10" t="s">
        <v>3</v>
      </c>
      <c r="C1367" s="6"/>
      <c r="D1367" s="6"/>
      <c r="E1367" s="6"/>
      <c r="F1367" s="6"/>
      <c r="G1367" s="6"/>
      <c r="H1367" s="6"/>
      <c r="I1367" s="6"/>
      <c r="J1367" s="6"/>
      <c r="K1367" s="6" t="s">
        <v>5</v>
      </c>
      <c r="L1367" s="6"/>
      <c r="M1367" s="6"/>
      <c r="N1367" s="6"/>
      <c r="O1367" s="6"/>
      <c r="P1367" s="6" t="s">
        <v>4</v>
      </c>
      <c r="Q1367" s="6" t="s">
        <v>2730</v>
      </c>
      <c r="R1367" s="6"/>
      <c r="S1367" s="56" t="s">
        <v>6</v>
      </c>
      <c r="T1367" s="57"/>
      <c r="U1367" s="57"/>
      <c r="V1367" s="57"/>
      <c r="W1367" s="57"/>
    </row>
    <row r="1368" spans="2:23" ht="12.75" thickTop="1" x14ac:dyDescent="0.2"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</row>
    <row r="1369" spans="2:23" x14ac:dyDescent="0.2">
      <c r="C1369" s="2" t="s">
        <v>481</v>
      </c>
      <c r="E1369" s="2" t="s">
        <v>1549</v>
      </c>
      <c r="I1369" s="2" t="s">
        <v>64</v>
      </c>
      <c r="P1369" s="2" t="s">
        <v>1550</v>
      </c>
      <c r="T1369" s="5">
        <v>0</v>
      </c>
      <c r="V1369" s="49">
        <v>5300</v>
      </c>
      <c r="W1369" s="50"/>
    </row>
    <row r="1370" spans="2:23" x14ac:dyDescent="0.2">
      <c r="C1370" s="2" t="s">
        <v>49</v>
      </c>
      <c r="E1370" s="2" t="s">
        <v>91</v>
      </c>
      <c r="I1370" s="2" t="s">
        <v>19</v>
      </c>
      <c r="P1370" s="2" t="s">
        <v>93</v>
      </c>
      <c r="T1370" s="5">
        <v>0</v>
      </c>
      <c r="V1370" s="49">
        <v>8003.2699999999995</v>
      </c>
      <c r="W1370" s="50"/>
    </row>
    <row r="1371" spans="2:23" x14ac:dyDescent="0.2">
      <c r="C1371" s="2" t="s">
        <v>349</v>
      </c>
      <c r="E1371" s="2" t="s">
        <v>1551</v>
      </c>
      <c r="I1371" s="2" t="s">
        <v>64</v>
      </c>
      <c r="P1371" s="2" t="s">
        <v>1552</v>
      </c>
      <c r="T1371" s="5">
        <v>0</v>
      </c>
      <c r="V1371" s="49">
        <v>5300</v>
      </c>
      <c r="W1371" s="50"/>
    </row>
    <row r="1372" spans="2:23" x14ac:dyDescent="0.2">
      <c r="C1372" s="2" t="s">
        <v>944</v>
      </c>
      <c r="E1372" s="2" t="s">
        <v>1553</v>
      </c>
      <c r="I1372" s="2" t="s">
        <v>64</v>
      </c>
      <c r="P1372" s="2" t="s">
        <v>1537</v>
      </c>
      <c r="T1372" s="5">
        <v>0</v>
      </c>
      <c r="V1372" s="49">
        <v>2650</v>
      </c>
      <c r="W1372" s="50"/>
    </row>
    <row r="1373" spans="2:23" x14ac:dyDescent="0.2">
      <c r="C1373" s="2" t="s">
        <v>736</v>
      </c>
      <c r="E1373" s="2" t="s">
        <v>1554</v>
      </c>
      <c r="I1373" s="2" t="s">
        <v>64</v>
      </c>
      <c r="P1373" s="2" t="s">
        <v>1555</v>
      </c>
      <c r="T1373" s="5">
        <v>0</v>
      </c>
      <c r="V1373" s="49">
        <v>5300</v>
      </c>
      <c r="W1373" s="50"/>
    </row>
    <row r="1374" spans="2:23" x14ac:dyDescent="0.2">
      <c r="C1374" s="2" t="s">
        <v>948</v>
      </c>
      <c r="E1374" s="2" t="s">
        <v>1556</v>
      </c>
      <c r="I1374" s="2" t="s">
        <v>64</v>
      </c>
      <c r="P1374" s="2" t="s">
        <v>1557</v>
      </c>
      <c r="T1374" s="5">
        <v>0</v>
      </c>
      <c r="V1374" s="49">
        <v>5300</v>
      </c>
      <c r="W1374" s="50"/>
    </row>
    <row r="1375" spans="2:23" x14ac:dyDescent="0.2">
      <c r="C1375" s="2" t="s">
        <v>565</v>
      </c>
      <c r="E1375" s="2" t="s">
        <v>1558</v>
      </c>
      <c r="I1375" s="2" t="s">
        <v>64</v>
      </c>
      <c r="P1375" s="2" t="s">
        <v>1559</v>
      </c>
      <c r="T1375" s="5">
        <v>0</v>
      </c>
      <c r="V1375" s="49">
        <v>5300</v>
      </c>
      <c r="W1375" s="50"/>
    </row>
    <row r="1376" spans="2:23" x14ac:dyDescent="0.2">
      <c r="C1376" s="2" t="s">
        <v>20</v>
      </c>
      <c r="E1376" s="2" t="s">
        <v>338</v>
      </c>
      <c r="I1376" s="2" t="s">
        <v>19</v>
      </c>
      <c r="P1376" s="2" t="s">
        <v>339</v>
      </c>
      <c r="T1376" s="5">
        <v>0</v>
      </c>
      <c r="V1376" s="49">
        <v>-12886.27</v>
      </c>
      <c r="W1376" s="50"/>
    </row>
    <row r="1377" spans="2:23" x14ac:dyDescent="0.2">
      <c r="B1377" s="22" t="s">
        <v>89</v>
      </c>
      <c r="E1377" s="22" t="s">
        <v>90</v>
      </c>
      <c r="S1377" s="51">
        <v>0</v>
      </c>
      <c r="T1377" s="50"/>
      <c r="U1377" s="51">
        <v>113917</v>
      </c>
      <c r="V1377" s="50"/>
      <c r="W1377" s="50"/>
    </row>
    <row r="1378" spans="2:23" x14ac:dyDescent="0.2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  <c r="V1378" s="8"/>
      <c r="W1378" s="8"/>
    </row>
    <row r="1379" spans="2:23" x14ac:dyDescent="0.2"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52">
        <v>0</v>
      </c>
      <c r="T1379" s="53"/>
      <c r="U1379" s="52">
        <v>151617</v>
      </c>
      <c r="V1379" s="53"/>
      <c r="W1379" s="53"/>
    </row>
    <row r="1380" spans="2:23" x14ac:dyDescent="0.2">
      <c r="B1380" s="8"/>
      <c r="C1380" s="8"/>
      <c r="D1380" s="20" t="s">
        <v>96</v>
      </c>
      <c r="E1380" s="8"/>
      <c r="F1380" s="8"/>
      <c r="G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11">
        <v>151617</v>
      </c>
      <c r="S1380" s="8"/>
      <c r="T1380" s="8"/>
      <c r="U1380" s="8"/>
      <c r="V1380" s="8"/>
      <c r="W1380" s="8"/>
    </row>
    <row r="1381" spans="2:23" x14ac:dyDescent="0.2"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9"/>
      <c r="U1381" s="9"/>
      <c r="V1381" s="9"/>
      <c r="W1381" s="9"/>
    </row>
    <row r="1382" spans="2:23" x14ac:dyDescent="0.2">
      <c r="B1382" s="22" t="s">
        <v>7</v>
      </c>
      <c r="D1382" s="22" t="s">
        <v>1482</v>
      </c>
      <c r="O1382" s="20" t="s">
        <v>97</v>
      </c>
      <c r="P1382" s="8"/>
      <c r="Q1382" s="8"/>
      <c r="R1382" s="11">
        <v>-41246.04</v>
      </c>
    </row>
    <row r="1383" spans="2:23" x14ac:dyDescent="0.2">
      <c r="O1383" s="9"/>
      <c r="P1383" s="9"/>
      <c r="Q1383" s="9"/>
      <c r="R1383" s="9"/>
    </row>
    <row r="1384" spans="2:23" x14ac:dyDescent="0.2">
      <c r="B1384" s="2" t="s">
        <v>98</v>
      </c>
    </row>
    <row r="1386" spans="2:23" ht="24" customHeight="1" x14ac:dyDescent="0.2">
      <c r="B1386" s="54" t="s">
        <v>0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  <c r="R1386" s="50"/>
      <c r="S1386" s="50"/>
      <c r="T1386" s="50"/>
      <c r="U1386" s="50"/>
      <c r="V1386" s="50"/>
      <c r="W1386" s="50"/>
    </row>
    <row r="1387" spans="2:23" ht="18" x14ac:dyDescent="0.2">
      <c r="B1387" s="1" t="s">
        <v>1</v>
      </c>
      <c r="S1387" s="55" t="s">
        <v>1548</v>
      </c>
      <c r="T1387" s="50"/>
      <c r="U1387" s="50"/>
      <c r="V1387" s="50"/>
      <c r="W1387" s="50"/>
    </row>
    <row r="1388" spans="2:23" ht="12.75" thickBot="1" x14ac:dyDescent="0.25">
      <c r="B1388" s="10" t="s">
        <v>3</v>
      </c>
      <c r="C1388" s="6"/>
      <c r="D1388" s="6"/>
      <c r="E1388" s="6"/>
      <c r="F1388" s="6"/>
      <c r="G1388" s="6"/>
      <c r="H1388" s="6"/>
      <c r="I1388" s="6"/>
      <c r="J1388" s="6"/>
      <c r="K1388" s="6" t="s">
        <v>5</v>
      </c>
      <c r="L1388" s="6"/>
      <c r="M1388" s="6"/>
      <c r="N1388" s="6"/>
      <c r="O1388" s="6"/>
      <c r="P1388" s="6" t="s">
        <v>4</v>
      </c>
      <c r="Q1388" s="6" t="s">
        <v>2730</v>
      </c>
      <c r="R1388" s="6"/>
      <c r="S1388" s="56" t="s">
        <v>6</v>
      </c>
      <c r="T1388" s="57"/>
      <c r="U1388" s="57"/>
      <c r="V1388" s="57"/>
      <c r="W1388" s="57"/>
    </row>
    <row r="1389" spans="2:23" ht="12.75" thickTop="1" x14ac:dyDescent="0.2"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</row>
    <row r="1390" spans="2:23" ht="15.75" x14ac:dyDescent="0.2">
      <c r="B1390" s="3" t="s">
        <v>7</v>
      </c>
      <c r="F1390" s="3" t="s">
        <v>1561</v>
      </c>
    </row>
    <row r="1392" spans="2:23" x14ac:dyDescent="0.2">
      <c r="B1392" s="8"/>
      <c r="C1392" s="20" t="s">
        <v>8</v>
      </c>
      <c r="D1392" s="8"/>
      <c r="E1392" s="20" t="s">
        <v>9</v>
      </c>
      <c r="F1392" s="8"/>
      <c r="G1392" s="8"/>
      <c r="H1392" s="8"/>
      <c r="I1392" s="20" t="s">
        <v>13</v>
      </c>
      <c r="J1392" s="8"/>
      <c r="K1392" s="8"/>
      <c r="L1392" s="20" t="s">
        <v>12</v>
      </c>
      <c r="M1392" s="8"/>
      <c r="N1392" s="8"/>
      <c r="O1392" s="8"/>
      <c r="P1392" s="20" t="s">
        <v>14</v>
      </c>
      <c r="Q1392" s="8"/>
      <c r="R1392" s="8"/>
      <c r="S1392" s="8"/>
      <c r="T1392" s="21" t="s">
        <v>11</v>
      </c>
      <c r="U1392" s="8"/>
      <c r="V1392" s="58" t="s">
        <v>10</v>
      </c>
      <c r="W1392" s="59"/>
    </row>
    <row r="1393" spans="2:23" x14ac:dyDescent="0.2"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9"/>
      <c r="U1393" s="9"/>
      <c r="V1393" s="9"/>
      <c r="W1393" s="9"/>
    </row>
    <row r="1394" spans="2:23" ht="15" x14ac:dyDescent="0.2">
      <c r="B1394" s="4" t="s">
        <v>15</v>
      </c>
    </row>
    <row r="1396" spans="2:23" x14ac:dyDescent="0.2">
      <c r="B1396" s="22" t="s">
        <v>1562</v>
      </c>
      <c r="E1396" s="22" t="s">
        <v>1563</v>
      </c>
    </row>
    <row r="1397" spans="2:23" x14ac:dyDescent="0.2">
      <c r="C1397" s="2" t="s">
        <v>37</v>
      </c>
      <c r="E1397" s="2" t="s">
        <v>1564</v>
      </c>
      <c r="I1397" s="2" t="s">
        <v>19</v>
      </c>
      <c r="P1397" s="2" t="s">
        <v>1565</v>
      </c>
      <c r="T1397" s="5">
        <v>34661</v>
      </c>
      <c r="V1397" s="49">
        <v>0</v>
      </c>
      <c r="W1397" s="50"/>
    </row>
    <row r="1398" spans="2:23" x14ac:dyDescent="0.2">
      <c r="B1398" s="22" t="s">
        <v>1562</v>
      </c>
      <c r="E1398" s="22" t="s">
        <v>1563</v>
      </c>
      <c r="S1398" s="51">
        <v>34661</v>
      </c>
      <c r="T1398" s="50"/>
      <c r="U1398" s="51">
        <v>0</v>
      </c>
      <c r="V1398" s="50"/>
      <c r="W1398" s="50"/>
    </row>
    <row r="1400" spans="2:23" x14ac:dyDescent="0.2">
      <c r="B1400" s="22" t="s">
        <v>16</v>
      </c>
      <c r="E1400" s="22" t="s">
        <v>17</v>
      </c>
    </row>
    <row r="1401" spans="2:23" x14ac:dyDescent="0.2">
      <c r="C1401" s="2" t="s">
        <v>20</v>
      </c>
      <c r="E1401" s="2" t="s">
        <v>18</v>
      </c>
      <c r="I1401" s="2" t="s">
        <v>19</v>
      </c>
      <c r="P1401" s="2" t="s">
        <v>21</v>
      </c>
      <c r="T1401" s="5">
        <v>66876.429999999993</v>
      </c>
      <c r="V1401" s="49">
        <v>0</v>
      </c>
      <c r="W1401" s="50"/>
    </row>
    <row r="1402" spans="2:23" x14ac:dyDescent="0.2">
      <c r="B1402" s="22" t="s">
        <v>16</v>
      </c>
      <c r="E1402" s="22" t="s">
        <v>17</v>
      </c>
      <c r="S1402" s="51">
        <v>66876.429999999993</v>
      </c>
      <c r="T1402" s="50"/>
      <c r="U1402" s="51">
        <v>0</v>
      </c>
      <c r="V1402" s="50"/>
      <c r="W1402" s="50"/>
    </row>
    <row r="1404" spans="2:23" x14ac:dyDescent="0.2">
      <c r="B1404" s="22" t="s">
        <v>178</v>
      </c>
      <c r="E1404" s="22" t="s">
        <v>179</v>
      </c>
    </row>
    <row r="1405" spans="2:23" x14ac:dyDescent="0.2">
      <c r="C1405" s="2" t="s">
        <v>391</v>
      </c>
      <c r="E1405" s="2" t="s">
        <v>1566</v>
      </c>
      <c r="I1405" s="2" t="s">
        <v>19</v>
      </c>
      <c r="P1405" s="2" t="s">
        <v>1567</v>
      </c>
      <c r="T1405" s="5">
        <v>2025</v>
      </c>
      <c r="V1405" s="49">
        <v>0</v>
      </c>
      <c r="W1405" s="50"/>
    </row>
    <row r="1406" spans="2:23" x14ac:dyDescent="0.2">
      <c r="C1406" s="2" t="s">
        <v>1569</v>
      </c>
      <c r="E1406" s="2" t="s">
        <v>1568</v>
      </c>
      <c r="I1406" s="2" t="s">
        <v>19</v>
      </c>
      <c r="P1406" s="2" t="s">
        <v>1567</v>
      </c>
      <c r="T1406" s="5">
        <v>3600</v>
      </c>
      <c r="V1406" s="49">
        <v>0</v>
      </c>
      <c r="W1406" s="50"/>
    </row>
    <row r="1407" spans="2:23" x14ac:dyDescent="0.2">
      <c r="C1407" s="2" t="s">
        <v>742</v>
      </c>
      <c r="E1407" s="2" t="s">
        <v>1570</v>
      </c>
      <c r="I1407" s="2" t="s">
        <v>19</v>
      </c>
      <c r="P1407" s="2" t="s">
        <v>1567</v>
      </c>
      <c r="T1407" s="5">
        <v>3180</v>
      </c>
      <c r="V1407" s="49">
        <v>0</v>
      </c>
      <c r="W1407" s="50"/>
    </row>
    <row r="1408" spans="2:23" x14ac:dyDescent="0.2">
      <c r="B1408" s="22" t="s">
        <v>178</v>
      </c>
      <c r="E1408" s="22" t="s">
        <v>179</v>
      </c>
      <c r="S1408" s="51">
        <v>8805</v>
      </c>
      <c r="T1408" s="50"/>
      <c r="U1408" s="51">
        <v>0</v>
      </c>
      <c r="V1408" s="50"/>
      <c r="W1408" s="50"/>
    </row>
    <row r="1410" spans="2:23" x14ac:dyDescent="0.2">
      <c r="B1410" s="22" t="s">
        <v>22</v>
      </c>
      <c r="E1410" s="22" t="s">
        <v>23</v>
      </c>
    </row>
    <row r="1411" spans="2:23" x14ac:dyDescent="0.2">
      <c r="C1411" s="2" t="s">
        <v>20</v>
      </c>
      <c r="E1411" s="2" t="s">
        <v>59</v>
      </c>
      <c r="I1411" s="2" t="s">
        <v>19</v>
      </c>
      <c r="P1411" s="2" t="s">
        <v>60</v>
      </c>
      <c r="T1411" s="5">
        <v>21550</v>
      </c>
      <c r="V1411" s="49">
        <v>0</v>
      </c>
      <c r="W1411" s="50"/>
    </row>
    <row r="1412" spans="2:23" x14ac:dyDescent="0.2">
      <c r="B1412" s="22" t="s">
        <v>22</v>
      </c>
      <c r="E1412" s="22" t="s">
        <v>23</v>
      </c>
      <c r="S1412" s="51">
        <v>21550</v>
      </c>
      <c r="T1412" s="50"/>
      <c r="U1412" s="51">
        <v>0</v>
      </c>
      <c r="V1412" s="50"/>
      <c r="W1412" s="50"/>
    </row>
    <row r="1413" spans="2:23" x14ac:dyDescent="0.2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  <c r="N1413" s="8"/>
      <c r="O1413" s="8"/>
      <c r="P1413" s="8"/>
      <c r="Q1413" s="8"/>
      <c r="R1413" s="8"/>
      <c r="S1413" s="8"/>
      <c r="T1413" s="8"/>
      <c r="U1413" s="8"/>
      <c r="V1413" s="8"/>
      <c r="W1413" s="8"/>
    </row>
    <row r="1414" spans="2:23" x14ac:dyDescent="0.2"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52">
        <v>131892.43</v>
      </c>
      <c r="T1414" s="53"/>
      <c r="U1414" s="52">
        <v>0</v>
      </c>
      <c r="V1414" s="53"/>
      <c r="W1414" s="53"/>
    </row>
    <row r="1415" spans="2:23" x14ac:dyDescent="0.2">
      <c r="B1415" s="8"/>
      <c r="C1415" s="8"/>
      <c r="D1415" s="20" t="s">
        <v>81</v>
      </c>
      <c r="E1415" s="8"/>
      <c r="F1415" s="8"/>
      <c r="G1415" s="8"/>
      <c r="H1415" s="8"/>
      <c r="I1415" s="8"/>
      <c r="J1415" s="8"/>
      <c r="K1415" s="8"/>
      <c r="L1415" s="8"/>
      <c r="M1415" s="8"/>
      <c r="N1415" s="8"/>
      <c r="O1415" s="8"/>
      <c r="P1415" s="8"/>
      <c r="Q1415" s="8"/>
      <c r="R1415" s="11">
        <v>131892.43</v>
      </c>
      <c r="S1415" s="8"/>
      <c r="T1415" s="8"/>
      <c r="U1415" s="8"/>
      <c r="V1415" s="8"/>
      <c r="W1415" s="8"/>
    </row>
    <row r="1416" spans="2:23" x14ac:dyDescent="0.2"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9"/>
      <c r="U1416" s="9"/>
      <c r="V1416" s="9"/>
      <c r="W1416" s="9"/>
    </row>
    <row r="1418" spans="2:23" ht="15" x14ac:dyDescent="0.2">
      <c r="B1418" s="4" t="s">
        <v>82</v>
      </c>
    </row>
    <row r="1420" spans="2:23" x14ac:dyDescent="0.2">
      <c r="B1420" s="22" t="s">
        <v>89</v>
      </c>
      <c r="E1420" s="22" t="s">
        <v>90</v>
      </c>
    </row>
    <row r="1421" spans="2:23" x14ac:dyDescent="0.2">
      <c r="C1421" s="2" t="s">
        <v>623</v>
      </c>
      <c r="E1421" s="2" t="s">
        <v>1571</v>
      </c>
      <c r="I1421" s="2" t="s">
        <v>64</v>
      </c>
      <c r="P1421" s="2" t="s">
        <v>1572</v>
      </c>
      <c r="T1421" s="5">
        <v>0</v>
      </c>
      <c r="V1421" s="49">
        <v>4600</v>
      </c>
      <c r="W1421" s="50"/>
    </row>
    <row r="1422" spans="2:23" x14ac:dyDescent="0.2">
      <c r="C1422" s="2" t="s">
        <v>399</v>
      </c>
      <c r="E1422" s="2" t="s">
        <v>1573</v>
      </c>
      <c r="I1422" s="2" t="s">
        <v>64</v>
      </c>
      <c r="P1422" s="2" t="s">
        <v>1574</v>
      </c>
      <c r="T1422" s="5">
        <v>0</v>
      </c>
      <c r="V1422" s="49">
        <v>4600</v>
      </c>
      <c r="W1422" s="50"/>
    </row>
    <row r="1423" spans="2:23" x14ac:dyDescent="0.2">
      <c r="C1423" s="2" t="s">
        <v>399</v>
      </c>
      <c r="E1423" s="2" t="s">
        <v>1575</v>
      </c>
      <c r="I1423" s="2" t="s">
        <v>64</v>
      </c>
      <c r="P1423" s="2" t="s">
        <v>1576</v>
      </c>
      <c r="T1423" s="5">
        <v>0</v>
      </c>
      <c r="V1423" s="49">
        <v>4600</v>
      </c>
      <c r="W1423" s="50"/>
    </row>
    <row r="1424" spans="2:23" x14ac:dyDescent="0.2">
      <c r="C1424" s="2" t="s">
        <v>635</v>
      </c>
      <c r="E1424" s="2" t="s">
        <v>1577</v>
      </c>
      <c r="I1424" s="2" t="s">
        <v>64</v>
      </c>
      <c r="P1424" s="2" t="s">
        <v>1578</v>
      </c>
      <c r="T1424" s="5">
        <v>0</v>
      </c>
      <c r="V1424" s="49">
        <v>4600</v>
      </c>
      <c r="W1424" s="50"/>
    </row>
    <row r="1425" spans="3:23" x14ac:dyDescent="0.2">
      <c r="C1425" s="2" t="s">
        <v>391</v>
      </c>
      <c r="E1425" s="2" t="s">
        <v>1579</v>
      </c>
      <c r="I1425" s="2" t="s">
        <v>64</v>
      </c>
      <c r="P1425" s="2" t="s">
        <v>1580</v>
      </c>
      <c r="T1425" s="5">
        <v>0</v>
      </c>
      <c r="V1425" s="49">
        <v>4600</v>
      </c>
      <c r="W1425" s="50"/>
    </row>
    <row r="1426" spans="3:23" x14ac:dyDescent="0.2">
      <c r="C1426" s="2" t="s">
        <v>391</v>
      </c>
      <c r="E1426" s="2" t="s">
        <v>1581</v>
      </c>
      <c r="I1426" s="2" t="s">
        <v>64</v>
      </c>
      <c r="P1426" s="2" t="s">
        <v>1582</v>
      </c>
      <c r="T1426" s="5">
        <v>0</v>
      </c>
      <c r="V1426" s="49">
        <v>4600</v>
      </c>
      <c r="W1426" s="50"/>
    </row>
    <row r="1427" spans="3:23" x14ac:dyDescent="0.2">
      <c r="C1427" s="2" t="s">
        <v>651</v>
      </c>
      <c r="E1427" s="2" t="s">
        <v>1583</v>
      </c>
      <c r="I1427" s="2" t="s">
        <v>64</v>
      </c>
      <c r="P1427" s="2" t="s">
        <v>1584</v>
      </c>
      <c r="T1427" s="5">
        <v>0</v>
      </c>
      <c r="V1427" s="49">
        <v>-2400</v>
      </c>
      <c r="W1427" s="50"/>
    </row>
    <row r="1428" spans="3:23" x14ac:dyDescent="0.2">
      <c r="C1428" s="2" t="s">
        <v>404</v>
      </c>
      <c r="E1428" s="2" t="s">
        <v>1585</v>
      </c>
      <c r="I1428" s="2" t="s">
        <v>64</v>
      </c>
      <c r="P1428" s="2" t="s">
        <v>1586</v>
      </c>
      <c r="T1428" s="5">
        <v>0</v>
      </c>
      <c r="V1428" s="49">
        <v>4600</v>
      </c>
      <c r="W1428" s="50"/>
    </row>
    <row r="1429" spans="3:23" x14ac:dyDescent="0.2">
      <c r="C1429" s="2" t="s">
        <v>836</v>
      </c>
      <c r="E1429" s="2" t="s">
        <v>1587</v>
      </c>
      <c r="I1429" s="2" t="s">
        <v>87</v>
      </c>
      <c r="L1429" s="2" t="s">
        <v>1588</v>
      </c>
      <c r="P1429" s="2" t="s">
        <v>1589</v>
      </c>
      <c r="T1429" s="5">
        <v>0</v>
      </c>
      <c r="V1429" s="49">
        <v>4600</v>
      </c>
      <c r="W1429" s="50"/>
    </row>
    <row r="1430" spans="3:23" x14ac:dyDescent="0.2">
      <c r="C1430" s="2" t="s">
        <v>407</v>
      </c>
      <c r="E1430" s="2" t="s">
        <v>1590</v>
      </c>
      <c r="I1430" s="2" t="s">
        <v>64</v>
      </c>
      <c r="P1430" s="2" t="s">
        <v>1591</v>
      </c>
      <c r="T1430" s="5">
        <v>0</v>
      </c>
      <c r="V1430" s="49">
        <v>4600</v>
      </c>
      <c r="W1430" s="50"/>
    </row>
    <row r="1431" spans="3:23" x14ac:dyDescent="0.2">
      <c r="C1431" s="2" t="s">
        <v>407</v>
      </c>
      <c r="E1431" s="2" t="s">
        <v>1592</v>
      </c>
      <c r="I1431" s="2" t="s">
        <v>64</v>
      </c>
      <c r="P1431" s="2" t="s">
        <v>1593</v>
      </c>
      <c r="T1431" s="5">
        <v>0</v>
      </c>
      <c r="V1431" s="49">
        <v>2300</v>
      </c>
      <c r="W1431" s="50"/>
    </row>
    <row r="1432" spans="3:23" x14ac:dyDescent="0.2">
      <c r="C1432" s="2" t="s">
        <v>407</v>
      </c>
      <c r="E1432" s="2" t="s">
        <v>1594</v>
      </c>
      <c r="I1432" s="2" t="s">
        <v>64</v>
      </c>
      <c r="P1432" s="2" t="s">
        <v>1595</v>
      </c>
      <c r="T1432" s="5">
        <v>0</v>
      </c>
      <c r="V1432" s="49">
        <v>4600</v>
      </c>
      <c r="W1432" s="50"/>
    </row>
    <row r="1433" spans="3:23" x14ac:dyDescent="0.2">
      <c r="C1433" s="2" t="s">
        <v>407</v>
      </c>
      <c r="E1433" s="2" t="s">
        <v>1596</v>
      </c>
      <c r="I1433" s="2" t="s">
        <v>64</v>
      </c>
      <c r="P1433" s="2" t="s">
        <v>1597</v>
      </c>
      <c r="T1433" s="5">
        <v>0</v>
      </c>
      <c r="V1433" s="49">
        <v>4600</v>
      </c>
      <c r="W1433" s="50"/>
    </row>
    <row r="1434" spans="3:23" x14ac:dyDescent="0.2">
      <c r="C1434" s="2" t="s">
        <v>25</v>
      </c>
      <c r="E1434" s="2" t="s">
        <v>1598</v>
      </c>
      <c r="I1434" s="2" t="s">
        <v>64</v>
      </c>
      <c r="P1434" s="2" t="s">
        <v>95</v>
      </c>
      <c r="T1434" s="5">
        <v>0</v>
      </c>
      <c r="V1434" s="49">
        <v>4600</v>
      </c>
      <c r="W1434" s="50"/>
    </row>
    <row r="1435" spans="3:23" x14ac:dyDescent="0.2">
      <c r="C1435" s="2" t="s">
        <v>25</v>
      </c>
      <c r="E1435" s="2" t="s">
        <v>1599</v>
      </c>
      <c r="I1435" s="2" t="s">
        <v>64</v>
      </c>
      <c r="P1435" s="2" t="s">
        <v>95</v>
      </c>
      <c r="T1435" s="5">
        <v>0</v>
      </c>
      <c r="V1435" s="49">
        <v>4600</v>
      </c>
      <c r="W1435" s="50"/>
    </row>
    <row r="1436" spans="3:23" x14ac:dyDescent="0.2">
      <c r="C1436" s="2" t="s">
        <v>25</v>
      </c>
      <c r="E1436" s="2" t="s">
        <v>1600</v>
      </c>
      <c r="I1436" s="2" t="s">
        <v>64</v>
      </c>
      <c r="P1436" s="2" t="s">
        <v>95</v>
      </c>
      <c r="T1436" s="5">
        <v>0</v>
      </c>
      <c r="V1436" s="49">
        <v>4600</v>
      </c>
      <c r="W1436" s="50"/>
    </row>
    <row r="1437" spans="3:23" x14ac:dyDescent="0.2">
      <c r="C1437" s="2" t="s">
        <v>410</v>
      </c>
      <c r="E1437" s="2" t="s">
        <v>1601</v>
      </c>
      <c r="I1437" s="2" t="s">
        <v>64</v>
      </c>
      <c r="P1437" s="2" t="s">
        <v>1602</v>
      </c>
      <c r="T1437" s="5">
        <v>0</v>
      </c>
      <c r="V1437" s="49">
        <v>4600</v>
      </c>
      <c r="W1437" s="50"/>
    </row>
    <row r="1438" spans="3:23" x14ac:dyDescent="0.2">
      <c r="C1438" s="2" t="s">
        <v>410</v>
      </c>
      <c r="E1438" s="2" t="s">
        <v>1603</v>
      </c>
      <c r="I1438" s="2" t="s">
        <v>64</v>
      </c>
      <c r="P1438" s="2" t="s">
        <v>1550</v>
      </c>
      <c r="T1438" s="5">
        <v>0</v>
      </c>
      <c r="V1438" s="49">
        <v>4600</v>
      </c>
      <c r="W1438" s="50"/>
    </row>
    <row r="1439" spans="3:23" x14ac:dyDescent="0.2">
      <c r="C1439" s="2" t="s">
        <v>256</v>
      </c>
      <c r="E1439" s="2" t="s">
        <v>1604</v>
      </c>
      <c r="I1439" s="2" t="s">
        <v>64</v>
      </c>
      <c r="P1439" s="2" t="s">
        <v>95</v>
      </c>
      <c r="T1439" s="5">
        <v>0</v>
      </c>
      <c r="V1439" s="49">
        <v>5300</v>
      </c>
      <c r="W1439" s="50"/>
    </row>
    <row r="1440" spans="3:23" x14ac:dyDescent="0.2">
      <c r="C1440" s="2" t="s">
        <v>531</v>
      </c>
      <c r="E1440" s="2" t="s">
        <v>1605</v>
      </c>
      <c r="I1440" s="2" t="s">
        <v>64</v>
      </c>
      <c r="P1440" s="2" t="s">
        <v>1606</v>
      </c>
      <c r="T1440" s="5">
        <v>0</v>
      </c>
      <c r="V1440" s="49">
        <v>5300</v>
      </c>
      <c r="W1440" s="50"/>
    </row>
    <row r="1441" spans="2:23" x14ac:dyDescent="0.2">
      <c r="C1441" s="2" t="s">
        <v>531</v>
      </c>
      <c r="E1441" s="2" t="s">
        <v>1607</v>
      </c>
      <c r="I1441" s="2" t="s">
        <v>64</v>
      </c>
      <c r="P1441" s="2" t="s">
        <v>1608</v>
      </c>
      <c r="T1441" s="5">
        <v>0</v>
      </c>
      <c r="V1441" s="49">
        <v>5300</v>
      </c>
      <c r="W1441" s="50"/>
    </row>
    <row r="1442" spans="2:23" x14ac:dyDescent="0.2">
      <c r="C1442" s="2" t="s">
        <v>531</v>
      </c>
      <c r="E1442" s="2" t="s">
        <v>1609</v>
      </c>
      <c r="I1442" s="2" t="s">
        <v>64</v>
      </c>
      <c r="P1442" s="2" t="s">
        <v>1610</v>
      </c>
      <c r="T1442" s="5">
        <v>0</v>
      </c>
      <c r="V1442" s="49">
        <v>5300</v>
      </c>
      <c r="W1442" s="50"/>
    </row>
    <row r="1443" spans="2:23" x14ac:dyDescent="0.2">
      <c r="C1443" s="2" t="s">
        <v>544</v>
      </c>
      <c r="E1443" s="2" t="s">
        <v>1611</v>
      </c>
      <c r="I1443" s="2" t="s">
        <v>64</v>
      </c>
      <c r="P1443" s="2" t="s">
        <v>1586</v>
      </c>
      <c r="T1443" s="5">
        <v>0</v>
      </c>
      <c r="V1443" s="49">
        <v>5300</v>
      </c>
      <c r="W1443" s="50"/>
    </row>
    <row r="1444" spans="2:23" x14ac:dyDescent="0.2">
      <c r="C1444" s="2" t="s">
        <v>196</v>
      </c>
      <c r="E1444" s="2" t="s">
        <v>1612</v>
      </c>
      <c r="I1444" s="2" t="s">
        <v>64</v>
      </c>
      <c r="P1444" s="2" t="s">
        <v>1613</v>
      </c>
      <c r="T1444" s="5">
        <v>0</v>
      </c>
      <c r="V1444" s="49">
        <v>5300</v>
      </c>
      <c r="W1444" s="50"/>
    </row>
    <row r="1445" spans="2:23" x14ac:dyDescent="0.2">
      <c r="C1445" s="2" t="s">
        <v>196</v>
      </c>
      <c r="E1445" s="2" t="s">
        <v>1614</v>
      </c>
      <c r="I1445" s="2" t="s">
        <v>64</v>
      </c>
      <c r="P1445" s="2" t="s">
        <v>1615</v>
      </c>
      <c r="T1445" s="5">
        <v>0</v>
      </c>
      <c r="V1445" s="49">
        <v>5300</v>
      </c>
      <c r="W1445" s="50"/>
    </row>
    <row r="1446" spans="2:23" x14ac:dyDescent="0.2">
      <c r="C1446" s="2" t="s">
        <v>709</v>
      </c>
      <c r="E1446" s="2" t="s">
        <v>1616</v>
      </c>
      <c r="I1446" s="2" t="s">
        <v>64</v>
      </c>
      <c r="P1446" s="2" t="s">
        <v>1617</v>
      </c>
      <c r="T1446" s="5">
        <v>0</v>
      </c>
      <c r="V1446" s="49">
        <v>5300</v>
      </c>
      <c r="W1446" s="50"/>
    </row>
    <row r="1447" spans="2:23" x14ac:dyDescent="0.2">
      <c r="C1447" s="2" t="s">
        <v>481</v>
      </c>
      <c r="E1447" s="2" t="s">
        <v>1618</v>
      </c>
      <c r="I1447" s="2" t="s">
        <v>64</v>
      </c>
      <c r="P1447" s="2" t="s">
        <v>1619</v>
      </c>
      <c r="T1447" s="5">
        <v>0</v>
      </c>
      <c r="V1447" s="49">
        <v>5300</v>
      </c>
      <c r="W1447" s="50"/>
    </row>
    <row r="1448" spans="2:23" x14ac:dyDescent="0.2">
      <c r="C1448" s="2" t="s">
        <v>481</v>
      </c>
      <c r="E1448" s="2" t="s">
        <v>1620</v>
      </c>
      <c r="I1448" s="2" t="s">
        <v>64</v>
      </c>
      <c r="P1448" s="2" t="s">
        <v>95</v>
      </c>
      <c r="T1448" s="5">
        <v>0</v>
      </c>
      <c r="V1448" s="49">
        <v>5300</v>
      </c>
      <c r="W1448" s="50"/>
    </row>
    <row r="1449" spans="2:23" x14ac:dyDescent="0.2">
      <c r="C1449" s="2" t="s">
        <v>49</v>
      </c>
      <c r="E1449" s="2" t="s">
        <v>91</v>
      </c>
      <c r="I1449" s="2" t="s">
        <v>19</v>
      </c>
      <c r="P1449" s="2" t="s">
        <v>93</v>
      </c>
      <c r="T1449" s="5">
        <v>0</v>
      </c>
      <c r="V1449" s="49">
        <v>17603.14</v>
      </c>
      <c r="W1449" s="50"/>
    </row>
    <row r="1450" spans="2:23" x14ac:dyDescent="0.2">
      <c r="C1450" s="2" t="s">
        <v>49</v>
      </c>
      <c r="E1450" s="2" t="s">
        <v>1621</v>
      </c>
      <c r="I1450" s="2" t="s">
        <v>64</v>
      </c>
      <c r="P1450" s="2" t="s">
        <v>1622</v>
      </c>
      <c r="T1450" s="5">
        <v>0</v>
      </c>
      <c r="V1450" s="49">
        <v>5300</v>
      </c>
      <c r="W1450" s="50"/>
    </row>
    <row r="1451" spans="2:23" x14ac:dyDescent="0.2">
      <c r="C1451" s="2" t="s">
        <v>49</v>
      </c>
      <c r="E1451" s="2" t="s">
        <v>1623</v>
      </c>
      <c r="I1451" s="2" t="s">
        <v>64</v>
      </c>
      <c r="P1451" s="2" t="s">
        <v>95</v>
      </c>
      <c r="T1451" s="5">
        <v>0</v>
      </c>
      <c r="V1451" s="49">
        <v>5300</v>
      </c>
      <c r="W1451" s="50"/>
    </row>
    <row r="1452" spans="2:23" x14ac:dyDescent="0.2">
      <c r="C1452" s="2" t="s">
        <v>733</v>
      </c>
      <c r="E1452" s="2" t="s">
        <v>1624</v>
      </c>
      <c r="I1452" s="2" t="s">
        <v>64</v>
      </c>
      <c r="P1452" s="2" t="s">
        <v>1625</v>
      </c>
      <c r="T1452" s="5">
        <v>0</v>
      </c>
      <c r="V1452" s="49">
        <v>5300</v>
      </c>
      <c r="W1452" s="50"/>
    </row>
    <row r="1453" spans="2:23" x14ac:dyDescent="0.2">
      <c r="C1453" s="2" t="s">
        <v>176</v>
      </c>
      <c r="E1453" s="2" t="s">
        <v>1626</v>
      </c>
      <c r="I1453" s="2" t="s">
        <v>64</v>
      </c>
      <c r="P1453" s="2" t="s">
        <v>1627</v>
      </c>
      <c r="T1453" s="5">
        <v>0</v>
      </c>
      <c r="V1453" s="49">
        <v>2650</v>
      </c>
      <c r="W1453" s="50"/>
    </row>
    <row r="1454" spans="2:23" x14ac:dyDescent="0.2">
      <c r="C1454" s="2" t="s">
        <v>176</v>
      </c>
      <c r="E1454" s="2" t="s">
        <v>1628</v>
      </c>
      <c r="I1454" s="2" t="s">
        <v>64</v>
      </c>
      <c r="P1454" s="2" t="s">
        <v>1629</v>
      </c>
      <c r="T1454" s="5">
        <v>0</v>
      </c>
      <c r="V1454" s="49">
        <v>5300</v>
      </c>
      <c r="W1454" s="50"/>
    </row>
    <row r="1456" spans="2:23" ht="18" x14ac:dyDescent="0.2">
      <c r="B1456" s="1" t="s">
        <v>1</v>
      </c>
      <c r="S1456" s="55" t="s">
        <v>1560</v>
      </c>
      <c r="T1456" s="50"/>
      <c r="U1456" s="50"/>
      <c r="V1456" s="50"/>
      <c r="W1456" s="50"/>
    </row>
    <row r="1457" spans="2:23" ht="12.75" thickBot="1" x14ac:dyDescent="0.25">
      <c r="B1457" s="10" t="s">
        <v>3</v>
      </c>
      <c r="C1457" s="6"/>
      <c r="D1457" s="6"/>
      <c r="E1457" s="6"/>
      <c r="F1457" s="6"/>
      <c r="G1457" s="6"/>
      <c r="H1457" s="6"/>
      <c r="I1457" s="6"/>
      <c r="J1457" s="6"/>
      <c r="K1457" s="6" t="s">
        <v>5</v>
      </c>
      <c r="L1457" s="6"/>
      <c r="M1457" s="6"/>
      <c r="N1457" s="6"/>
      <c r="O1457" s="6"/>
      <c r="P1457" s="6" t="s">
        <v>4</v>
      </c>
      <c r="Q1457" s="6" t="s">
        <v>2730</v>
      </c>
      <c r="R1457" s="6"/>
      <c r="S1457" s="56" t="s">
        <v>6</v>
      </c>
      <c r="T1457" s="57"/>
      <c r="U1457" s="57"/>
      <c r="V1457" s="57"/>
      <c r="W1457" s="57"/>
    </row>
    <row r="1458" spans="2:23" ht="12.75" thickTop="1" x14ac:dyDescent="0.2"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</row>
    <row r="1459" spans="2:23" x14ac:dyDescent="0.2">
      <c r="C1459" s="2" t="s">
        <v>20</v>
      </c>
      <c r="E1459" s="2" t="s">
        <v>338</v>
      </c>
      <c r="I1459" s="2" t="s">
        <v>19</v>
      </c>
      <c r="P1459" s="2" t="s">
        <v>339</v>
      </c>
      <c r="T1459" s="5">
        <v>0</v>
      </c>
      <c r="V1459" s="49">
        <v>-15570.92</v>
      </c>
      <c r="W1459" s="50"/>
    </row>
    <row r="1460" spans="2:23" x14ac:dyDescent="0.2">
      <c r="B1460" s="22" t="s">
        <v>89</v>
      </c>
      <c r="E1460" s="22" t="s">
        <v>90</v>
      </c>
      <c r="S1460" s="51">
        <v>0</v>
      </c>
      <c r="T1460" s="50"/>
      <c r="U1460" s="51">
        <v>152382.22</v>
      </c>
      <c r="V1460" s="50"/>
      <c r="W1460" s="50"/>
    </row>
    <row r="1461" spans="2:23" x14ac:dyDescent="0.2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8"/>
      <c r="S1461" s="8"/>
      <c r="T1461" s="8"/>
      <c r="U1461" s="8"/>
      <c r="V1461" s="8"/>
      <c r="W1461" s="8"/>
    </row>
    <row r="1462" spans="2:23" x14ac:dyDescent="0.2"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52">
        <v>0</v>
      </c>
      <c r="T1462" s="53"/>
      <c r="U1462" s="52">
        <v>152382.22</v>
      </c>
      <c r="V1462" s="53"/>
      <c r="W1462" s="53"/>
    </row>
    <row r="1463" spans="2:23" x14ac:dyDescent="0.2">
      <c r="B1463" s="8"/>
      <c r="C1463" s="8"/>
      <c r="D1463" s="20" t="s">
        <v>96</v>
      </c>
      <c r="E1463" s="8"/>
      <c r="F1463" s="8"/>
      <c r="G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11">
        <v>152382.22</v>
      </c>
      <c r="S1463" s="8"/>
      <c r="T1463" s="8"/>
      <c r="U1463" s="8"/>
      <c r="V1463" s="8"/>
      <c r="W1463" s="8"/>
    </row>
    <row r="1464" spans="2:23" x14ac:dyDescent="0.2"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9"/>
      <c r="U1464" s="9"/>
      <c r="V1464" s="9"/>
      <c r="W1464" s="9"/>
    </row>
    <row r="1465" spans="2:23" x14ac:dyDescent="0.2">
      <c r="B1465" s="22" t="s">
        <v>7</v>
      </c>
      <c r="D1465" s="22" t="s">
        <v>1561</v>
      </c>
      <c r="O1465" s="20" t="s">
        <v>97</v>
      </c>
      <c r="P1465" s="8"/>
      <c r="Q1465" s="8"/>
      <c r="R1465" s="11">
        <v>20489.79</v>
      </c>
    </row>
    <row r="1466" spans="2:23" x14ac:dyDescent="0.2">
      <c r="O1466" s="9"/>
      <c r="P1466" s="9"/>
      <c r="Q1466" s="9"/>
      <c r="R1466" s="9"/>
    </row>
    <row r="1467" spans="2:23" x14ac:dyDescent="0.2">
      <c r="B1467" s="2" t="s">
        <v>98</v>
      </c>
    </row>
    <row r="1469" spans="2:23" ht="24" customHeight="1" x14ac:dyDescent="0.2">
      <c r="B1469" s="54" t="s">
        <v>0</v>
      </c>
      <c r="C1469" s="50"/>
      <c r="D1469" s="50"/>
      <c r="E1469" s="50"/>
      <c r="F1469" s="50"/>
      <c r="G1469" s="50"/>
      <c r="H1469" s="50"/>
      <c r="I1469" s="50"/>
      <c r="J1469" s="50"/>
      <c r="K1469" s="50"/>
      <c r="L1469" s="50"/>
      <c r="M1469" s="50"/>
      <c r="N1469" s="50"/>
      <c r="O1469" s="50"/>
      <c r="P1469" s="50"/>
      <c r="Q1469" s="50"/>
      <c r="R1469" s="50"/>
      <c r="S1469" s="50"/>
      <c r="T1469" s="50"/>
      <c r="U1469" s="50"/>
      <c r="V1469" s="50"/>
      <c r="W1469" s="50"/>
    </row>
    <row r="1470" spans="2:23" ht="18" x14ac:dyDescent="0.2">
      <c r="B1470" s="1" t="s">
        <v>1</v>
      </c>
      <c r="S1470" s="55" t="s">
        <v>1630</v>
      </c>
      <c r="T1470" s="50"/>
      <c r="U1470" s="50"/>
      <c r="V1470" s="50"/>
      <c r="W1470" s="50"/>
    </row>
    <row r="1471" spans="2:23" ht="12.75" thickBot="1" x14ac:dyDescent="0.25">
      <c r="B1471" s="10" t="s">
        <v>3</v>
      </c>
      <c r="C1471" s="6"/>
      <c r="D1471" s="6"/>
      <c r="E1471" s="6"/>
      <c r="F1471" s="6"/>
      <c r="G1471" s="6"/>
      <c r="H1471" s="6"/>
      <c r="I1471" s="6"/>
      <c r="J1471" s="6"/>
      <c r="K1471" s="6" t="s">
        <v>5</v>
      </c>
      <c r="L1471" s="6"/>
      <c r="M1471" s="6"/>
      <c r="N1471" s="6"/>
      <c r="O1471" s="6"/>
      <c r="P1471" s="6" t="s">
        <v>4</v>
      </c>
      <c r="Q1471" s="6" t="s">
        <v>2730</v>
      </c>
      <c r="R1471" s="6"/>
      <c r="S1471" s="56" t="s">
        <v>6</v>
      </c>
      <c r="T1471" s="57"/>
      <c r="U1471" s="57"/>
      <c r="V1471" s="57"/>
      <c r="W1471" s="57"/>
    </row>
    <row r="1472" spans="2:23" ht="12.75" thickTop="1" x14ac:dyDescent="0.2"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</row>
    <row r="1473" spans="2:23" ht="15.75" x14ac:dyDescent="0.2">
      <c r="B1473" s="3" t="s">
        <v>7</v>
      </c>
      <c r="F1473" s="3" t="s">
        <v>1632</v>
      </c>
    </row>
    <row r="1475" spans="2:23" x14ac:dyDescent="0.2">
      <c r="B1475" s="8"/>
      <c r="C1475" s="20" t="s">
        <v>8</v>
      </c>
      <c r="D1475" s="8"/>
      <c r="E1475" s="20" t="s">
        <v>9</v>
      </c>
      <c r="F1475" s="8"/>
      <c r="G1475" s="8"/>
      <c r="H1475" s="8"/>
      <c r="I1475" s="20" t="s">
        <v>13</v>
      </c>
      <c r="J1475" s="8"/>
      <c r="K1475" s="8"/>
      <c r="L1475" s="20" t="s">
        <v>12</v>
      </c>
      <c r="M1475" s="8"/>
      <c r="N1475" s="8"/>
      <c r="O1475" s="8"/>
      <c r="P1475" s="20" t="s">
        <v>14</v>
      </c>
      <c r="Q1475" s="8"/>
      <c r="R1475" s="8"/>
      <c r="S1475" s="8"/>
      <c r="T1475" s="21" t="s">
        <v>11</v>
      </c>
      <c r="U1475" s="8"/>
      <c r="V1475" s="58" t="s">
        <v>10</v>
      </c>
      <c r="W1475" s="59"/>
    </row>
    <row r="1476" spans="2:23" x14ac:dyDescent="0.2"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9"/>
      <c r="U1476" s="9"/>
      <c r="V1476" s="9"/>
      <c r="W1476" s="9"/>
    </row>
    <row r="1477" spans="2:23" ht="15" x14ac:dyDescent="0.2">
      <c r="B1477" s="4" t="s">
        <v>15</v>
      </c>
    </row>
    <row r="1479" spans="2:23" x14ac:dyDescent="0.2">
      <c r="B1479" s="22" t="s">
        <v>16</v>
      </c>
      <c r="E1479" s="22" t="s">
        <v>17</v>
      </c>
    </row>
    <row r="1480" spans="2:23" x14ac:dyDescent="0.2">
      <c r="C1480" s="2" t="s">
        <v>20</v>
      </c>
      <c r="E1480" s="2" t="s">
        <v>18</v>
      </c>
      <c r="I1480" s="2" t="s">
        <v>19</v>
      </c>
      <c r="P1480" s="2" t="s">
        <v>21</v>
      </c>
      <c r="T1480" s="5">
        <v>82023.100000000006</v>
      </c>
      <c r="V1480" s="49">
        <v>0</v>
      </c>
      <c r="W1480" s="50"/>
    </row>
    <row r="1481" spans="2:23" x14ac:dyDescent="0.2">
      <c r="B1481" s="22" t="s">
        <v>16</v>
      </c>
      <c r="E1481" s="22" t="s">
        <v>17</v>
      </c>
      <c r="S1481" s="51">
        <v>82023.100000000006</v>
      </c>
      <c r="T1481" s="50"/>
      <c r="U1481" s="51">
        <v>0</v>
      </c>
      <c r="V1481" s="50"/>
      <c r="W1481" s="50"/>
    </row>
    <row r="1483" spans="2:23" x14ac:dyDescent="0.2">
      <c r="B1483" s="22" t="s">
        <v>178</v>
      </c>
      <c r="E1483" s="22" t="s">
        <v>179</v>
      </c>
    </row>
    <row r="1484" spans="2:23" x14ac:dyDescent="0.2">
      <c r="C1484" s="2" t="s">
        <v>1634</v>
      </c>
      <c r="E1484" s="2" t="s">
        <v>1633</v>
      </c>
      <c r="I1484" s="2" t="s">
        <v>19</v>
      </c>
      <c r="P1484" s="2" t="s">
        <v>1635</v>
      </c>
      <c r="T1484" s="5">
        <v>1707</v>
      </c>
      <c r="V1484" s="49">
        <v>0</v>
      </c>
      <c r="W1484" s="50"/>
    </row>
    <row r="1485" spans="2:23" x14ac:dyDescent="0.2">
      <c r="C1485" s="2" t="s">
        <v>733</v>
      </c>
      <c r="E1485" s="2" t="s">
        <v>1636</v>
      </c>
      <c r="I1485" s="2" t="s">
        <v>19</v>
      </c>
      <c r="P1485" s="2" t="s">
        <v>1637</v>
      </c>
      <c r="T1485" s="5">
        <v>1485</v>
      </c>
      <c r="V1485" s="49">
        <v>0</v>
      </c>
      <c r="W1485" s="50"/>
    </row>
    <row r="1486" spans="2:23" x14ac:dyDescent="0.2">
      <c r="C1486" s="2" t="s">
        <v>1339</v>
      </c>
      <c r="E1486" s="2" t="s">
        <v>1638</v>
      </c>
      <c r="I1486" s="2" t="s">
        <v>19</v>
      </c>
      <c r="P1486" s="2" t="s">
        <v>1637</v>
      </c>
      <c r="T1486" s="5">
        <v>1788</v>
      </c>
      <c r="V1486" s="49">
        <v>0</v>
      </c>
      <c r="W1486" s="50"/>
    </row>
    <row r="1487" spans="2:23" x14ac:dyDescent="0.2">
      <c r="B1487" s="22" t="s">
        <v>178</v>
      </c>
      <c r="E1487" s="22" t="s">
        <v>179</v>
      </c>
      <c r="S1487" s="51">
        <v>4980</v>
      </c>
      <c r="T1487" s="50"/>
      <c r="U1487" s="51">
        <v>0</v>
      </c>
      <c r="V1487" s="50"/>
      <c r="W1487" s="50"/>
    </row>
    <row r="1489" spans="2:23" x14ac:dyDescent="0.2">
      <c r="B1489" s="22" t="s">
        <v>22</v>
      </c>
      <c r="E1489" s="22" t="s">
        <v>23</v>
      </c>
    </row>
    <row r="1490" spans="2:23" x14ac:dyDescent="0.2">
      <c r="C1490" s="2" t="s">
        <v>20</v>
      </c>
      <c r="E1490" s="2" t="s">
        <v>59</v>
      </c>
      <c r="I1490" s="2" t="s">
        <v>19</v>
      </c>
      <c r="P1490" s="2" t="s">
        <v>60</v>
      </c>
      <c r="T1490" s="5">
        <v>37740</v>
      </c>
      <c r="V1490" s="49">
        <v>0</v>
      </c>
      <c r="W1490" s="50"/>
    </row>
    <row r="1491" spans="2:23" x14ac:dyDescent="0.2">
      <c r="B1491" s="22" t="s">
        <v>22</v>
      </c>
      <c r="E1491" s="22" t="s">
        <v>23</v>
      </c>
      <c r="S1491" s="51">
        <v>37740</v>
      </c>
      <c r="T1491" s="50"/>
      <c r="U1491" s="51">
        <v>0</v>
      </c>
      <c r="V1491" s="50"/>
      <c r="W1491" s="50"/>
    </row>
    <row r="1492" spans="2:23" x14ac:dyDescent="0.2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  <c r="V1492" s="8"/>
      <c r="W1492" s="8"/>
    </row>
    <row r="1493" spans="2:23" x14ac:dyDescent="0.2"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52">
        <v>124743.1</v>
      </c>
      <c r="T1493" s="53"/>
      <c r="U1493" s="52">
        <v>0</v>
      </c>
      <c r="V1493" s="53"/>
      <c r="W1493" s="53"/>
    </row>
    <row r="1494" spans="2:23" x14ac:dyDescent="0.2">
      <c r="B1494" s="8"/>
      <c r="C1494" s="8"/>
      <c r="D1494" s="20" t="s">
        <v>81</v>
      </c>
      <c r="E1494" s="8"/>
      <c r="F1494" s="8"/>
      <c r="G1494" s="8"/>
      <c r="H1494" s="8"/>
      <c r="I1494" s="8"/>
      <c r="J1494" s="8"/>
      <c r="K1494" s="8"/>
      <c r="L1494" s="8"/>
      <c r="M1494" s="8"/>
      <c r="N1494" s="8"/>
      <c r="O1494" s="8"/>
      <c r="P1494" s="8"/>
      <c r="Q1494" s="8"/>
      <c r="R1494" s="11">
        <v>124743.1</v>
      </c>
      <c r="S1494" s="8"/>
      <c r="T1494" s="8"/>
      <c r="U1494" s="8"/>
      <c r="V1494" s="8"/>
      <c r="W1494" s="8"/>
    </row>
    <row r="1495" spans="2:23" x14ac:dyDescent="0.2"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9"/>
      <c r="U1495" s="9"/>
      <c r="V1495" s="9"/>
      <c r="W1495" s="9"/>
    </row>
    <row r="1497" spans="2:23" ht="15" x14ac:dyDescent="0.2">
      <c r="B1497" s="4" t="s">
        <v>82</v>
      </c>
    </row>
    <row r="1499" spans="2:23" x14ac:dyDescent="0.2">
      <c r="B1499" s="22" t="s">
        <v>89</v>
      </c>
      <c r="E1499" s="22" t="s">
        <v>90</v>
      </c>
    </row>
    <row r="1500" spans="2:23" x14ac:dyDescent="0.2">
      <c r="C1500" s="2" t="s">
        <v>256</v>
      </c>
      <c r="E1500" s="2" t="s">
        <v>1639</v>
      </c>
      <c r="I1500" s="2" t="s">
        <v>64</v>
      </c>
      <c r="P1500" s="2" t="s">
        <v>1640</v>
      </c>
      <c r="T1500" s="5">
        <v>0</v>
      </c>
      <c r="V1500" s="49">
        <v>5300</v>
      </c>
      <c r="W1500" s="50"/>
    </row>
    <row r="1501" spans="2:23" x14ac:dyDescent="0.2">
      <c r="C1501" s="2" t="s">
        <v>256</v>
      </c>
      <c r="E1501" s="2" t="s">
        <v>1641</v>
      </c>
      <c r="I1501" s="2" t="s">
        <v>64</v>
      </c>
      <c r="P1501" s="2" t="s">
        <v>1642</v>
      </c>
      <c r="T1501" s="5">
        <v>0</v>
      </c>
      <c r="V1501" s="49">
        <v>5300</v>
      </c>
      <c r="W1501" s="50"/>
    </row>
    <row r="1502" spans="2:23" x14ac:dyDescent="0.2">
      <c r="C1502" s="2" t="s">
        <v>256</v>
      </c>
      <c r="E1502" s="2" t="s">
        <v>1643</v>
      </c>
      <c r="I1502" s="2" t="s">
        <v>64</v>
      </c>
      <c r="P1502" s="2" t="s">
        <v>1644</v>
      </c>
      <c r="T1502" s="5">
        <v>0</v>
      </c>
      <c r="V1502" s="49">
        <v>5300</v>
      </c>
      <c r="W1502" s="50"/>
    </row>
    <row r="1503" spans="2:23" x14ac:dyDescent="0.2">
      <c r="C1503" s="2" t="s">
        <v>531</v>
      </c>
      <c r="E1503" s="2" t="s">
        <v>1645</v>
      </c>
      <c r="I1503" s="2" t="s">
        <v>64</v>
      </c>
      <c r="P1503" s="2" t="s">
        <v>1646</v>
      </c>
      <c r="T1503" s="5">
        <v>0</v>
      </c>
      <c r="V1503" s="49">
        <v>5300</v>
      </c>
      <c r="W1503" s="50"/>
    </row>
    <row r="1504" spans="2:23" x14ac:dyDescent="0.2">
      <c r="C1504" s="2" t="s">
        <v>536</v>
      </c>
      <c r="E1504" s="2" t="s">
        <v>1647</v>
      </c>
      <c r="I1504" s="2" t="s">
        <v>64</v>
      </c>
      <c r="P1504" s="2" t="s">
        <v>1648</v>
      </c>
      <c r="T1504" s="5">
        <v>0</v>
      </c>
      <c r="V1504" s="49">
        <v>5300</v>
      </c>
      <c r="W1504" s="50"/>
    </row>
    <row r="1505" spans="2:23" x14ac:dyDescent="0.2">
      <c r="C1505" s="2" t="s">
        <v>220</v>
      </c>
      <c r="E1505" s="2" t="s">
        <v>1649</v>
      </c>
      <c r="I1505" s="2" t="s">
        <v>64</v>
      </c>
      <c r="P1505" s="2" t="s">
        <v>1650</v>
      </c>
      <c r="T1505" s="5">
        <v>0</v>
      </c>
      <c r="V1505" s="49">
        <v>2650</v>
      </c>
      <c r="W1505" s="50"/>
    </row>
    <row r="1506" spans="2:23" x14ac:dyDescent="0.2">
      <c r="C1506" s="2" t="s">
        <v>544</v>
      </c>
      <c r="E1506" s="2" t="s">
        <v>1651</v>
      </c>
      <c r="I1506" s="2" t="s">
        <v>64</v>
      </c>
      <c r="P1506" s="2" t="s">
        <v>1652</v>
      </c>
      <c r="T1506" s="5">
        <v>0</v>
      </c>
      <c r="V1506" s="49">
        <v>5300</v>
      </c>
      <c r="W1506" s="50"/>
    </row>
    <row r="1507" spans="2:23" x14ac:dyDescent="0.2">
      <c r="C1507" s="2" t="s">
        <v>544</v>
      </c>
      <c r="E1507" s="2" t="s">
        <v>1653</v>
      </c>
      <c r="I1507" s="2" t="s">
        <v>64</v>
      </c>
      <c r="P1507" s="2" t="s">
        <v>95</v>
      </c>
      <c r="T1507" s="5">
        <v>0</v>
      </c>
      <c r="V1507" s="49">
        <v>2650</v>
      </c>
      <c r="W1507" s="50"/>
    </row>
    <row r="1508" spans="2:23" x14ac:dyDescent="0.2">
      <c r="C1508" s="2" t="s">
        <v>544</v>
      </c>
      <c r="E1508" s="2" t="s">
        <v>1654</v>
      </c>
      <c r="I1508" s="2" t="s">
        <v>64</v>
      </c>
      <c r="P1508" s="2" t="s">
        <v>1655</v>
      </c>
      <c r="T1508" s="5">
        <v>0</v>
      </c>
      <c r="V1508" s="49">
        <v>5300</v>
      </c>
      <c r="W1508" s="50"/>
    </row>
    <row r="1509" spans="2:23" x14ac:dyDescent="0.2">
      <c r="C1509" s="2" t="s">
        <v>709</v>
      </c>
      <c r="E1509" s="2" t="s">
        <v>1656</v>
      </c>
      <c r="I1509" s="2" t="s">
        <v>64</v>
      </c>
      <c r="P1509" s="2" t="s">
        <v>1657</v>
      </c>
      <c r="T1509" s="5">
        <v>0</v>
      </c>
      <c r="V1509" s="49">
        <v>5300</v>
      </c>
      <c r="W1509" s="50"/>
    </row>
    <row r="1510" spans="2:23" x14ac:dyDescent="0.2">
      <c r="C1510" s="2" t="s">
        <v>481</v>
      </c>
      <c r="E1510" s="2" t="s">
        <v>1658</v>
      </c>
      <c r="I1510" s="2" t="s">
        <v>64</v>
      </c>
      <c r="P1510" s="2" t="s">
        <v>1659</v>
      </c>
      <c r="T1510" s="5">
        <v>0</v>
      </c>
      <c r="V1510" s="49">
        <v>5300</v>
      </c>
      <c r="W1510" s="50"/>
    </row>
    <row r="1511" spans="2:23" x14ac:dyDescent="0.2">
      <c r="C1511" s="2" t="s">
        <v>481</v>
      </c>
      <c r="E1511" s="2" t="s">
        <v>1660</v>
      </c>
      <c r="I1511" s="2" t="s">
        <v>64</v>
      </c>
      <c r="P1511" s="2" t="s">
        <v>1661</v>
      </c>
      <c r="T1511" s="5">
        <v>0</v>
      </c>
      <c r="V1511" s="49">
        <v>5300</v>
      </c>
      <c r="W1511" s="50"/>
    </row>
    <row r="1512" spans="2:23" x14ac:dyDescent="0.2">
      <c r="C1512" s="2" t="s">
        <v>481</v>
      </c>
      <c r="E1512" s="2" t="s">
        <v>1662</v>
      </c>
      <c r="I1512" s="2" t="s">
        <v>64</v>
      </c>
      <c r="P1512" s="2" t="s">
        <v>1663</v>
      </c>
      <c r="T1512" s="5">
        <v>0</v>
      </c>
      <c r="V1512" s="49">
        <v>5300</v>
      </c>
      <c r="W1512" s="50"/>
    </row>
    <row r="1513" spans="2:23" x14ac:dyDescent="0.2">
      <c r="C1513" s="2" t="s">
        <v>49</v>
      </c>
      <c r="E1513" s="2" t="s">
        <v>91</v>
      </c>
      <c r="I1513" s="2" t="s">
        <v>19</v>
      </c>
      <c r="P1513" s="2" t="s">
        <v>93</v>
      </c>
      <c r="T1513" s="5">
        <v>0</v>
      </c>
      <c r="V1513" s="49">
        <v>9354.7000000000007</v>
      </c>
      <c r="W1513" s="50"/>
    </row>
    <row r="1514" spans="2:23" x14ac:dyDescent="0.2">
      <c r="C1514" s="2" t="s">
        <v>20</v>
      </c>
      <c r="E1514" s="2" t="s">
        <v>338</v>
      </c>
      <c r="I1514" s="2" t="s">
        <v>19</v>
      </c>
      <c r="P1514" s="2" t="s">
        <v>339</v>
      </c>
      <c r="T1514" s="5">
        <v>0</v>
      </c>
      <c r="V1514" s="49">
        <v>-12886.27</v>
      </c>
      <c r="W1514" s="50"/>
    </row>
    <row r="1515" spans="2:23" x14ac:dyDescent="0.2">
      <c r="B1515" s="22" t="s">
        <v>89</v>
      </c>
      <c r="E1515" s="22" t="s">
        <v>90</v>
      </c>
      <c r="S1515" s="51">
        <v>0</v>
      </c>
      <c r="T1515" s="50"/>
      <c r="U1515" s="51">
        <v>60068.43</v>
      </c>
      <c r="V1515" s="50"/>
      <c r="W1515" s="50"/>
    </row>
    <row r="1516" spans="2:23" x14ac:dyDescent="0.2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  <c r="V1516" s="8"/>
      <c r="W1516" s="8"/>
    </row>
    <row r="1517" spans="2:23" x14ac:dyDescent="0.2"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52">
        <v>0</v>
      </c>
      <c r="T1517" s="53"/>
      <c r="U1517" s="52">
        <v>60068.43</v>
      </c>
      <c r="V1517" s="53"/>
      <c r="W1517" s="53"/>
    </row>
    <row r="1518" spans="2:23" x14ac:dyDescent="0.2">
      <c r="B1518" s="8"/>
      <c r="C1518" s="8"/>
      <c r="D1518" s="20" t="s">
        <v>96</v>
      </c>
      <c r="E1518" s="8"/>
      <c r="F1518" s="8"/>
      <c r="G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11">
        <v>60068.43</v>
      </c>
      <c r="S1518" s="8"/>
      <c r="T1518" s="8"/>
      <c r="U1518" s="8"/>
      <c r="V1518" s="8"/>
      <c r="W1518" s="8"/>
    </row>
    <row r="1519" spans="2:23" x14ac:dyDescent="0.2"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9"/>
      <c r="U1519" s="9"/>
      <c r="V1519" s="9"/>
      <c r="W1519" s="9"/>
    </row>
    <row r="1520" spans="2:23" x14ac:dyDescent="0.2">
      <c r="B1520" s="22" t="s">
        <v>7</v>
      </c>
      <c r="D1520" s="22" t="s">
        <v>1632</v>
      </c>
      <c r="O1520" s="20" t="s">
        <v>97</v>
      </c>
      <c r="P1520" s="8"/>
      <c r="Q1520" s="8"/>
      <c r="R1520" s="11">
        <v>-64674.67</v>
      </c>
    </row>
    <row r="1521" spans="2:23" x14ac:dyDescent="0.2">
      <c r="O1521" s="9"/>
      <c r="P1521" s="9"/>
      <c r="Q1521" s="9"/>
      <c r="R1521" s="9"/>
    </row>
    <row r="1522" spans="2:23" x14ac:dyDescent="0.2">
      <c r="B1522" s="2" t="s">
        <v>98</v>
      </c>
    </row>
    <row r="1524" spans="2:23" ht="24" customHeight="1" x14ac:dyDescent="0.2">
      <c r="B1524" s="54" t="s">
        <v>0</v>
      </c>
      <c r="C1524" s="50"/>
      <c r="D1524" s="50"/>
      <c r="E1524" s="50"/>
      <c r="F1524" s="50"/>
      <c r="G1524" s="50"/>
      <c r="H1524" s="50"/>
      <c r="I1524" s="50"/>
      <c r="J1524" s="50"/>
      <c r="K1524" s="50"/>
      <c r="L1524" s="50"/>
      <c r="M1524" s="50"/>
      <c r="N1524" s="50"/>
      <c r="O1524" s="50"/>
      <c r="P1524" s="50"/>
      <c r="Q1524" s="50"/>
      <c r="R1524" s="50"/>
      <c r="S1524" s="50"/>
      <c r="T1524" s="50"/>
      <c r="U1524" s="50"/>
      <c r="V1524" s="50"/>
      <c r="W1524" s="50"/>
    </row>
    <row r="1525" spans="2:23" ht="18" x14ac:dyDescent="0.2">
      <c r="B1525" s="1" t="s">
        <v>1</v>
      </c>
      <c r="S1525" s="55" t="s">
        <v>1631</v>
      </c>
      <c r="T1525" s="50"/>
      <c r="U1525" s="50"/>
      <c r="V1525" s="50"/>
      <c r="W1525" s="50"/>
    </row>
    <row r="1526" spans="2:23" ht="12.75" thickBot="1" x14ac:dyDescent="0.25">
      <c r="B1526" s="10" t="s">
        <v>3</v>
      </c>
      <c r="C1526" s="6"/>
      <c r="D1526" s="6"/>
      <c r="E1526" s="6"/>
      <c r="F1526" s="6"/>
      <c r="G1526" s="6"/>
      <c r="H1526" s="6"/>
      <c r="I1526" s="6"/>
      <c r="J1526" s="6"/>
      <c r="K1526" s="6" t="s">
        <v>5</v>
      </c>
      <c r="L1526" s="6"/>
      <c r="M1526" s="6"/>
      <c r="N1526" s="6"/>
      <c r="O1526" s="6"/>
      <c r="P1526" s="6" t="s">
        <v>4</v>
      </c>
      <c r="Q1526" s="6" t="s">
        <v>2730</v>
      </c>
      <c r="R1526" s="6"/>
      <c r="S1526" s="56" t="s">
        <v>6</v>
      </c>
      <c r="T1526" s="57"/>
      <c r="U1526" s="57"/>
      <c r="V1526" s="57"/>
      <c r="W1526" s="57"/>
    </row>
    <row r="1527" spans="2:23" ht="12.75" thickTop="1" x14ac:dyDescent="0.2"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</row>
    <row r="1528" spans="2:23" ht="15.75" x14ac:dyDescent="0.2">
      <c r="B1528" s="3" t="s">
        <v>7</v>
      </c>
      <c r="F1528" s="3" t="s">
        <v>1665</v>
      </c>
    </row>
    <row r="1530" spans="2:23" x14ac:dyDescent="0.2">
      <c r="B1530" s="8"/>
      <c r="C1530" s="20" t="s">
        <v>8</v>
      </c>
      <c r="D1530" s="8"/>
      <c r="E1530" s="20" t="s">
        <v>9</v>
      </c>
      <c r="F1530" s="8"/>
      <c r="G1530" s="8"/>
      <c r="H1530" s="8"/>
      <c r="I1530" s="20" t="s">
        <v>13</v>
      </c>
      <c r="J1530" s="8"/>
      <c r="K1530" s="8"/>
      <c r="L1530" s="20" t="s">
        <v>12</v>
      </c>
      <c r="M1530" s="8"/>
      <c r="N1530" s="8"/>
      <c r="O1530" s="8"/>
      <c r="P1530" s="20" t="s">
        <v>14</v>
      </c>
      <c r="Q1530" s="8"/>
      <c r="R1530" s="8"/>
      <c r="S1530" s="8"/>
      <c r="T1530" s="21" t="s">
        <v>11</v>
      </c>
      <c r="U1530" s="8"/>
      <c r="V1530" s="58" t="s">
        <v>10</v>
      </c>
      <c r="W1530" s="59"/>
    </row>
    <row r="1531" spans="2:23" x14ac:dyDescent="0.2"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9"/>
      <c r="U1531" s="9"/>
      <c r="V1531" s="9"/>
      <c r="W1531" s="9"/>
    </row>
    <row r="1532" spans="2:23" ht="15" x14ac:dyDescent="0.2">
      <c r="B1532" s="4" t="s">
        <v>15</v>
      </c>
    </row>
    <row r="1534" spans="2:23" x14ac:dyDescent="0.2">
      <c r="B1534" s="22" t="s">
        <v>147</v>
      </c>
      <c r="E1534" s="22" t="s">
        <v>148</v>
      </c>
    </row>
    <row r="1535" spans="2:23" x14ac:dyDescent="0.2">
      <c r="C1535" s="2" t="s">
        <v>601</v>
      </c>
      <c r="E1535" s="2" t="s">
        <v>599</v>
      </c>
      <c r="I1535" s="2" t="s">
        <v>106</v>
      </c>
      <c r="L1535" s="2" t="s">
        <v>600</v>
      </c>
      <c r="P1535" s="2" t="s">
        <v>602</v>
      </c>
      <c r="T1535" s="5">
        <v>2300</v>
      </c>
      <c r="V1535" s="49">
        <v>0</v>
      </c>
      <c r="W1535" s="50"/>
    </row>
    <row r="1536" spans="2:23" x14ac:dyDescent="0.2">
      <c r="B1536" s="22" t="s">
        <v>147</v>
      </c>
      <c r="E1536" s="22" t="s">
        <v>148</v>
      </c>
      <c r="S1536" s="51">
        <v>2300</v>
      </c>
      <c r="T1536" s="50"/>
      <c r="U1536" s="51">
        <v>0</v>
      </c>
      <c r="V1536" s="50"/>
      <c r="W1536" s="50"/>
    </row>
    <row r="1538" spans="2:23" x14ac:dyDescent="0.2">
      <c r="B1538" s="22" t="s">
        <v>16</v>
      </c>
      <c r="E1538" s="22" t="s">
        <v>17</v>
      </c>
    </row>
    <row r="1539" spans="2:23" x14ac:dyDescent="0.2">
      <c r="C1539" s="2" t="s">
        <v>20</v>
      </c>
      <c r="E1539" s="2" t="s">
        <v>18</v>
      </c>
      <c r="I1539" s="2" t="s">
        <v>19</v>
      </c>
      <c r="P1539" s="2" t="s">
        <v>21</v>
      </c>
      <c r="T1539" s="5">
        <v>22826.67</v>
      </c>
      <c r="V1539" s="49">
        <v>0</v>
      </c>
      <c r="W1539" s="50"/>
    </row>
    <row r="1540" spans="2:23" x14ac:dyDescent="0.2">
      <c r="B1540" s="22" t="s">
        <v>16</v>
      </c>
      <c r="E1540" s="22" t="s">
        <v>17</v>
      </c>
      <c r="S1540" s="51">
        <v>22826.67</v>
      </c>
      <c r="T1540" s="50"/>
      <c r="U1540" s="51">
        <v>0</v>
      </c>
      <c r="V1540" s="50"/>
      <c r="W1540" s="50"/>
    </row>
    <row r="1542" spans="2:23" x14ac:dyDescent="0.2">
      <c r="B1542" s="22" t="s">
        <v>178</v>
      </c>
      <c r="E1542" s="22" t="s">
        <v>179</v>
      </c>
    </row>
    <row r="1543" spans="2:23" x14ac:dyDescent="0.2">
      <c r="C1543" s="2" t="s">
        <v>1667</v>
      </c>
      <c r="E1543" s="2" t="s">
        <v>1666</v>
      </c>
      <c r="I1543" s="2" t="s">
        <v>19</v>
      </c>
      <c r="P1543" s="2" t="s">
        <v>1668</v>
      </c>
      <c r="T1543" s="5">
        <v>1646</v>
      </c>
      <c r="V1543" s="49">
        <v>0</v>
      </c>
      <c r="W1543" s="50"/>
    </row>
    <row r="1544" spans="2:23" x14ac:dyDescent="0.2">
      <c r="B1544" s="22" t="s">
        <v>178</v>
      </c>
      <c r="E1544" s="22" t="s">
        <v>179</v>
      </c>
      <c r="S1544" s="51">
        <v>1646</v>
      </c>
      <c r="T1544" s="50"/>
      <c r="U1544" s="51">
        <v>0</v>
      </c>
      <c r="V1544" s="50"/>
      <c r="W1544" s="50"/>
    </row>
    <row r="1545" spans="2:23" x14ac:dyDescent="0.2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8"/>
      <c r="S1545" s="8"/>
      <c r="T1545" s="8"/>
      <c r="U1545" s="8"/>
      <c r="V1545" s="8"/>
      <c r="W1545" s="8"/>
    </row>
    <row r="1546" spans="2:23" x14ac:dyDescent="0.2"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52">
        <v>26772.67</v>
      </c>
      <c r="T1546" s="53"/>
      <c r="U1546" s="52">
        <v>0</v>
      </c>
      <c r="V1546" s="53"/>
      <c r="W1546" s="53"/>
    </row>
    <row r="1547" spans="2:23" x14ac:dyDescent="0.2">
      <c r="B1547" s="8"/>
      <c r="C1547" s="8"/>
      <c r="D1547" s="20" t="s">
        <v>81</v>
      </c>
      <c r="E1547" s="8"/>
      <c r="F1547" s="8"/>
      <c r="G1547" s="8"/>
      <c r="H1547" s="8"/>
      <c r="I1547" s="8"/>
      <c r="J1547" s="8"/>
      <c r="K1547" s="8"/>
      <c r="L1547" s="8"/>
      <c r="M1547" s="8"/>
      <c r="N1547" s="8"/>
      <c r="O1547" s="8"/>
      <c r="P1547" s="8"/>
      <c r="Q1547" s="8"/>
      <c r="R1547" s="11">
        <v>26772.67</v>
      </c>
      <c r="S1547" s="8"/>
      <c r="T1547" s="8"/>
      <c r="U1547" s="8"/>
      <c r="V1547" s="8"/>
      <c r="W1547" s="8"/>
    </row>
    <row r="1548" spans="2:23" x14ac:dyDescent="0.2">
      <c r="B1548" s="9"/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9"/>
      <c r="U1548" s="9"/>
      <c r="V1548" s="9"/>
      <c r="W1548" s="9"/>
    </row>
    <row r="1550" spans="2:23" ht="15" x14ac:dyDescent="0.2">
      <c r="B1550" s="4" t="s">
        <v>82</v>
      </c>
    </row>
    <row r="1552" spans="2:23" x14ac:dyDescent="0.2">
      <c r="B1552" s="22" t="s">
        <v>89</v>
      </c>
      <c r="E1552" s="22" t="s">
        <v>90</v>
      </c>
    </row>
    <row r="1553" spans="3:23" x14ac:dyDescent="0.2">
      <c r="C1553" s="2" t="s">
        <v>399</v>
      </c>
      <c r="E1553" s="2" t="s">
        <v>1669</v>
      </c>
      <c r="I1553" s="2" t="s">
        <v>64</v>
      </c>
      <c r="P1553" s="2" t="s">
        <v>95</v>
      </c>
      <c r="T1553" s="5">
        <v>0</v>
      </c>
      <c r="V1553" s="49">
        <v>4000</v>
      </c>
      <c r="W1553" s="50"/>
    </row>
    <row r="1554" spans="3:23" x14ac:dyDescent="0.2">
      <c r="C1554" s="2" t="s">
        <v>630</v>
      </c>
      <c r="E1554" s="2" t="s">
        <v>1670</v>
      </c>
      <c r="I1554" s="2" t="s">
        <v>64</v>
      </c>
      <c r="P1554" s="2" t="s">
        <v>1671</v>
      </c>
      <c r="T1554" s="5">
        <v>0</v>
      </c>
      <c r="V1554" s="49">
        <v>2000</v>
      </c>
      <c r="W1554" s="50"/>
    </row>
    <row r="1555" spans="3:23" x14ac:dyDescent="0.2">
      <c r="C1555" s="2" t="s">
        <v>630</v>
      </c>
      <c r="E1555" s="2" t="s">
        <v>1672</v>
      </c>
      <c r="I1555" s="2" t="s">
        <v>64</v>
      </c>
      <c r="P1555" s="2" t="s">
        <v>1673</v>
      </c>
      <c r="T1555" s="5">
        <v>0</v>
      </c>
      <c r="V1555" s="49">
        <v>4000</v>
      </c>
      <c r="W1555" s="50"/>
    </row>
    <row r="1556" spans="3:23" x14ac:dyDescent="0.2">
      <c r="C1556" s="2" t="s">
        <v>640</v>
      </c>
      <c r="E1556" s="2" t="s">
        <v>1674</v>
      </c>
      <c r="I1556" s="2" t="s">
        <v>64</v>
      </c>
      <c r="P1556" s="2" t="s">
        <v>1675</v>
      </c>
      <c r="T1556" s="5">
        <v>0</v>
      </c>
      <c r="V1556" s="49">
        <v>4000</v>
      </c>
      <c r="W1556" s="50"/>
    </row>
    <row r="1557" spans="3:23" x14ac:dyDescent="0.2">
      <c r="C1557" s="2" t="s">
        <v>817</v>
      </c>
      <c r="E1557" s="2" t="s">
        <v>1676</v>
      </c>
      <c r="I1557" s="2" t="s">
        <v>64</v>
      </c>
      <c r="P1557" s="2" t="s">
        <v>1677</v>
      </c>
      <c r="T1557" s="5">
        <v>0</v>
      </c>
      <c r="V1557" s="49">
        <v>100</v>
      </c>
      <c r="W1557" s="50"/>
    </row>
    <row r="1558" spans="3:23" x14ac:dyDescent="0.2">
      <c r="C1558" s="2" t="s">
        <v>817</v>
      </c>
      <c r="E1558" s="2" t="s">
        <v>1678</v>
      </c>
      <c r="I1558" s="2" t="s">
        <v>64</v>
      </c>
      <c r="P1558" s="2" t="s">
        <v>1679</v>
      </c>
      <c r="T1558" s="5">
        <v>0</v>
      </c>
      <c r="V1558" s="49">
        <v>4000</v>
      </c>
      <c r="W1558" s="50"/>
    </row>
    <row r="1559" spans="3:23" x14ac:dyDescent="0.2">
      <c r="C1559" s="2" t="s">
        <v>817</v>
      </c>
      <c r="E1559" s="2" t="s">
        <v>1680</v>
      </c>
      <c r="I1559" s="2" t="s">
        <v>64</v>
      </c>
      <c r="P1559" s="2" t="s">
        <v>1681</v>
      </c>
      <c r="T1559" s="5">
        <v>0</v>
      </c>
      <c r="V1559" s="49">
        <v>2000</v>
      </c>
      <c r="W1559" s="50"/>
    </row>
    <row r="1560" spans="3:23" x14ac:dyDescent="0.2">
      <c r="C1560" s="2" t="s">
        <v>817</v>
      </c>
      <c r="E1560" s="2" t="s">
        <v>1682</v>
      </c>
      <c r="I1560" s="2" t="s">
        <v>64</v>
      </c>
      <c r="P1560" s="2" t="s">
        <v>95</v>
      </c>
      <c r="T1560" s="5">
        <v>0</v>
      </c>
      <c r="V1560" s="49">
        <v>4000</v>
      </c>
      <c r="W1560" s="50"/>
    </row>
    <row r="1561" spans="3:23" x14ac:dyDescent="0.2">
      <c r="C1561" s="2" t="s">
        <v>646</v>
      </c>
      <c r="E1561" s="2" t="s">
        <v>1683</v>
      </c>
      <c r="I1561" s="2" t="s">
        <v>64</v>
      </c>
      <c r="P1561" s="2" t="s">
        <v>1684</v>
      </c>
      <c r="T1561" s="5">
        <v>0</v>
      </c>
      <c r="V1561" s="49">
        <v>4000</v>
      </c>
      <c r="W1561" s="50"/>
    </row>
    <row r="1562" spans="3:23" x14ac:dyDescent="0.2">
      <c r="C1562" s="2" t="s">
        <v>646</v>
      </c>
      <c r="E1562" s="2" t="s">
        <v>1685</v>
      </c>
      <c r="I1562" s="2" t="s">
        <v>64</v>
      </c>
      <c r="P1562" s="2" t="s">
        <v>1686</v>
      </c>
      <c r="T1562" s="5">
        <v>0</v>
      </c>
      <c r="V1562" s="49">
        <v>4000</v>
      </c>
      <c r="W1562" s="50"/>
    </row>
    <row r="1563" spans="3:23" x14ac:dyDescent="0.2">
      <c r="C1563" s="2" t="s">
        <v>502</v>
      </c>
      <c r="E1563" s="2" t="s">
        <v>1687</v>
      </c>
      <c r="I1563" s="2" t="s">
        <v>64</v>
      </c>
      <c r="P1563" s="2" t="s">
        <v>1688</v>
      </c>
      <c r="T1563" s="5">
        <v>0</v>
      </c>
      <c r="V1563" s="49">
        <v>4000</v>
      </c>
      <c r="W1563" s="50"/>
    </row>
    <row r="1564" spans="3:23" x14ac:dyDescent="0.2">
      <c r="C1564" s="2" t="s">
        <v>651</v>
      </c>
      <c r="E1564" s="2" t="s">
        <v>1689</v>
      </c>
      <c r="I1564" s="2" t="s">
        <v>64</v>
      </c>
      <c r="P1564" s="2" t="s">
        <v>1690</v>
      </c>
      <c r="T1564" s="5">
        <v>0</v>
      </c>
      <c r="V1564" s="49">
        <v>2000</v>
      </c>
      <c r="W1564" s="50"/>
    </row>
    <row r="1565" spans="3:23" x14ac:dyDescent="0.2">
      <c r="C1565" s="2" t="s">
        <v>404</v>
      </c>
      <c r="E1565" s="2" t="s">
        <v>1691</v>
      </c>
      <c r="I1565" s="2" t="s">
        <v>64</v>
      </c>
      <c r="P1565" s="2" t="s">
        <v>1692</v>
      </c>
      <c r="T1565" s="5">
        <v>0</v>
      </c>
      <c r="V1565" s="49">
        <v>4000</v>
      </c>
      <c r="W1565" s="50"/>
    </row>
    <row r="1566" spans="3:23" x14ac:dyDescent="0.2">
      <c r="C1566" s="2" t="s">
        <v>510</v>
      </c>
      <c r="E1566" s="2" t="s">
        <v>1693</v>
      </c>
      <c r="I1566" s="2" t="s">
        <v>64</v>
      </c>
      <c r="P1566" s="2" t="s">
        <v>1694</v>
      </c>
      <c r="T1566" s="5">
        <v>0</v>
      </c>
      <c r="V1566" s="49">
        <v>4000</v>
      </c>
      <c r="W1566" s="50"/>
    </row>
    <row r="1567" spans="3:23" x14ac:dyDescent="0.2">
      <c r="C1567" s="2" t="s">
        <v>513</v>
      </c>
      <c r="E1567" s="2" t="s">
        <v>1695</v>
      </c>
      <c r="I1567" s="2" t="s">
        <v>64</v>
      </c>
      <c r="P1567" s="2" t="s">
        <v>1696</v>
      </c>
      <c r="T1567" s="5">
        <v>0</v>
      </c>
      <c r="V1567" s="49">
        <v>4000</v>
      </c>
      <c r="W1567" s="50"/>
    </row>
    <row r="1568" spans="3:23" x14ac:dyDescent="0.2">
      <c r="C1568" s="2" t="s">
        <v>847</v>
      </c>
      <c r="E1568" s="2" t="s">
        <v>1697</v>
      </c>
      <c r="I1568" s="2" t="s">
        <v>64</v>
      </c>
      <c r="P1568" s="2" t="s">
        <v>95</v>
      </c>
      <c r="T1568" s="5">
        <v>0</v>
      </c>
      <c r="V1568" s="49">
        <v>4000</v>
      </c>
      <c r="W1568" s="50"/>
    </row>
    <row r="1569" spans="3:23" x14ac:dyDescent="0.2">
      <c r="C1569" s="2" t="s">
        <v>1513</v>
      </c>
      <c r="E1569" s="2" t="s">
        <v>1698</v>
      </c>
      <c r="I1569" s="2" t="s">
        <v>64</v>
      </c>
      <c r="P1569" s="2" t="s">
        <v>1699</v>
      </c>
      <c r="T1569" s="5">
        <v>0</v>
      </c>
      <c r="V1569" s="49">
        <v>4000</v>
      </c>
      <c r="W1569" s="50"/>
    </row>
    <row r="1570" spans="3:23" x14ac:dyDescent="0.2">
      <c r="C1570" s="2" t="s">
        <v>407</v>
      </c>
      <c r="E1570" s="2" t="s">
        <v>1700</v>
      </c>
      <c r="I1570" s="2" t="s">
        <v>64</v>
      </c>
      <c r="P1570" s="2" t="s">
        <v>1701</v>
      </c>
      <c r="T1570" s="5">
        <v>0</v>
      </c>
      <c r="V1570" s="49">
        <v>2000</v>
      </c>
      <c r="W1570" s="50"/>
    </row>
    <row r="1571" spans="3:23" x14ac:dyDescent="0.2">
      <c r="C1571" s="2" t="s">
        <v>25</v>
      </c>
      <c r="E1571" s="2" t="s">
        <v>1702</v>
      </c>
      <c r="I1571" s="2" t="s">
        <v>64</v>
      </c>
      <c r="P1571" s="2" t="s">
        <v>1703</v>
      </c>
      <c r="T1571" s="5">
        <v>0</v>
      </c>
      <c r="V1571" s="49">
        <v>4000</v>
      </c>
      <c r="W1571" s="50"/>
    </row>
    <row r="1572" spans="3:23" x14ac:dyDescent="0.2">
      <c r="C1572" s="2" t="s">
        <v>25</v>
      </c>
      <c r="E1572" s="2" t="s">
        <v>1704</v>
      </c>
      <c r="I1572" s="2" t="s">
        <v>64</v>
      </c>
      <c r="P1572" s="2" t="s">
        <v>1705</v>
      </c>
      <c r="T1572" s="5">
        <v>0</v>
      </c>
      <c r="V1572" s="49">
        <v>100</v>
      </c>
      <c r="W1572" s="50"/>
    </row>
    <row r="1573" spans="3:23" x14ac:dyDescent="0.2">
      <c r="C1573" s="2" t="s">
        <v>25</v>
      </c>
      <c r="E1573" s="2" t="s">
        <v>1706</v>
      </c>
      <c r="I1573" s="2" t="s">
        <v>64</v>
      </c>
      <c r="P1573" s="2" t="s">
        <v>1707</v>
      </c>
      <c r="T1573" s="5">
        <v>0</v>
      </c>
      <c r="V1573" s="49">
        <v>4000</v>
      </c>
      <c r="W1573" s="50"/>
    </row>
    <row r="1574" spans="3:23" x14ac:dyDescent="0.2">
      <c r="C1574" s="2" t="s">
        <v>410</v>
      </c>
      <c r="E1574" s="2" t="s">
        <v>1708</v>
      </c>
      <c r="I1574" s="2" t="s">
        <v>64</v>
      </c>
      <c r="P1574" s="2" t="s">
        <v>1709</v>
      </c>
      <c r="T1574" s="5">
        <v>0</v>
      </c>
      <c r="V1574" s="49">
        <v>2000</v>
      </c>
      <c r="W1574" s="50"/>
    </row>
    <row r="1575" spans="3:23" x14ac:dyDescent="0.2">
      <c r="C1575" s="2" t="s">
        <v>410</v>
      </c>
      <c r="E1575" s="2" t="s">
        <v>1710</v>
      </c>
      <c r="I1575" s="2" t="s">
        <v>64</v>
      </c>
      <c r="P1575" s="2" t="s">
        <v>1711</v>
      </c>
      <c r="T1575" s="5">
        <v>0</v>
      </c>
      <c r="V1575" s="49">
        <v>4000</v>
      </c>
      <c r="W1575" s="50"/>
    </row>
    <row r="1576" spans="3:23" x14ac:dyDescent="0.2">
      <c r="C1576" s="2" t="s">
        <v>381</v>
      </c>
      <c r="E1576" s="2" t="s">
        <v>1712</v>
      </c>
      <c r="I1576" s="2" t="s">
        <v>64</v>
      </c>
      <c r="P1576" s="2" t="s">
        <v>1713</v>
      </c>
      <c r="T1576" s="5">
        <v>0</v>
      </c>
      <c r="V1576" s="49">
        <v>4000</v>
      </c>
      <c r="W1576" s="50"/>
    </row>
    <row r="1577" spans="3:23" x14ac:dyDescent="0.2">
      <c r="C1577" s="2" t="s">
        <v>413</v>
      </c>
      <c r="E1577" s="2" t="s">
        <v>1714</v>
      </c>
      <c r="I1577" s="2" t="s">
        <v>64</v>
      </c>
      <c r="P1577" s="2" t="s">
        <v>1715</v>
      </c>
      <c r="T1577" s="5">
        <v>0</v>
      </c>
      <c r="V1577" s="49">
        <v>4000</v>
      </c>
      <c r="W1577" s="50"/>
    </row>
    <row r="1578" spans="3:23" x14ac:dyDescent="0.2">
      <c r="C1578" s="2" t="s">
        <v>775</v>
      </c>
      <c r="E1578" s="2" t="s">
        <v>1716</v>
      </c>
      <c r="I1578" s="2" t="s">
        <v>64</v>
      </c>
      <c r="P1578" s="2" t="s">
        <v>1717</v>
      </c>
      <c r="T1578" s="5">
        <v>0</v>
      </c>
      <c r="V1578" s="49">
        <v>3200</v>
      </c>
      <c r="W1578" s="50"/>
    </row>
    <row r="1579" spans="3:23" x14ac:dyDescent="0.2">
      <c r="C1579" s="2" t="s">
        <v>1719</v>
      </c>
      <c r="E1579" s="2" t="s">
        <v>1718</v>
      </c>
      <c r="I1579" s="2" t="s">
        <v>64</v>
      </c>
      <c r="P1579" s="2" t="s">
        <v>95</v>
      </c>
      <c r="T1579" s="5">
        <v>0</v>
      </c>
      <c r="V1579" s="49">
        <v>2000</v>
      </c>
      <c r="W1579" s="50"/>
    </row>
    <row r="1580" spans="3:23" x14ac:dyDescent="0.2">
      <c r="C1580" s="2" t="s">
        <v>256</v>
      </c>
      <c r="E1580" s="2" t="s">
        <v>1720</v>
      </c>
      <c r="I1580" s="2" t="s">
        <v>64</v>
      </c>
      <c r="P1580" s="2" t="s">
        <v>1721</v>
      </c>
      <c r="T1580" s="5">
        <v>0</v>
      </c>
      <c r="V1580" s="49">
        <v>4100</v>
      </c>
      <c r="W1580" s="50"/>
    </row>
    <row r="1581" spans="3:23" x14ac:dyDescent="0.2">
      <c r="C1581" s="2" t="s">
        <v>541</v>
      </c>
      <c r="E1581" s="2" t="s">
        <v>1722</v>
      </c>
      <c r="I1581" s="2" t="s">
        <v>64</v>
      </c>
      <c r="P1581" s="2" t="s">
        <v>95</v>
      </c>
      <c r="T1581" s="5">
        <v>0</v>
      </c>
      <c r="V1581" s="49">
        <v>4100</v>
      </c>
      <c r="W1581" s="50"/>
    </row>
    <row r="1582" spans="3:23" x14ac:dyDescent="0.2">
      <c r="C1582" s="2" t="s">
        <v>544</v>
      </c>
      <c r="E1582" s="2" t="s">
        <v>1723</v>
      </c>
      <c r="I1582" s="2" t="s">
        <v>64</v>
      </c>
      <c r="P1582" s="2" t="s">
        <v>1724</v>
      </c>
      <c r="T1582" s="5">
        <v>0</v>
      </c>
      <c r="V1582" s="49">
        <v>2050</v>
      </c>
      <c r="W1582" s="50"/>
    </row>
    <row r="1583" spans="3:23" x14ac:dyDescent="0.2">
      <c r="C1583" s="2" t="s">
        <v>433</v>
      </c>
      <c r="E1583" s="2" t="s">
        <v>1725</v>
      </c>
      <c r="I1583" s="2" t="s">
        <v>64</v>
      </c>
      <c r="P1583" s="2" t="s">
        <v>1726</v>
      </c>
      <c r="T1583" s="5">
        <v>0</v>
      </c>
      <c r="V1583" s="49">
        <v>4100</v>
      </c>
      <c r="W1583" s="50"/>
    </row>
    <row r="1584" spans="3:23" x14ac:dyDescent="0.2">
      <c r="C1584" s="2" t="s">
        <v>261</v>
      </c>
      <c r="E1584" s="2" t="s">
        <v>1727</v>
      </c>
      <c r="I1584" s="2" t="s">
        <v>64</v>
      </c>
      <c r="P1584" s="2" t="s">
        <v>1728</v>
      </c>
      <c r="T1584" s="5">
        <v>0</v>
      </c>
      <c r="V1584" s="49">
        <v>4100</v>
      </c>
      <c r="W1584" s="50"/>
    </row>
    <row r="1585" spans="2:23" x14ac:dyDescent="0.2">
      <c r="C1585" s="2" t="s">
        <v>705</v>
      </c>
      <c r="E1585" s="2" t="s">
        <v>1729</v>
      </c>
      <c r="I1585" s="2" t="s">
        <v>64</v>
      </c>
      <c r="P1585" s="2" t="s">
        <v>1730</v>
      </c>
      <c r="T1585" s="5">
        <v>0</v>
      </c>
      <c r="V1585" s="49">
        <v>2050</v>
      </c>
      <c r="W1585" s="50"/>
    </row>
    <row r="1586" spans="2:23" x14ac:dyDescent="0.2">
      <c r="C1586" s="2" t="s">
        <v>709</v>
      </c>
      <c r="E1586" s="2" t="s">
        <v>1731</v>
      </c>
      <c r="I1586" s="2" t="s">
        <v>64</v>
      </c>
      <c r="P1586" s="2" t="s">
        <v>95</v>
      </c>
      <c r="T1586" s="5">
        <v>0</v>
      </c>
      <c r="V1586" s="49">
        <v>4100</v>
      </c>
      <c r="W1586" s="50"/>
    </row>
    <row r="1587" spans="2:23" x14ac:dyDescent="0.2">
      <c r="C1587" s="2" t="s">
        <v>264</v>
      </c>
      <c r="E1587" s="2" t="s">
        <v>1732</v>
      </c>
      <c r="I1587" s="2" t="s">
        <v>64</v>
      </c>
      <c r="P1587" s="2" t="s">
        <v>1733</v>
      </c>
      <c r="T1587" s="5">
        <v>0</v>
      </c>
      <c r="V1587" s="49">
        <v>4100</v>
      </c>
      <c r="W1587" s="50"/>
    </row>
    <row r="1588" spans="2:23" x14ac:dyDescent="0.2">
      <c r="C1588" s="2" t="s">
        <v>264</v>
      </c>
      <c r="E1588" s="2" t="s">
        <v>1734</v>
      </c>
      <c r="I1588" s="2" t="s">
        <v>64</v>
      </c>
      <c r="P1588" s="2" t="s">
        <v>1735</v>
      </c>
      <c r="T1588" s="5">
        <v>0</v>
      </c>
      <c r="V1588" s="49">
        <v>2050</v>
      </c>
      <c r="W1588" s="50"/>
    </row>
    <row r="1589" spans="2:23" x14ac:dyDescent="0.2">
      <c r="C1589" s="2" t="s">
        <v>267</v>
      </c>
      <c r="E1589" s="2" t="s">
        <v>1736</v>
      </c>
      <c r="I1589" s="2" t="s">
        <v>64</v>
      </c>
      <c r="P1589" s="2" t="s">
        <v>1737</v>
      </c>
      <c r="T1589" s="5">
        <v>0</v>
      </c>
      <c r="V1589" s="49">
        <v>4100</v>
      </c>
      <c r="W1589" s="50"/>
    </row>
    <row r="1590" spans="2:23" x14ac:dyDescent="0.2">
      <c r="C1590" s="2" t="s">
        <v>49</v>
      </c>
      <c r="E1590" s="2" t="s">
        <v>91</v>
      </c>
      <c r="I1590" s="2" t="s">
        <v>19</v>
      </c>
      <c r="P1590" s="2" t="s">
        <v>93</v>
      </c>
      <c r="T1590" s="5">
        <v>0</v>
      </c>
      <c r="V1590" s="49">
        <v>9354.7000000000007</v>
      </c>
      <c r="W1590" s="50"/>
    </row>
    <row r="1591" spans="2:23" x14ac:dyDescent="0.2">
      <c r="C1591" s="2" t="s">
        <v>349</v>
      </c>
      <c r="E1591" s="2" t="s">
        <v>1738</v>
      </c>
      <c r="I1591" s="2" t="s">
        <v>64</v>
      </c>
      <c r="P1591" s="2" t="s">
        <v>1739</v>
      </c>
      <c r="T1591" s="5">
        <v>0</v>
      </c>
      <c r="V1591" s="49">
        <v>4100</v>
      </c>
      <c r="W1591" s="50"/>
    </row>
    <row r="1592" spans="2:23" x14ac:dyDescent="0.2">
      <c r="C1592" s="2" t="s">
        <v>349</v>
      </c>
      <c r="E1592" s="2" t="s">
        <v>1740</v>
      </c>
      <c r="I1592" s="2" t="s">
        <v>64</v>
      </c>
      <c r="P1592" s="2" t="s">
        <v>1741</v>
      </c>
      <c r="T1592" s="5">
        <v>0</v>
      </c>
      <c r="V1592" s="49">
        <v>4100</v>
      </c>
      <c r="W1592" s="50"/>
    </row>
    <row r="1593" spans="2:23" x14ac:dyDescent="0.2">
      <c r="C1593" s="2" t="s">
        <v>349</v>
      </c>
      <c r="E1593" s="2" t="s">
        <v>1742</v>
      </c>
      <c r="I1593" s="2" t="s">
        <v>64</v>
      </c>
      <c r="P1593" s="2" t="s">
        <v>1743</v>
      </c>
      <c r="T1593" s="5">
        <v>0</v>
      </c>
      <c r="V1593" s="49">
        <v>4100</v>
      </c>
      <c r="W1593" s="50"/>
    </row>
    <row r="1594" spans="2:23" x14ac:dyDescent="0.2">
      <c r="C1594" s="2" t="s">
        <v>199</v>
      </c>
      <c r="E1594" s="2" t="s">
        <v>1744</v>
      </c>
      <c r="I1594" s="2" t="s">
        <v>64</v>
      </c>
      <c r="P1594" s="2" t="s">
        <v>1745</v>
      </c>
      <c r="T1594" s="5">
        <v>0</v>
      </c>
      <c r="V1594" s="49">
        <v>4100</v>
      </c>
      <c r="W1594" s="50"/>
    </row>
    <row r="1595" spans="2:23" x14ac:dyDescent="0.2">
      <c r="C1595" s="2" t="s">
        <v>451</v>
      </c>
      <c r="E1595" s="2" t="s">
        <v>1746</v>
      </c>
      <c r="I1595" s="2" t="s">
        <v>64</v>
      </c>
      <c r="P1595" s="2" t="s">
        <v>1747</v>
      </c>
      <c r="T1595" s="5">
        <v>0</v>
      </c>
      <c r="V1595" s="49">
        <v>4100</v>
      </c>
      <c r="W1595" s="50"/>
    </row>
    <row r="1597" spans="2:23" ht="18" x14ac:dyDescent="0.2">
      <c r="B1597" s="1" t="s">
        <v>1</v>
      </c>
      <c r="S1597" s="55" t="s">
        <v>1664</v>
      </c>
      <c r="T1597" s="50"/>
      <c r="U1597" s="50"/>
      <c r="V1597" s="50"/>
      <c r="W1597" s="50"/>
    </row>
    <row r="1598" spans="2:23" ht="12.75" thickBot="1" x14ac:dyDescent="0.25">
      <c r="B1598" s="10" t="s">
        <v>3</v>
      </c>
      <c r="C1598" s="6"/>
      <c r="D1598" s="6"/>
      <c r="E1598" s="6"/>
      <c r="F1598" s="6"/>
      <c r="G1598" s="6"/>
      <c r="H1598" s="6"/>
      <c r="I1598" s="6"/>
      <c r="J1598" s="6"/>
      <c r="K1598" s="6" t="s">
        <v>5</v>
      </c>
      <c r="L1598" s="6"/>
      <c r="M1598" s="6"/>
      <c r="N1598" s="6"/>
      <c r="O1598" s="6"/>
      <c r="P1598" s="6" t="s">
        <v>4</v>
      </c>
      <c r="Q1598" s="6" t="s">
        <v>2730</v>
      </c>
      <c r="R1598" s="6"/>
      <c r="S1598" s="56" t="s">
        <v>6</v>
      </c>
      <c r="T1598" s="57"/>
      <c r="U1598" s="57"/>
      <c r="V1598" s="57"/>
      <c r="W1598" s="57"/>
    </row>
    <row r="1599" spans="2:23" ht="12.75" thickTop="1" x14ac:dyDescent="0.2"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</row>
    <row r="1600" spans="2:23" x14ac:dyDescent="0.2">
      <c r="C1600" s="2" t="s">
        <v>948</v>
      </c>
      <c r="E1600" s="2" t="s">
        <v>1748</v>
      </c>
      <c r="I1600" s="2" t="s">
        <v>64</v>
      </c>
      <c r="P1600" s="2" t="s">
        <v>1749</v>
      </c>
      <c r="T1600" s="5">
        <v>0</v>
      </c>
      <c r="V1600" s="49">
        <v>4100</v>
      </c>
      <c r="W1600" s="50"/>
    </row>
    <row r="1601" spans="2:23" x14ac:dyDescent="0.2">
      <c r="C1601" s="2" t="s">
        <v>1752</v>
      </c>
      <c r="E1601" s="2" t="s">
        <v>1751</v>
      </c>
      <c r="I1601" s="2" t="s">
        <v>64</v>
      </c>
      <c r="P1601" s="2" t="s">
        <v>1753</v>
      </c>
      <c r="T1601" s="5">
        <v>0</v>
      </c>
      <c r="V1601" s="49">
        <v>-1230</v>
      </c>
      <c r="W1601" s="50"/>
    </row>
    <row r="1602" spans="2:23" x14ac:dyDescent="0.2">
      <c r="C1602" s="2" t="s">
        <v>282</v>
      </c>
      <c r="E1602" s="2" t="s">
        <v>1754</v>
      </c>
      <c r="I1602" s="2" t="s">
        <v>64</v>
      </c>
      <c r="P1602" s="2" t="s">
        <v>1755</v>
      </c>
      <c r="T1602" s="5">
        <v>0</v>
      </c>
      <c r="V1602" s="49">
        <v>4100</v>
      </c>
      <c r="W1602" s="50"/>
    </row>
    <row r="1603" spans="2:23" x14ac:dyDescent="0.2">
      <c r="C1603" s="2" t="s">
        <v>20</v>
      </c>
      <c r="E1603" s="2" t="s">
        <v>338</v>
      </c>
      <c r="I1603" s="2" t="s">
        <v>19</v>
      </c>
      <c r="P1603" s="2" t="s">
        <v>339</v>
      </c>
      <c r="T1603" s="5">
        <v>0</v>
      </c>
      <c r="V1603" s="49">
        <v>-12626.93</v>
      </c>
      <c r="W1603" s="50"/>
    </row>
    <row r="1604" spans="2:23" x14ac:dyDescent="0.2">
      <c r="B1604" s="22" t="s">
        <v>89</v>
      </c>
      <c r="E1604" s="22" t="s">
        <v>90</v>
      </c>
      <c r="S1604" s="51">
        <v>0</v>
      </c>
      <c r="T1604" s="50"/>
      <c r="U1604" s="51">
        <v>146447.77000000002</v>
      </c>
      <c r="V1604" s="50"/>
      <c r="W1604" s="50"/>
    </row>
    <row r="1605" spans="2:23" x14ac:dyDescent="0.2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8"/>
      <c r="N1605" s="8"/>
      <c r="O1605" s="8"/>
      <c r="P1605" s="8"/>
      <c r="Q1605" s="8"/>
      <c r="R1605" s="8"/>
      <c r="S1605" s="8"/>
      <c r="T1605" s="8"/>
      <c r="U1605" s="8"/>
      <c r="V1605" s="8"/>
      <c r="W1605" s="8"/>
    </row>
    <row r="1606" spans="2:23" x14ac:dyDescent="0.2">
      <c r="B1606" s="9"/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52">
        <v>0</v>
      </c>
      <c r="T1606" s="53"/>
      <c r="U1606" s="52">
        <v>146447.77000000002</v>
      </c>
      <c r="V1606" s="53"/>
      <c r="W1606" s="53"/>
    </row>
    <row r="1607" spans="2:23" x14ac:dyDescent="0.2">
      <c r="B1607" s="8"/>
      <c r="C1607" s="8"/>
      <c r="D1607" s="20" t="s">
        <v>96</v>
      </c>
      <c r="E1607" s="8"/>
      <c r="F1607" s="8"/>
      <c r="G1607" s="8"/>
      <c r="H1607" s="8"/>
      <c r="I1607" s="8"/>
      <c r="J1607" s="8"/>
      <c r="K1607" s="8"/>
      <c r="L1607" s="8"/>
      <c r="M1607" s="8"/>
      <c r="N1607" s="8"/>
      <c r="O1607" s="8"/>
      <c r="P1607" s="8"/>
      <c r="Q1607" s="8"/>
      <c r="R1607" s="11">
        <v>146447.77000000002</v>
      </c>
      <c r="S1607" s="8"/>
      <c r="T1607" s="8"/>
      <c r="U1607" s="8"/>
      <c r="V1607" s="8"/>
      <c r="W1607" s="8"/>
    </row>
    <row r="1608" spans="2:23" x14ac:dyDescent="0.2">
      <c r="B1608" s="9"/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9"/>
      <c r="U1608" s="9"/>
      <c r="V1608" s="9"/>
      <c r="W1608" s="9"/>
    </row>
    <row r="1609" spans="2:23" x14ac:dyDescent="0.2">
      <c r="B1609" s="22" t="s">
        <v>7</v>
      </c>
      <c r="D1609" s="22" t="s">
        <v>1665</v>
      </c>
      <c r="O1609" s="20" t="s">
        <v>97</v>
      </c>
      <c r="P1609" s="8"/>
      <c r="Q1609" s="8"/>
      <c r="R1609" s="11">
        <v>119675.1</v>
      </c>
    </row>
    <row r="1610" spans="2:23" x14ac:dyDescent="0.2">
      <c r="O1610" s="9"/>
      <c r="P1610" s="9"/>
      <c r="Q1610" s="9"/>
      <c r="R1610" s="9"/>
    </row>
    <row r="1611" spans="2:23" x14ac:dyDescent="0.2">
      <c r="B1611" s="2" t="s">
        <v>98</v>
      </c>
    </row>
    <row r="1613" spans="2:23" ht="24" customHeight="1" x14ac:dyDescent="0.2">
      <c r="B1613" s="54" t="s">
        <v>0</v>
      </c>
      <c r="C1613" s="50"/>
      <c r="D1613" s="50"/>
      <c r="E1613" s="50"/>
      <c r="F1613" s="50"/>
      <c r="G1613" s="50"/>
      <c r="H1613" s="50"/>
      <c r="I1613" s="50"/>
      <c r="J1613" s="50"/>
      <c r="K1613" s="50"/>
      <c r="L1613" s="50"/>
      <c r="M1613" s="50"/>
      <c r="N1613" s="50"/>
      <c r="O1613" s="50"/>
      <c r="P1613" s="50"/>
      <c r="Q1613" s="50"/>
      <c r="R1613" s="50"/>
      <c r="S1613" s="50"/>
      <c r="T1613" s="50"/>
      <c r="U1613" s="50"/>
      <c r="V1613" s="50"/>
      <c r="W1613" s="50"/>
    </row>
    <row r="1614" spans="2:23" ht="18" x14ac:dyDescent="0.2">
      <c r="B1614" s="1" t="s">
        <v>1</v>
      </c>
      <c r="S1614" s="55" t="s">
        <v>1750</v>
      </c>
      <c r="T1614" s="50"/>
      <c r="U1614" s="50"/>
      <c r="V1614" s="50"/>
      <c r="W1614" s="50"/>
    </row>
    <row r="1615" spans="2:23" ht="12.75" thickBot="1" x14ac:dyDescent="0.25">
      <c r="B1615" s="10" t="s">
        <v>3</v>
      </c>
      <c r="C1615" s="6"/>
      <c r="D1615" s="6"/>
      <c r="E1615" s="6"/>
      <c r="F1615" s="6"/>
      <c r="G1615" s="6"/>
      <c r="H1615" s="6"/>
      <c r="I1615" s="6"/>
      <c r="J1615" s="6"/>
      <c r="K1615" s="6" t="s">
        <v>5</v>
      </c>
      <c r="L1615" s="6"/>
      <c r="M1615" s="6"/>
      <c r="N1615" s="6"/>
      <c r="O1615" s="6"/>
      <c r="P1615" s="6" t="s">
        <v>4</v>
      </c>
      <c r="Q1615" s="6" t="s">
        <v>2730</v>
      </c>
      <c r="R1615" s="6"/>
      <c r="S1615" s="56" t="s">
        <v>6</v>
      </c>
      <c r="T1615" s="57"/>
      <c r="U1615" s="57"/>
      <c r="V1615" s="57"/>
      <c r="W1615" s="57"/>
    </row>
    <row r="1616" spans="2:23" ht="12.75" thickTop="1" x14ac:dyDescent="0.2"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</row>
    <row r="1617" spans="2:23" ht="15.75" x14ac:dyDescent="0.2">
      <c r="B1617" s="3" t="s">
        <v>7</v>
      </c>
      <c r="F1617" s="3" t="s">
        <v>1757</v>
      </c>
    </row>
    <row r="1619" spans="2:23" x14ac:dyDescent="0.2">
      <c r="B1619" s="8"/>
      <c r="C1619" s="20" t="s">
        <v>8</v>
      </c>
      <c r="D1619" s="8"/>
      <c r="E1619" s="20" t="s">
        <v>9</v>
      </c>
      <c r="F1619" s="8"/>
      <c r="G1619" s="8"/>
      <c r="H1619" s="8"/>
      <c r="I1619" s="20" t="s">
        <v>13</v>
      </c>
      <c r="J1619" s="8"/>
      <c r="K1619" s="8"/>
      <c r="L1619" s="20" t="s">
        <v>12</v>
      </c>
      <c r="M1619" s="8"/>
      <c r="N1619" s="8"/>
      <c r="O1619" s="8"/>
      <c r="P1619" s="20" t="s">
        <v>14</v>
      </c>
      <c r="Q1619" s="8"/>
      <c r="R1619" s="8"/>
      <c r="S1619" s="8"/>
      <c r="T1619" s="21" t="s">
        <v>11</v>
      </c>
      <c r="U1619" s="8"/>
      <c r="V1619" s="58" t="s">
        <v>10</v>
      </c>
      <c r="W1619" s="59"/>
    </row>
    <row r="1620" spans="2:23" x14ac:dyDescent="0.2">
      <c r="B1620" s="9"/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9"/>
      <c r="U1620" s="9"/>
      <c r="V1620" s="9"/>
      <c r="W1620" s="9"/>
    </row>
    <row r="1621" spans="2:23" ht="15" x14ac:dyDescent="0.2">
      <c r="B1621" s="4" t="s">
        <v>15</v>
      </c>
    </row>
    <row r="1623" spans="2:23" x14ac:dyDescent="0.2">
      <c r="B1623" s="22" t="s">
        <v>1758</v>
      </c>
      <c r="E1623" s="22" t="s">
        <v>1759</v>
      </c>
    </row>
    <row r="1624" spans="2:23" x14ac:dyDescent="0.2">
      <c r="C1624" s="2" t="s">
        <v>46</v>
      </c>
      <c r="E1624" s="2" t="s">
        <v>1760</v>
      </c>
      <c r="I1624" s="2" t="s">
        <v>19</v>
      </c>
      <c r="P1624" s="2" t="s">
        <v>2733</v>
      </c>
      <c r="T1624" s="5">
        <v>640</v>
      </c>
      <c r="V1624" s="49">
        <v>0</v>
      </c>
      <c r="W1624" s="50"/>
    </row>
    <row r="1625" spans="2:23" x14ac:dyDescent="0.2">
      <c r="B1625" s="22" t="s">
        <v>1758</v>
      </c>
      <c r="E1625" s="22" t="s">
        <v>1759</v>
      </c>
      <c r="S1625" s="51">
        <v>640</v>
      </c>
      <c r="T1625" s="50"/>
      <c r="U1625" s="51">
        <v>0</v>
      </c>
      <c r="V1625" s="50"/>
      <c r="W1625" s="50"/>
    </row>
    <row r="1627" spans="2:23" x14ac:dyDescent="0.2">
      <c r="B1627" s="22" t="s">
        <v>955</v>
      </c>
      <c r="E1627" s="22" t="s">
        <v>956</v>
      </c>
    </row>
    <row r="1628" spans="2:23" x14ac:dyDescent="0.2">
      <c r="C1628" s="2" t="s">
        <v>46</v>
      </c>
      <c r="E1628" s="2" t="s">
        <v>1760</v>
      </c>
      <c r="I1628" s="2" t="s">
        <v>19</v>
      </c>
      <c r="P1628" s="2" t="s">
        <v>2733</v>
      </c>
      <c r="T1628" s="5">
        <v>3514</v>
      </c>
      <c r="V1628" s="49">
        <v>0</v>
      </c>
      <c r="W1628" s="50"/>
    </row>
    <row r="1629" spans="2:23" x14ac:dyDescent="0.2">
      <c r="B1629" s="22" t="s">
        <v>955</v>
      </c>
      <c r="E1629" s="22" t="s">
        <v>956</v>
      </c>
      <c r="S1629" s="51">
        <v>3514</v>
      </c>
      <c r="T1629" s="50"/>
      <c r="U1629" s="51">
        <v>0</v>
      </c>
      <c r="V1629" s="50"/>
      <c r="W1629" s="50"/>
    </row>
    <row r="1631" spans="2:23" x14ac:dyDescent="0.2">
      <c r="B1631" s="22" t="s">
        <v>102</v>
      </c>
      <c r="E1631" s="22" t="s">
        <v>103</v>
      </c>
    </row>
    <row r="1632" spans="2:23" x14ac:dyDescent="0.2">
      <c r="C1632" s="2" t="s">
        <v>46</v>
      </c>
      <c r="E1632" s="2" t="s">
        <v>1761</v>
      </c>
      <c r="I1632" s="2" t="s">
        <v>19</v>
      </c>
      <c r="P1632" s="2" t="s">
        <v>1762</v>
      </c>
      <c r="T1632" s="5">
        <v>12554</v>
      </c>
      <c r="V1632" s="49">
        <v>0</v>
      </c>
      <c r="W1632" s="50"/>
    </row>
    <row r="1633" spans="2:23" x14ac:dyDescent="0.2">
      <c r="B1633" s="22" t="s">
        <v>102</v>
      </c>
      <c r="E1633" s="22" t="s">
        <v>103</v>
      </c>
      <c r="S1633" s="51">
        <v>12554</v>
      </c>
      <c r="T1633" s="50"/>
      <c r="U1633" s="51">
        <v>0</v>
      </c>
      <c r="V1633" s="50"/>
      <c r="W1633" s="50"/>
    </row>
    <row r="1635" spans="2:23" x14ac:dyDescent="0.2">
      <c r="B1635" s="22" t="s">
        <v>747</v>
      </c>
      <c r="E1635" s="22" t="s">
        <v>748</v>
      </c>
    </row>
    <row r="1636" spans="2:23" x14ac:dyDescent="0.2">
      <c r="C1636" s="2" t="s">
        <v>46</v>
      </c>
      <c r="E1636" s="2" t="s">
        <v>1763</v>
      </c>
      <c r="I1636" s="2" t="s">
        <v>19</v>
      </c>
      <c r="P1636" s="2" t="s">
        <v>1764</v>
      </c>
      <c r="T1636" s="5">
        <v>5220</v>
      </c>
      <c r="V1636" s="49">
        <v>0</v>
      </c>
      <c r="W1636" s="50"/>
    </row>
    <row r="1637" spans="2:23" x14ac:dyDescent="0.2">
      <c r="B1637" s="22" t="s">
        <v>747</v>
      </c>
      <c r="E1637" s="22" t="s">
        <v>748</v>
      </c>
      <c r="S1637" s="51">
        <v>5220</v>
      </c>
      <c r="T1637" s="50"/>
      <c r="U1637" s="51">
        <v>0</v>
      </c>
      <c r="V1637" s="50"/>
      <c r="W1637" s="50"/>
    </row>
    <row r="1639" spans="2:23" x14ac:dyDescent="0.2">
      <c r="B1639" s="22" t="s">
        <v>1765</v>
      </c>
      <c r="E1639" s="22" t="s">
        <v>1766</v>
      </c>
    </row>
    <row r="1640" spans="2:23" x14ac:dyDescent="0.2">
      <c r="C1640" s="2" t="s">
        <v>1769</v>
      </c>
      <c r="E1640" s="2" t="s">
        <v>1767</v>
      </c>
      <c r="I1640" s="2" t="s">
        <v>106</v>
      </c>
      <c r="L1640" s="2" t="s">
        <v>1768</v>
      </c>
      <c r="P1640" s="2" t="s">
        <v>1770</v>
      </c>
      <c r="T1640" s="5">
        <v>481761</v>
      </c>
      <c r="V1640" s="49">
        <v>0</v>
      </c>
      <c r="W1640" s="50"/>
    </row>
    <row r="1641" spans="2:23" x14ac:dyDescent="0.2">
      <c r="C1641" s="2" t="s">
        <v>46</v>
      </c>
      <c r="E1641" s="2" t="s">
        <v>1771</v>
      </c>
      <c r="I1641" s="2" t="s">
        <v>106</v>
      </c>
      <c r="L1641" s="2" t="s">
        <v>1772</v>
      </c>
      <c r="P1641" s="2" t="s">
        <v>1770</v>
      </c>
      <c r="T1641" s="5">
        <v>22000</v>
      </c>
      <c r="V1641" s="49">
        <v>0</v>
      </c>
      <c r="W1641" s="50"/>
    </row>
    <row r="1642" spans="2:23" x14ac:dyDescent="0.2">
      <c r="B1642" s="22" t="s">
        <v>1765</v>
      </c>
      <c r="E1642" s="22" t="s">
        <v>1766</v>
      </c>
      <c r="S1642" s="51">
        <v>503761</v>
      </c>
      <c r="T1642" s="50"/>
      <c r="U1642" s="51">
        <v>0</v>
      </c>
      <c r="V1642" s="50"/>
      <c r="W1642" s="50"/>
    </row>
    <row r="1644" spans="2:23" x14ac:dyDescent="0.2">
      <c r="B1644" s="22" t="s">
        <v>206</v>
      </c>
      <c r="E1644" s="22" t="s">
        <v>207</v>
      </c>
    </row>
    <row r="1645" spans="2:23" x14ac:dyDescent="0.2">
      <c r="C1645" s="2" t="s">
        <v>46</v>
      </c>
      <c r="E1645" s="2" t="s">
        <v>1773</v>
      </c>
      <c r="I1645" s="2" t="s">
        <v>19</v>
      </c>
      <c r="P1645" s="2" t="s">
        <v>1774</v>
      </c>
      <c r="T1645" s="5">
        <v>56000</v>
      </c>
      <c r="V1645" s="49">
        <v>0</v>
      </c>
      <c r="W1645" s="50"/>
    </row>
    <row r="1646" spans="2:23" x14ac:dyDescent="0.2">
      <c r="B1646" s="22" t="s">
        <v>206</v>
      </c>
      <c r="E1646" s="22" t="s">
        <v>207</v>
      </c>
      <c r="S1646" s="51">
        <v>56000</v>
      </c>
      <c r="T1646" s="50"/>
      <c r="U1646" s="51">
        <v>0</v>
      </c>
      <c r="V1646" s="50"/>
      <c r="W1646" s="50"/>
    </row>
    <row r="1647" spans="2:23" x14ac:dyDescent="0.2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 s="8"/>
      <c r="O1647" s="8"/>
      <c r="P1647" s="8"/>
      <c r="Q1647" s="8"/>
      <c r="R1647" s="8"/>
      <c r="S1647" s="8"/>
      <c r="T1647" s="8"/>
      <c r="U1647" s="8"/>
      <c r="V1647" s="8"/>
      <c r="W1647" s="8"/>
    </row>
    <row r="1648" spans="2:23" x14ac:dyDescent="0.2">
      <c r="B1648" s="9"/>
      <c r="C1648" s="9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52">
        <v>581689</v>
      </c>
      <c r="T1648" s="53"/>
      <c r="U1648" s="52">
        <v>0</v>
      </c>
      <c r="V1648" s="53"/>
      <c r="W1648" s="53"/>
    </row>
    <row r="1649" spans="2:23" x14ac:dyDescent="0.2">
      <c r="B1649" s="8"/>
      <c r="C1649" s="8"/>
      <c r="D1649" s="20" t="s">
        <v>81</v>
      </c>
      <c r="E1649" s="8"/>
      <c r="F1649" s="8"/>
      <c r="G1649" s="8"/>
      <c r="H1649" s="8"/>
      <c r="I1649" s="8"/>
      <c r="J1649" s="8"/>
      <c r="K1649" s="8"/>
      <c r="L1649" s="8"/>
      <c r="M1649" s="8"/>
      <c r="N1649" s="8"/>
      <c r="O1649" s="8"/>
      <c r="P1649" s="8"/>
      <c r="Q1649" s="8"/>
      <c r="R1649" s="11">
        <v>581689</v>
      </c>
      <c r="S1649" s="8"/>
      <c r="T1649" s="8"/>
      <c r="U1649" s="8"/>
      <c r="V1649" s="8"/>
      <c r="W1649" s="8"/>
    </row>
    <row r="1650" spans="2:23" x14ac:dyDescent="0.2">
      <c r="B1650" s="9"/>
      <c r="C1650" s="9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</row>
    <row r="1652" spans="2:23" ht="15" x14ac:dyDescent="0.2">
      <c r="B1652" s="4" t="s">
        <v>82</v>
      </c>
    </row>
    <row r="1654" spans="2:23" x14ac:dyDescent="0.2">
      <c r="B1654" s="22" t="s">
        <v>1775</v>
      </c>
      <c r="E1654" s="22" t="s">
        <v>1776</v>
      </c>
    </row>
    <row r="1655" spans="2:23" x14ac:dyDescent="0.2">
      <c r="C1655" s="2" t="s">
        <v>46</v>
      </c>
      <c r="E1655" s="2" t="s">
        <v>1777</v>
      </c>
      <c r="I1655" s="2" t="s">
        <v>19</v>
      </c>
      <c r="P1655" s="2" t="s">
        <v>1778</v>
      </c>
      <c r="T1655" s="5">
        <v>0</v>
      </c>
      <c r="V1655" s="49">
        <v>467120</v>
      </c>
      <c r="W1655" s="50"/>
    </row>
    <row r="1656" spans="2:23" x14ac:dyDescent="0.2">
      <c r="B1656" s="22" t="s">
        <v>1775</v>
      </c>
      <c r="E1656" s="22" t="s">
        <v>1776</v>
      </c>
      <c r="S1656" s="51">
        <v>0</v>
      </c>
      <c r="T1656" s="50"/>
      <c r="U1656" s="51">
        <v>467120</v>
      </c>
      <c r="V1656" s="50"/>
      <c r="W1656" s="50"/>
    </row>
    <row r="1657" spans="2:23" x14ac:dyDescent="0.2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8"/>
      <c r="N1657" s="8"/>
      <c r="O1657" s="8"/>
      <c r="P1657" s="8"/>
      <c r="Q1657" s="8"/>
      <c r="R1657" s="8"/>
      <c r="S1657" s="8"/>
      <c r="T1657" s="8"/>
      <c r="U1657" s="8"/>
      <c r="V1657" s="8"/>
      <c r="W1657" s="8"/>
    </row>
    <row r="1658" spans="2:23" x14ac:dyDescent="0.2">
      <c r="B1658" s="9"/>
      <c r="C1658" s="9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52">
        <v>0</v>
      </c>
      <c r="T1658" s="53"/>
      <c r="U1658" s="52">
        <v>467120</v>
      </c>
      <c r="V1658" s="53"/>
      <c r="W1658" s="53"/>
    </row>
    <row r="1659" spans="2:23" x14ac:dyDescent="0.2">
      <c r="B1659" s="8"/>
      <c r="C1659" s="8"/>
      <c r="D1659" s="20" t="s">
        <v>96</v>
      </c>
      <c r="E1659" s="8"/>
      <c r="F1659" s="8"/>
      <c r="G1659" s="8"/>
      <c r="H1659" s="8"/>
      <c r="I1659" s="8"/>
      <c r="J1659" s="8"/>
      <c r="K1659" s="8"/>
      <c r="L1659" s="8"/>
      <c r="M1659" s="8"/>
      <c r="N1659" s="8"/>
      <c r="O1659" s="8"/>
      <c r="P1659" s="8"/>
      <c r="Q1659" s="8"/>
      <c r="R1659" s="11">
        <v>467120</v>
      </c>
      <c r="S1659" s="8"/>
      <c r="T1659" s="8"/>
      <c r="U1659" s="8"/>
      <c r="V1659" s="8"/>
      <c r="W1659" s="8"/>
    </row>
    <row r="1660" spans="2:23" x14ac:dyDescent="0.2">
      <c r="B1660" s="9"/>
      <c r="C1660" s="9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</row>
    <row r="1661" spans="2:23" x14ac:dyDescent="0.2">
      <c r="B1661" s="22" t="s">
        <v>7</v>
      </c>
      <c r="D1661" s="22" t="s">
        <v>1757</v>
      </c>
      <c r="O1661" s="20" t="s">
        <v>97</v>
      </c>
      <c r="P1661" s="8"/>
      <c r="Q1661" s="8"/>
      <c r="R1661" s="11">
        <v>-114569</v>
      </c>
    </row>
    <row r="1662" spans="2:23" x14ac:dyDescent="0.2">
      <c r="O1662" s="9"/>
      <c r="P1662" s="9"/>
      <c r="Q1662" s="9"/>
      <c r="R1662" s="9"/>
    </row>
    <row r="1663" spans="2:23" x14ac:dyDescent="0.2">
      <c r="B1663" s="2" t="s">
        <v>98</v>
      </c>
    </row>
    <row r="1665" spans="2:23" ht="24" customHeight="1" x14ac:dyDescent="0.2">
      <c r="B1665" s="54" t="s">
        <v>0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  <c r="R1665" s="50"/>
      <c r="S1665" s="50"/>
      <c r="T1665" s="50"/>
      <c r="U1665" s="50"/>
      <c r="V1665" s="50"/>
      <c r="W1665" s="50"/>
    </row>
    <row r="1666" spans="2:23" ht="18" x14ac:dyDescent="0.2">
      <c r="B1666" s="1" t="s">
        <v>1</v>
      </c>
      <c r="S1666" s="55" t="s">
        <v>1756</v>
      </c>
      <c r="T1666" s="50"/>
      <c r="U1666" s="50"/>
      <c r="V1666" s="50"/>
      <c r="W1666" s="50"/>
    </row>
    <row r="1667" spans="2:23" ht="12.75" thickBot="1" x14ac:dyDescent="0.25">
      <c r="B1667" s="10" t="s">
        <v>3</v>
      </c>
      <c r="C1667" s="6"/>
      <c r="D1667" s="6"/>
      <c r="E1667" s="6"/>
      <c r="F1667" s="6"/>
      <c r="G1667" s="6"/>
      <c r="H1667" s="6"/>
      <c r="I1667" s="6"/>
      <c r="J1667" s="6"/>
      <c r="K1667" s="6" t="s">
        <v>5</v>
      </c>
      <c r="L1667" s="6"/>
      <c r="M1667" s="6"/>
      <c r="N1667" s="6"/>
      <c r="O1667" s="6"/>
      <c r="P1667" s="6" t="s">
        <v>4</v>
      </c>
      <c r="Q1667" s="6" t="s">
        <v>2730</v>
      </c>
      <c r="R1667" s="6"/>
      <c r="S1667" s="56" t="s">
        <v>6</v>
      </c>
      <c r="T1667" s="57"/>
      <c r="U1667" s="57"/>
      <c r="V1667" s="57"/>
      <c r="W1667" s="57"/>
    </row>
    <row r="1668" spans="2:23" ht="12.75" thickTop="1" x14ac:dyDescent="0.2"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</row>
    <row r="1669" spans="2:23" ht="15.75" x14ac:dyDescent="0.2">
      <c r="B1669" s="3" t="s">
        <v>7</v>
      </c>
      <c r="F1669" s="3" t="s">
        <v>1780</v>
      </c>
    </row>
    <row r="1671" spans="2:23" x14ac:dyDescent="0.2">
      <c r="B1671" s="8"/>
      <c r="C1671" s="20" t="s">
        <v>8</v>
      </c>
      <c r="D1671" s="8"/>
      <c r="E1671" s="20" t="s">
        <v>9</v>
      </c>
      <c r="F1671" s="8"/>
      <c r="G1671" s="8"/>
      <c r="H1671" s="8"/>
      <c r="I1671" s="20" t="s">
        <v>13</v>
      </c>
      <c r="J1671" s="8"/>
      <c r="K1671" s="8"/>
      <c r="L1671" s="20" t="s">
        <v>12</v>
      </c>
      <c r="M1671" s="8"/>
      <c r="N1671" s="8"/>
      <c r="O1671" s="8"/>
      <c r="P1671" s="20" t="s">
        <v>14</v>
      </c>
      <c r="Q1671" s="8"/>
      <c r="R1671" s="8"/>
      <c r="S1671" s="8"/>
      <c r="T1671" s="21" t="s">
        <v>11</v>
      </c>
      <c r="U1671" s="8"/>
      <c r="V1671" s="58" t="s">
        <v>10</v>
      </c>
      <c r="W1671" s="59"/>
    </row>
    <row r="1672" spans="2:23" x14ac:dyDescent="0.2">
      <c r="B1672" s="9"/>
      <c r="C1672" s="9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</row>
    <row r="1673" spans="2:23" ht="15" x14ac:dyDescent="0.2">
      <c r="B1673" s="4" t="s">
        <v>15</v>
      </c>
    </row>
    <row r="1675" spans="2:23" x14ac:dyDescent="0.2">
      <c r="B1675" s="22" t="s">
        <v>1758</v>
      </c>
      <c r="E1675" s="22" t="s">
        <v>1759</v>
      </c>
    </row>
    <row r="1676" spans="2:23" x14ac:dyDescent="0.2">
      <c r="C1676" s="2" t="s">
        <v>218</v>
      </c>
      <c r="E1676" s="2" t="s">
        <v>1781</v>
      </c>
      <c r="I1676" s="2" t="s">
        <v>209</v>
      </c>
      <c r="P1676" s="2" t="s">
        <v>1782</v>
      </c>
      <c r="T1676" s="5">
        <v>72</v>
      </c>
      <c r="V1676" s="49">
        <v>0</v>
      </c>
      <c r="W1676" s="50"/>
    </row>
    <row r="1677" spans="2:23" x14ac:dyDescent="0.2">
      <c r="C1677" s="2" t="s">
        <v>218</v>
      </c>
      <c r="E1677" s="2" t="s">
        <v>1783</v>
      </c>
      <c r="I1677" s="2" t="s">
        <v>209</v>
      </c>
      <c r="P1677" s="2" t="s">
        <v>1784</v>
      </c>
      <c r="T1677" s="5">
        <v>534</v>
      </c>
      <c r="V1677" s="49">
        <v>0</v>
      </c>
      <c r="W1677" s="50"/>
    </row>
    <row r="1678" spans="2:23" x14ac:dyDescent="0.2">
      <c r="B1678" s="22" t="s">
        <v>1758</v>
      </c>
      <c r="E1678" s="22" t="s">
        <v>1759</v>
      </c>
      <c r="S1678" s="51">
        <v>606</v>
      </c>
      <c r="T1678" s="50"/>
      <c r="U1678" s="51">
        <v>0</v>
      </c>
      <c r="V1678" s="50"/>
      <c r="W1678" s="50"/>
    </row>
    <row r="1680" spans="2:23" x14ac:dyDescent="0.2">
      <c r="B1680" s="22" t="s">
        <v>955</v>
      </c>
      <c r="E1680" s="22" t="s">
        <v>956</v>
      </c>
    </row>
    <row r="1681" spans="2:23" x14ac:dyDescent="0.2">
      <c r="C1681" s="2" t="s">
        <v>218</v>
      </c>
      <c r="E1681" s="2" t="s">
        <v>1785</v>
      </c>
      <c r="I1681" s="2" t="s">
        <v>209</v>
      </c>
      <c r="P1681" s="2" t="s">
        <v>1786</v>
      </c>
      <c r="T1681" s="5">
        <v>8457</v>
      </c>
      <c r="V1681" s="49">
        <v>0</v>
      </c>
      <c r="W1681" s="50"/>
    </row>
    <row r="1682" spans="2:23" x14ac:dyDescent="0.2">
      <c r="C1682" s="2" t="s">
        <v>1789</v>
      </c>
      <c r="E1682" s="2" t="s">
        <v>1787</v>
      </c>
      <c r="I1682" s="2" t="s">
        <v>106</v>
      </c>
      <c r="L1682" s="2" t="s">
        <v>1788</v>
      </c>
      <c r="P1682" s="2" t="s">
        <v>1790</v>
      </c>
      <c r="T1682" s="5">
        <v>34530</v>
      </c>
      <c r="V1682" s="49">
        <v>0</v>
      </c>
      <c r="W1682" s="50"/>
    </row>
    <row r="1683" spans="2:23" x14ac:dyDescent="0.2">
      <c r="B1683" s="22" t="s">
        <v>955</v>
      </c>
      <c r="E1683" s="22" t="s">
        <v>956</v>
      </c>
      <c r="S1683" s="51">
        <v>42987</v>
      </c>
      <c r="T1683" s="50"/>
      <c r="U1683" s="51">
        <v>0</v>
      </c>
      <c r="V1683" s="50"/>
      <c r="W1683" s="50"/>
    </row>
    <row r="1685" spans="2:23" x14ac:dyDescent="0.2">
      <c r="B1685" s="22" t="s">
        <v>747</v>
      </c>
      <c r="E1685" s="22" t="s">
        <v>748</v>
      </c>
    </row>
    <row r="1686" spans="2:23" x14ac:dyDescent="0.2">
      <c r="C1686" s="2" t="s">
        <v>264</v>
      </c>
      <c r="E1686" s="2" t="s">
        <v>1791</v>
      </c>
      <c r="I1686" s="2" t="s">
        <v>106</v>
      </c>
      <c r="L1686" s="2" t="s">
        <v>1792</v>
      </c>
      <c r="P1686" s="2" t="s">
        <v>1793</v>
      </c>
      <c r="T1686" s="5">
        <v>2880</v>
      </c>
      <c r="V1686" s="49">
        <v>0</v>
      </c>
      <c r="W1686" s="50"/>
    </row>
    <row r="1687" spans="2:23" x14ac:dyDescent="0.2">
      <c r="B1687" s="22" t="s">
        <v>747</v>
      </c>
      <c r="E1687" s="22" t="s">
        <v>748</v>
      </c>
      <c r="S1687" s="51">
        <v>2880</v>
      </c>
      <c r="T1687" s="50"/>
      <c r="U1687" s="51">
        <v>0</v>
      </c>
      <c r="V1687" s="50"/>
      <c r="W1687" s="50"/>
    </row>
    <row r="1689" spans="2:23" x14ac:dyDescent="0.2">
      <c r="B1689" s="22" t="s">
        <v>1765</v>
      </c>
      <c r="E1689" s="22" t="s">
        <v>1766</v>
      </c>
    </row>
    <row r="1690" spans="2:23" x14ac:dyDescent="0.2">
      <c r="C1690" s="2" t="s">
        <v>1795</v>
      </c>
      <c r="E1690" s="2" t="s">
        <v>1794</v>
      </c>
      <c r="I1690" s="2" t="s">
        <v>106</v>
      </c>
      <c r="L1690" s="2" t="s">
        <v>1788</v>
      </c>
      <c r="P1690" s="2" t="s">
        <v>1796</v>
      </c>
      <c r="T1690" s="5">
        <v>13500</v>
      </c>
      <c r="V1690" s="49">
        <v>0</v>
      </c>
      <c r="W1690" s="50"/>
    </row>
    <row r="1691" spans="2:23" x14ac:dyDescent="0.2">
      <c r="B1691" s="22" t="s">
        <v>1765</v>
      </c>
      <c r="E1691" s="22" t="s">
        <v>1766</v>
      </c>
      <c r="S1691" s="51">
        <v>13500</v>
      </c>
      <c r="T1691" s="50"/>
      <c r="U1691" s="51">
        <v>0</v>
      </c>
      <c r="V1691" s="50"/>
      <c r="W1691" s="50"/>
    </row>
    <row r="1693" spans="2:23" x14ac:dyDescent="0.2">
      <c r="B1693" s="22" t="s">
        <v>153</v>
      </c>
      <c r="E1693" s="22" t="s">
        <v>154</v>
      </c>
    </row>
    <row r="1694" spans="2:23" x14ac:dyDescent="0.2">
      <c r="C1694" s="2" t="s">
        <v>46</v>
      </c>
      <c r="E1694" s="2" t="s">
        <v>1797</v>
      </c>
      <c r="I1694" s="2" t="s">
        <v>106</v>
      </c>
      <c r="L1694" s="2" t="s">
        <v>1798</v>
      </c>
      <c r="P1694" s="2" t="s">
        <v>1799</v>
      </c>
      <c r="T1694" s="5">
        <v>151075</v>
      </c>
      <c r="V1694" s="49">
        <v>0</v>
      </c>
      <c r="W1694" s="50"/>
    </row>
    <row r="1695" spans="2:23" x14ac:dyDescent="0.2">
      <c r="B1695" s="22" t="s">
        <v>153</v>
      </c>
      <c r="E1695" s="22" t="s">
        <v>154</v>
      </c>
      <c r="S1695" s="51">
        <v>151075</v>
      </c>
      <c r="T1695" s="50"/>
      <c r="U1695" s="51">
        <v>0</v>
      </c>
      <c r="V1695" s="50"/>
      <c r="W1695" s="50"/>
    </row>
    <row r="1697" spans="2:23" x14ac:dyDescent="0.2">
      <c r="B1697" s="22" t="s">
        <v>206</v>
      </c>
      <c r="E1697" s="22" t="s">
        <v>207</v>
      </c>
    </row>
    <row r="1698" spans="2:23" x14ac:dyDescent="0.2">
      <c r="C1698" s="2" t="s">
        <v>218</v>
      </c>
      <c r="E1698" s="2" t="s">
        <v>1800</v>
      </c>
      <c r="I1698" s="2" t="s">
        <v>209</v>
      </c>
      <c r="P1698" s="2" t="s">
        <v>210</v>
      </c>
      <c r="T1698" s="5">
        <v>20000</v>
      </c>
      <c r="V1698" s="49">
        <v>0</v>
      </c>
      <c r="W1698" s="50"/>
    </row>
    <row r="1699" spans="2:23" x14ac:dyDescent="0.2">
      <c r="B1699" s="22" t="s">
        <v>206</v>
      </c>
      <c r="E1699" s="22" t="s">
        <v>207</v>
      </c>
      <c r="S1699" s="51">
        <v>20000</v>
      </c>
      <c r="T1699" s="50"/>
      <c r="U1699" s="51">
        <v>0</v>
      </c>
      <c r="V1699" s="50"/>
      <c r="W1699" s="50"/>
    </row>
    <row r="1700" spans="2:23" x14ac:dyDescent="0.2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 s="8"/>
      <c r="O1700" s="8"/>
      <c r="P1700" s="8"/>
      <c r="Q1700" s="8"/>
      <c r="R1700" s="8"/>
      <c r="S1700" s="8"/>
      <c r="T1700" s="8"/>
      <c r="U1700" s="8"/>
      <c r="V1700" s="8"/>
      <c r="W1700" s="8"/>
    </row>
    <row r="1701" spans="2:23" x14ac:dyDescent="0.2">
      <c r="B1701" s="9"/>
      <c r="C1701" s="9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52">
        <v>231048</v>
      </c>
      <c r="T1701" s="53"/>
      <c r="U1701" s="52">
        <v>0</v>
      </c>
      <c r="V1701" s="53"/>
      <c r="W1701" s="53"/>
    </row>
    <row r="1702" spans="2:23" x14ac:dyDescent="0.2">
      <c r="B1702" s="8"/>
      <c r="C1702" s="8"/>
      <c r="D1702" s="20" t="s">
        <v>81</v>
      </c>
      <c r="E1702" s="8"/>
      <c r="F1702" s="8"/>
      <c r="G1702" s="8"/>
      <c r="H1702" s="8"/>
      <c r="I1702" s="8"/>
      <c r="J1702" s="8"/>
      <c r="K1702" s="8"/>
      <c r="L1702" s="8"/>
      <c r="M1702" s="8"/>
      <c r="N1702" s="8"/>
      <c r="O1702" s="8"/>
      <c r="P1702" s="8"/>
      <c r="Q1702" s="8"/>
      <c r="R1702" s="11">
        <v>231048</v>
      </c>
      <c r="S1702" s="8"/>
      <c r="T1702" s="8"/>
      <c r="U1702" s="8"/>
      <c r="V1702" s="8"/>
      <c r="W1702" s="8"/>
    </row>
    <row r="1703" spans="2:23" x14ac:dyDescent="0.2">
      <c r="B1703" s="9"/>
      <c r="C1703" s="9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</row>
    <row r="1705" spans="2:23" ht="15" x14ac:dyDescent="0.2">
      <c r="B1705" s="4" t="s">
        <v>82</v>
      </c>
    </row>
    <row r="1707" spans="2:23" x14ac:dyDescent="0.2">
      <c r="B1707" s="22" t="s">
        <v>1775</v>
      </c>
      <c r="E1707" s="22" t="s">
        <v>1776</v>
      </c>
    </row>
    <row r="1708" spans="2:23" x14ac:dyDescent="0.2">
      <c r="C1708" s="2" t="s">
        <v>49</v>
      </c>
      <c r="E1708" s="2" t="s">
        <v>1801</v>
      </c>
      <c r="I1708" s="2" t="s">
        <v>19</v>
      </c>
      <c r="P1708" s="2" t="s">
        <v>1802</v>
      </c>
      <c r="T1708" s="5">
        <v>0</v>
      </c>
      <c r="V1708" s="49">
        <v>271500</v>
      </c>
      <c r="W1708" s="50"/>
    </row>
    <row r="1709" spans="2:23" x14ac:dyDescent="0.2">
      <c r="B1709" s="22" t="s">
        <v>1775</v>
      </c>
      <c r="E1709" s="22" t="s">
        <v>1776</v>
      </c>
      <c r="S1709" s="51">
        <v>0</v>
      </c>
      <c r="T1709" s="50"/>
      <c r="U1709" s="51">
        <v>271500</v>
      </c>
      <c r="V1709" s="50"/>
      <c r="W1709" s="50"/>
    </row>
    <row r="1710" spans="2:23" x14ac:dyDescent="0.2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  <c r="N1710" s="8"/>
      <c r="O1710" s="8"/>
      <c r="P1710" s="8"/>
      <c r="Q1710" s="8"/>
      <c r="R1710" s="8"/>
      <c r="S1710" s="8"/>
      <c r="T1710" s="8"/>
      <c r="U1710" s="8"/>
      <c r="V1710" s="8"/>
      <c r="W1710" s="8"/>
    </row>
    <row r="1711" spans="2:23" x14ac:dyDescent="0.2">
      <c r="B1711" s="9"/>
      <c r="C1711" s="9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52">
        <v>0</v>
      </c>
      <c r="T1711" s="53"/>
      <c r="U1711" s="52">
        <v>271500</v>
      </c>
      <c r="V1711" s="53"/>
      <c r="W1711" s="53"/>
    </row>
    <row r="1712" spans="2:23" x14ac:dyDescent="0.2">
      <c r="B1712" s="8"/>
      <c r="C1712" s="8"/>
      <c r="D1712" s="20" t="s">
        <v>96</v>
      </c>
      <c r="E1712" s="8"/>
      <c r="F1712" s="8"/>
      <c r="G1712" s="8"/>
      <c r="H1712" s="8"/>
      <c r="I1712" s="8"/>
      <c r="J1712" s="8"/>
      <c r="K1712" s="8"/>
      <c r="L1712" s="8"/>
      <c r="M1712" s="8"/>
      <c r="N1712" s="8"/>
      <c r="O1712" s="8"/>
      <c r="P1712" s="8"/>
      <c r="Q1712" s="8"/>
      <c r="R1712" s="11">
        <v>271500</v>
      </c>
      <c r="S1712" s="8"/>
      <c r="T1712" s="8"/>
      <c r="U1712" s="8"/>
      <c r="V1712" s="8"/>
      <c r="W1712" s="8"/>
    </row>
    <row r="1713" spans="2:23" x14ac:dyDescent="0.2">
      <c r="B1713" s="9"/>
      <c r="C1713" s="9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</row>
    <row r="1714" spans="2:23" x14ac:dyDescent="0.2">
      <c r="B1714" s="22" t="s">
        <v>7</v>
      </c>
      <c r="D1714" s="22" t="s">
        <v>1780</v>
      </c>
      <c r="O1714" s="20" t="s">
        <v>97</v>
      </c>
      <c r="P1714" s="8"/>
      <c r="Q1714" s="8"/>
      <c r="R1714" s="11">
        <v>40452</v>
      </c>
    </row>
    <row r="1715" spans="2:23" x14ac:dyDescent="0.2">
      <c r="O1715" s="9"/>
      <c r="P1715" s="9"/>
      <c r="Q1715" s="9"/>
      <c r="R1715" s="9"/>
    </row>
    <row r="1716" spans="2:23" x14ac:dyDescent="0.2">
      <c r="B1716" s="2" t="s">
        <v>98</v>
      </c>
    </row>
    <row r="1718" spans="2:23" ht="24" customHeight="1" x14ac:dyDescent="0.2">
      <c r="B1718" s="54" t="s">
        <v>0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  <c r="R1718" s="50"/>
      <c r="S1718" s="50"/>
      <c r="T1718" s="50"/>
      <c r="U1718" s="50"/>
      <c r="V1718" s="50"/>
      <c r="W1718" s="50"/>
    </row>
    <row r="1719" spans="2:23" ht="18" x14ac:dyDescent="0.2">
      <c r="B1719" s="1" t="s">
        <v>1</v>
      </c>
      <c r="S1719" s="55" t="s">
        <v>1779</v>
      </c>
      <c r="T1719" s="50"/>
      <c r="U1719" s="50"/>
      <c r="V1719" s="50"/>
      <c r="W1719" s="50"/>
    </row>
    <row r="1720" spans="2:23" ht="12.75" thickBot="1" x14ac:dyDescent="0.25">
      <c r="B1720" s="10" t="s">
        <v>3</v>
      </c>
      <c r="C1720" s="6"/>
      <c r="D1720" s="6"/>
      <c r="E1720" s="6"/>
      <c r="F1720" s="6"/>
      <c r="G1720" s="6"/>
      <c r="H1720" s="6"/>
      <c r="I1720" s="6"/>
      <c r="J1720" s="6"/>
      <c r="K1720" s="6" t="s">
        <v>5</v>
      </c>
      <c r="L1720" s="6"/>
      <c r="M1720" s="6"/>
      <c r="N1720" s="6"/>
      <c r="O1720" s="6"/>
      <c r="P1720" s="6" t="s">
        <v>4</v>
      </c>
      <c r="Q1720" s="6" t="s">
        <v>2730</v>
      </c>
      <c r="R1720" s="6"/>
      <c r="S1720" s="56" t="s">
        <v>6</v>
      </c>
      <c r="T1720" s="57"/>
      <c r="U1720" s="57"/>
      <c r="V1720" s="57"/>
      <c r="W1720" s="57"/>
    </row>
    <row r="1721" spans="2:23" ht="12.75" thickTop="1" x14ac:dyDescent="0.2"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</row>
    <row r="1722" spans="2:23" ht="15.75" x14ac:dyDescent="0.2">
      <c r="B1722" s="3" t="s">
        <v>7</v>
      </c>
      <c r="F1722" s="3" t="s">
        <v>1804</v>
      </c>
    </row>
    <row r="1724" spans="2:23" x14ac:dyDescent="0.2">
      <c r="B1724" s="8"/>
      <c r="C1724" s="20" t="s">
        <v>8</v>
      </c>
      <c r="D1724" s="8"/>
      <c r="E1724" s="20" t="s">
        <v>9</v>
      </c>
      <c r="F1724" s="8"/>
      <c r="G1724" s="8"/>
      <c r="H1724" s="8"/>
      <c r="I1724" s="20" t="s">
        <v>13</v>
      </c>
      <c r="J1724" s="8"/>
      <c r="K1724" s="8"/>
      <c r="L1724" s="20" t="s">
        <v>12</v>
      </c>
      <c r="M1724" s="8"/>
      <c r="N1724" s="8"/>
      <c r="O1724" s="8"/>
      <c r="P1724" s="20" t="s">
        <v>14</v>
      </c>
      <c r="Q1724" s="8"/>
      <c r="R1724" s="8"/>
      <c r="S1724" s="8"/>
      <c r="T1724" s="21" t="s">
        <v>11</v>
      </c>
      <c r="U1724" s="8"/>
      <c r="V1724" s="58" t="s">
        <v>10</v>
      </c>
      <c r="W1724" s="59"/>
    </row>
    <row r="1725" spans="2:23" x14ac:dyDescent="0.2">
      <c r="B1725" s="9"/>
      <c r="C1725" s="9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</row>
    <row r="1726" spans="2:23" ht="15" x14ac:dyDescent="0.2">
      <c r="B1726" s="4" t="s">
        <v>15</v>
      </c>
    </row>
    <row r="1728" spans="2:23" x14ac:dyDescent="0.2">
      <c r="B1728" s="22" t="s">
        <v>1758</v>
      </c>
      <c r="E1728" s="22" t="s">
        <v>1759</v>
      </c>
    </row>
    <row r="1729" spans="2:23" x14ac:dyDescent="0.2">
      <c r="C1729" s="2" t="s">
        <v>218</v>
      </c>
      <c r="E1729" s="2" t="s">
        <v>1805</v>
      </c>
      <c r="I1729" s="2" t="s">
        <v>209</v>
      </c>
      <c r="P1729" s="2" t="s">
        <v>1806</v>
      </c>
      <c r="T1729" s="5">
        <v>297</v>
      </c>
      <c r="V1729" s="49">
        <v>0</v>
      </c>
      <c r="W1729" s="50"/>
    </row>
    <row r="1730" spans="2:23" x14ac:dyDescent="0.2">
      <c r="C1730" s="2" t="s">
        <v>218</v>
      </c>
      <c r="E1730" s="2" t="s">
        <v>1807</v>
      </c>
      <c r="I1730" s="2" t="s">
        <v>209</v>
      </c>
      <c r="P1730" s="2" t="s">
        <v>1808</v>
      </c>
      <c r="T1730" s="5">
        <v>1172</v>
      </c>
      <c r="V1730" s="49">
        <v>0</v>
      </c>
      <c r="W1730" s="50"/>
    </row>
    <row r="1731" spans="2:23" x14ac:dyDescent="0.2">
      <c r="B1731" s="22" t="s">
        <v>1758</v>
      </c>
      <c r="E1731" s="22" t="s">
        <v>1759</v>
      </c>
      <c r="S1731" s="51">
        <v>1469</v>
      </c>
      <c r="T1731" s="50"/>
      <c r="U1731" s="51">
        <v>0</v>
      </c>
      <c r="V1731" s="50"/>
      <c r="W1731" s="50"/>
    </row>
    <row r="1733" spans="2:23" x14ac:dyDescent="0.2">
      <c r="B1733" s="22" t="s">
        <v>955</v>
      </c>
      <c r="E1733" s="22" t="s">
        <v>956</v>
      </c>
    </row>
    <row r="1734" spans="2:23" x14ac:dyDescent="0.2">
      <c r="C1734" s="2" t="s">
        <v>1569</v>
      </c>
      <c r="E1734" s="2" t="s">
        <v>1809</v>
      </c>
      <c r="I1734" s="2" t="s">
        <v>106</v>
      </c>
      <c r="L1734" s="2" t="s">
        <v>1810</v>
      </c>
      <c r="P1734" s="2" t="s">
        <v>1811</v>
      </c>
      <c r="T1734" s="5">
        <v>2375</v>
      </c>
      <c r="V1734" s="49">
        <v>0</v>
      </c>
      <c r="W1734" s="50"/>
    </row>
    <row r="1735" spans="2:23" x14ac:dyDescent="0.2">
      <c r="C1735" s="2" t="s">
        <v>1813</v>
      </c>
      <c r="E1735" s="2" t="s">
        <v>1812</v>
      </c>
      <c r="I1735" s="2" t="s">
        <v>106</v>
      </c>
      <c r="L1735" s="2" t="s">
        <v>1810</v>
      </c>
      <c r="P1735" s="2" t="s">
        <v>1811</v>
      </c>
      <c r="T1735" s="5">
        <v>57930</v>
      </c>
      <c r="V1735" s="49">
        <v>0</v>
      </c>
      <c r="W1735" s="50"/>
    </row>
    <row r="1736" spans="2:23" x14ac:dyDescent="0.2">
      <c r="C1736" s="2" t="s">
        <v>218</v>
      </c>
      <c r="E1736" s="2" t="s">
        <v>1814</v>
      </c>
      <c r="I1736" s="2" t="s">
        <v>209</v>
      </c>
      <c r="P1736" s="2" t="s">
        <v>1815</v>
      </c>
      <c r="T1736" s="5">
        <v>10260</v>
      </c>
      <c r="V1736" s="49">
        <v>0</v>
      </c>
      <c r="W1736" s="50"/>
    </row>
    <row r="1737" spans="2:23" x14ac:dyDescent="0.2">
      <c r="B1737" s="22" t="s">
        <v>955</v>
      </c>
      <c r="E1737" s="22" t="s">
        <v>956</v>
      </c>
      <c r="S1737" s="51">
        <v>70565</v>
      </c>
      <c r="T1737" s="50"/>
      <c r="U1737" s="51">
        <v>0</v>
      </c>
      <c r="V1737" s="50"/>
      <c r="W1737" s="50"/>
    </row>
    <row r="1739" spans="2:23" x14ac:dyDescent="0.2">
      <c r="B1739" s="22" t="s">
        <v>102</v>
      </c>
      <c r="E1739" s="22" t="s">
        <v>103</v>
      </c>
    </row>
    <row r="1740" spans="2:23" x14ac:dyDescent="0.2">
      <c r="C1740" s="2" t="s">
        <v>218</v>
      </c>
      <c r="E1740" s="2" t="s">
        <v>1816</v>
      </c>
      <c r="I1740" s="2" t="s">
        <v>209</v>
      </c>
      <c r="P1740" s="2" t="s">
        <v>1817</v>
      </c>
      <c r="T1740" s="5">
        <v>540</v>
      </c>
      <c r="V1740" s="49">
        <v>0</v>
      </c>
      <c r="W1740" s="50"/>
    </row>
    <row r="1741" spans="2:23" x14ac:dyDescent="0.2">
      <c r="B1741" s="22" t="s">
        <v>102</v>
      </c>
      <c r="E1741" s="22" t="s">
        <v>103</v>
      </c>
      <c r="S1741" s="51">
        <v>540</v>
      </c>
      <c r="T1741" s="50"/>
      <c r="U1741" s="51">
        <v>0</v>
      </c>
      <c r="V1741" s="50"/>
      <c r="W1741" s="50"/>
    </row>
    <row r="1743" spans="2:23" x14ac:dyDescent="0.2">
      <c r="B1743" s="22" t="s">
        <v>747</v>
      </c>
      <c r="E1743" s="22" t="s">
        <v>748</v>
      </c>
    </row>
    <row r="1744" spans="2:23" x14ac:dyDescent="0.2">
      <c r="C1744" s="2" t="s">
        <v>218</v>
      </c>
      <c r="E1744" s="2" t="s">
        <v>1818</v>
      </c>
      <c r="I1744" s="2" t="s">
        <v>209</v>
      </c>
      <c r="P1744" s="2" t="s">
        <v>1819</v>
      </c>
      <c r="T1744" s="5">
        <v>3670</v>
      </c>
      <c r="V1744" s="49">
        <v>0</v>
      </c>
      <c r="W1744" s="50"/>
    </row>
    <row r="1745" spans="2:23" x14ac:dyDescent="0.2">
      <c r="B1745" s="22" t="s">
        <v>747</v>
      </c>
      <c r="E1745" s="22" t="s">
        <v>748</v>
      </c>
      <c r="S1745" s="51">
        <v>3670</v>
      </c>
      <c r="T1745" s="50"/>
      <c r="U1745" s="51">
        <v>0</v>
      </c>
      <c r="V1745" s="50"/>
      <c r="W1745" s="50"/>
    </row>
    <row r="1747" spans="2:23" x14ac:dyDescent="0.2">
      <c r="B1747" s="22" t="s">
        <v>109</v>
      </c>
      <c r="E1747" s="22" t="s">
        <v>110</v>
      </c>
    </row>
    <row r="1748" spans="2:23" x14ac:dyDescent="0.2">
      <c r="C1748" s="2" t="s">
        <v>46</v>
      </c>
      <c r="E1748" s="2" t="s">
        <v>132</v>
      </c>
      <c r="I1748" s="2" t="s">
        <v>106</v>
      </c>
      <c r="L1748" s="2" t="s">
        <v>133</v>
      </c>
      <c r="P1748" s="2" t="s">
        <v>134</v>
      </c>
      <c r="T1748" s="5">
        <v>7250</v>
      </c>
      <c r="V1748" s="49">
        <v>0</v>
      </c>
      <c r="W1748" s="50"/>
    </row>
    <row r="1749" spans="2:23" x14ac:dyDescent="0.2">
      <c r="B1749" s="22" t="s">
        <v>109</v>
      </c>
      <c r="E1749" s="22" t="s">
        <v>110</v>
      </c>
      <c r="S1749" s="51">
        <v>7250</v>
      </c>
      <c r="T1749" s="50"/>
      <c r="U1749" s="51">
        <v>0</v>
      </c>
      <c r="V1749" s="50"/>
      <c r="W1749" s="50"/>
    </row>
    <row r="1751" spans="2:23" x14ac:dyDescent="0.2">
      <c r="B1751" s="22" t="s">
        <v>1765</v>
      </c>
      <c r="E1751" s="22" t="s">
        <v>1766</v>
      </c>
    </row>
    <row r="1752" spans="2:23" x14ac:dyDescent="0.2">
      <c r="C1752" s="2" t="s">
        <v>1822</v>
      </c>
      <c r="E1752" s="2" t="s">
        <v>1820</v>
      </c>
      <c r="I1752" s="2" t="s">
        <v>106</v>
      </c>
      <c r="L1752" s="2" t="s">
        <v>1821</v>
      </c>
      <c r="P1752" s="2" t="s">
        <v>1823</v>
      </c>
      <c r="T1752" s="5">
        <v>1750</v>
      </c>
      <c r="V1752" s="49">
        <v>0</v>
      </c>
      <c r="W1752" s="50"/>
    </row>
    <row r="1753" spans="2:23" x14ac:dyDescent="0.2">
      <c r="C1753" s="2" t="s">
        <v>705</v>
      </c>
      <c r="E1753" s="2" t="s">
        <v>1824</v>
      </c>
      <c r="I1753" s="2" t="s">
        <v>106</v>
      </c>
      <c r="L1753" s="2" t="s">
        <v>1821</v>
      </c>
      <c r="P1753" s="2" t="s">
        <v>1825</v>
      </c>
      <c r="T1753" s="5">
        <v>10400</v>
      </c>
      <c r="V1753" s="49">
        <v>0</v>
      </c>
      <c r="W1753" s="50"/>
    </row>
    <row r="1754" spans="2:23" x14ac:dyDescent="0.2">
      <c r="B1754" s="22" t="s">
        <v>1765</v>
      </c>
      <c r="E1754" s="22" t="s">
        <v>1766</v>
      </c>
      <c r="S1754" s="51">
        <v>12150</v>
      </c>
      <c r="T1754" s="50"/>
      <c r="U1754" s="51">
        <v>0</v>
      </c>
      <c r="V1754" s="50"/>
      <c r="W1754" s="50"/>
    </row>
    <row r="1756" spans="2:23" x14ac:dyDescent="0.2">
      <c r="B1756" s="22" t="s">
        <v>153</v>
      </c>
      <c r="E1756" s="22" t="s">
        <v>154</v>
      </c>
    </row>
    <row r="1757" spans="2:23" x14ac:dyDescent="0.2">
      <c r="C1757" s="2" t="s">
        <v>46</v>
      </c>
      <c r="E1757" s="2" t="s">
        <v>1826</v>
      </c>
      <c r="I1757" s="2" t="s">
        <v>106</v>
      </c>
      <c r="L1757" s="2" t="s">
        <v>1810</v>
      </c>
      <c r="P1757" s="2" t="s">
        <v>1827</v>
      </c>
      <c r="T1757" s="5">
        <v>61875</v>
      </c>
      <c r="V1757" s="49">
        <v>0</v>
      </c>
      <c r="W1757" s="50"/>
    </row>
    <row r="1758" spans="2:23" x14ac:dyDescent="0.2">
      <c r="B1758" s="22" t="s">
        <v>153</v>
      </c>
      <c r="E1758" s="22" t="s">
        <v>154</v>
      </c>
      <c r="S1758" s="51">
        <v>61875</v>
      </c>
      <c r="T1758" s="50"/>
      <c r="U1758" s="51">
        <v>0</v>
      </c>
      <c r="V1758" s="50"/>
      <c r="W1758" s="50"/>
    </row>
    <row r="1760" spans="2:23" x14ac:dyDescent="0.2">
      <c r="B1760" s="22" t="s">
        <v>206</v>
      </c>
      <c r="E1760" s="22" t="s">
        <v>207</v>
      </c>
    </row>
    <row r="1761" spans="2:23" x14ac:dyDescent="0.2">
      <c r="C1761" s="2" t="s">
        <v>218</v>
      </c>
      <c r="E1761" s="2" t="s">
        <v>1828</v>
      </c>
      <c r="I1761" s="2" t="s">
        <v>209</v>
      </c>
      <c r="P1761" s="2" t="s">
        <v>210</v>
      </c>
      <c r="T1761" s="5">
        <v>5500</v>
      </c>
      <c r="V1761" s="49">
        <v>0</v>
      </c>
      <c r="W1761" s="50"/>
    </row>
    <row r="1762" spans="2:23" x14ac:dyDescent="0.2">
      <c r="B1762" s="22" t="s">
        <v>206</v>
      </c>
      <c r="E1762" s="22" t="s">
        <v>207</v>
      </c>
      <c r="S1762" s="51">
        <v>5500</v>
      </c>
      <c r="T1762" s="50"/>
      <c r="U1762" s="51">
        <v>0</v>
      </c>
      <c r="V1762" s="50"/>
      <c r="W1762" s="50"/>
    </row>
    <row r="1763" spans="2:23" x14ac:dyDescent="0.2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8"/>
      <c r="N1763" s="8"/>
      <c r="O1763" s="8"/>
      <c r="P1763" s="8"/>
      <c r="Q1763" s="8"/>
      <c r="R1763" s="8"/>
      <c r="S1763" s="8"/>
      <c r="T1763" s="8"/>
      <c r="U1763" s="8"/>
      <c r="V1763" s="8"/>
      <c r="W1763" s="8"/>
    </row>
    <row r="1764" spans="2:23" x14ac:dyDescent="0.2">
      <c r="B1764" s="9"/>
      <c r="C1764" s="9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52">
        <v>163019</v>
      </c>
      <c r="T1764" s="53"/>
      <c r="U1764" s="52">
        <v>0</v>
      </c>
      <c r="V1764" s="53"/>
      <c r="W1764" s="53"/>
    </row>
    <row r="1765" spans="2:23" x14ac:dyDescent="0.2">
      <c r="B1765" s="8"/>
      <c r="C1765" s="8"/>
      <c r="D1765" s="20" t="s">
        <v>81</v>
      </c>
      <c r="E1765" s="8"/>
      <c r="F1765" s="8"/>
      <c r="G1765" s="8"/>
      <c r="H1765" s="8"/>
      <c r="I1765" s="8"/>
      <c r="J1765" s="8"/>
      <c r="K1765" s="8"/>
      <c r="L1765" s="8"/>
      <c r="M1765" s="8"/>
      <c r="N1765" s="8"/>
      <c r="O1765" s="8"/>
      <c r="P1765" s="8"/>
      <c r="Q1765" s="8"/>
      <c r="R1765" s="11">
        <v>163019</v>
      </c>
      <c r="S1765" s="8"/>
      <c r="T1765" s="8"/>
      <c r="U1765" s="8"/>
      <c r="V1765" s="8"/>
      <c r="W1765" s="8"/>
    </row>
    <row r="1766" spans="2:23" x14ac:dyDescent="0.2">
      <c r="B1766" s="9"/>
      <c r="C1766" s="9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</row>
    <row r="1768" spans="2:23" ht="15" x14ac:dyDescent="0.2">
      <c r="B1768" s="4" t="s">
        <v>82</v>
      </c>
    </row>
    <row r="1770" spans="2:23" x14ac:dyDescent="0.2">
      <c r="B1770" s="22" t="s">
        <v>1775</v>
      </c>
      <c r="E1770" s="22" t="s">
        <v>1776</v>
      </c>
    </row>
    <row r="1771" spans="2:23" x14ac:dyDescent="0.2">
      <c r="C1771" s="2" t="s">
        <v>46</v>
      </c>
      <c r="E1771" s="2" t="s">
        <v>1829</v>
      </c>
      <c r="I1771" s="2" t="s">
        <v>19</v>
      </c>
      <c r="P1771" s="2" t="s">
        <v>1830</v>
      </c>
      <c r="T1771" s="5">
        <v>0</v>
      </c>
      <c r="V1771" s="49">
        <v>220100</v>
      </c>
      <c r="W1771" s="50"/>
    </row>
    <row r="1772" spans="2:23" x14ac:dyDescent="0.2">
      <c r="B1772" s="22" t="s">
        <v>1775</v>
      </c>
      <c r="E1772" s="22" t="s">
        <v>1776</v>
      </c>
      <c r="S1772" s="51">
        <v>0</v>
      </c>
      <c r="T1772" s="50"/>
      <c r="U1772" s="51">
        <v>220100</v>
      </c>
      <c r="V1772" s="50"/>
      <c r="W1772" s="50"/>
    </row>
    <row r="1773" spans="2:23" x14ac:dyDescent="0.2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 s="8"/>
      <c r="O1773" s="8"/>
      <c r="P1773" s="8"/>
      <c r="Q1773" s="8"/>
      <c r="R1773" s="8"/>
      <c r="S1773" s="8"/>
      <c r="T1773" s="8"/>
      <c r="U1773" s="8"/>
      <c r="V1773" s="8"/>
      <c r="W1773" s="8"/>
    </row>
    <row r="1774" spans="2:23" x14ac:dyDescent="0.2">
      <c r="B1774" s="9"/>
      <c r="C1774" s="9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52">
        <v>0</v>
      </c>
      <c r="T1774" s="53"/>
      <c r="U1774" s="52">
        <v>220100</v>
      </c>
      <c r="V1774" s="53"/>
      <c r="W1774" s="53"/>
    </row>
    <row r="1775" spans="2:23" x14ac:dyDescent="0.2">
      <c r="B1775" s="8"/>
      <c r="C1775" s="8"/>
      <c r="D1775" s="20" t="s">
        <v>96</v>
      </c>
      <c r="E1775" s="8"/>
      <c r="F1775" s="8"/>
      <c r="G1775" s="8"/>
      <c r="H1775" s="8"/>
      <c r="I1775" s="8"/>
      <c r="J1775" s="8"/>
      <c r="K1775" s="8"/>
      <c r="L1775" s="8"/>
      <c r="M1775" s="8"/>
      <c r="N1775" s="8"/>
      <c r="O1775" s="8"/>
      <c r="P1775" s="8"/>
      <c r="Q1775" s="8"/>
      <c r="R1775" s="11">
        <v>220100</v>
      </c>
      <c r="S1775" s="8"/>
      <c r="T1775" s="8"/>
      <c r="U1775" s="8"/>
      <c r="V1775" s="8"/>
      <c r="W1775" s="8"/>
    </row>
    <row r="1776" spans="2:23" x14ac:dyDescent="0.2">
      <c r="B1776" s="9"/>
      <c r="C1776" s="9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</row>
    <row r="1777" spans="2:23" x14ac:dyDescent="0.2">
      <c r="B1777" s="22" t="s">
        <v>7</v>
      </c>
      <c r="D1777" s="22" t="s">
        <v>1804</v>
      </c>
      <c r="O1777" s="20" t="s">
        <v>97</v>
      </c>
      <c r="P1777" s="8"/>
      <c r="Q1777" s="8"/>
      <c r="R1777" s="11">
        <v>57081</v>
      </c>
    </row>
    <row r="1778" spans="2:23" x14ac:dyDescent="0.2">
      <c r="O1778" s="9"/>
      <c r="P1778" s="9"/>
      <c r="Q1778" s="9"/>
      <c r="R1778" s="9"/>
    </row>
    <row r="1779" spans="2:23" x14ac:dyDescent="0.2">
      <c r="B1779" s="2" t="s">
        <v>98</v>
      </c>
    </row>
    <row r="1781" spans="2:23" ht="24" customHeight="1" x14ac:dyDescent="0.2">
      <c r="B1781" s="54" t="s">
        <v>0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  <c r="R1781" s="50"/>
      <c r="S1781" s="50"/>
      <c r="T1781" s="50"/>
      <c r="U1781" s="50"/>
      <c r="V1781" s="50"/>
      <c r="W1781" s="50"/>
    </row>
    <row r="1782" spans="2:23" ht="18" x14ac:dyDescent="0.2">
      <c r="B1782" s="1" t="s">
        <v>1</v>
      </c>
      <c r="S1782" s="55" t="s">
        <v>1803</v>
      </c>
      <c r="T1782" s="50"/>
      <c r="U1782" s="50"/>
      <c r="V1782" s="50"/>
      <c r="W1782" s="50"/>
    </row>
    <row r="1783" spans="2:23" ht="12.75" thickBot="1" x14ac:dyDescent="0.25">
      <c r="B1783" s="10" t="s">
        <v>3</v>
      </c>
      <c r="C1783" s="6"/>
      <c r="D1783" s="6"/>
      <c r="E1783" s="6"/>
      <c r="F1783" s="6"/>
      <c r="G1783" s="6"/>
      <c r="H1783" s="6"/>
      <c r="I1783" s="6"/>
      <c r="J1783" s="6"/>
      <c r="K1783" s="6" t="s">
        <v>5</v>
      </c>
      <c r="L1783" s="6"/>
      <c r="M1783" s="6"/>
      <c r="N1783" s="6"/>
      <c r="O1783" s="6"/>
      <c r="P1783" s="6" t="s">
        <v>4</v>
      </c>
      <c r="Q1783" s="6" t="s">
        <v>2730</v>
      </c>
      <c r="R1783" s="6"/>
      <c r="S1783" s="56" t="s">
        <v>6</v>
      </c>
      <c r="T1783" s="57"/>
      <c r="U1783" s="57"/>
      <c r="V1783" s="57"/>
      <c r="W1783" s="57"/>
    </row>
    <row r="1784" spans="2:23" ht="12.75" thickTop="1" x14ac:dyDescent="0.2"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</row>
    <row r="1785" spans="2:23" ht="15.75" x14ac:dyDescent="0.2">
      <c r="B1785" s="3" t="s">
        <v>7</v>
      </c>
      <c r="F1785" s="3" t="s">
        <v>1832</v>
      </c>
    </row>
    <row r="1787" spans="2:23" x14ac:dyDescent="0.2">
      <c r="B1787" s="8"/>
      <c r="C1787" s="20" t="s">
        <v>8</v>
      </c>
      <c r="D1787" s="8"/>
      <c r="E1787" s="20" t="s">
        <v>9</v>
      </c>
      <c r="F1787" s="8"/>
      <c r="G1787" s="8"/>
      <c r="H1787" s="8"/>
      <c r="I1787" s="20" t="s">
        <v>13</v>
      </c>
      <c r="J1787" s="8"/>
      <c r="K1787" s="8"/>
      <c r="L1787" s="20" t="s">
        <v>12</v>
      </c>
      <c r="M1787" s="8"/>
      <c r="N1787" s="8"/>
      <c r="O1787" s="8"/>
      <c r="P1787" s="20" t="s">
        <v>14</v>
      </c>
      <c r="Q1787" s="8"/>
      <c r="R1787" s="8"/>
      <c r="S1787" s="8"/>
      <c r="T1787" s="21" t="s">
        <v>11</v>
      </c>
      <c r="U1787" s="8"/>
      <c r="V1787" s="58" t="s">
        <v>10</v>
      </c>
      <c r="W1787" s="59"/>
    </row>
    <row r="1788" spans="2:23" x14ac:dyDescent="0.2">
      <c r="B1788" s="9"/>
      <c r="C1788" s="9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</row>
    <row r="1789" spans="2:23" ht="15" x14ac:dyDescent="0.2">
      <c r="B1789" s="4" t="s">
        <v>15</v>
      </c>
    </row>
    <row r="1791" spans="2:23" x14ac:dyDescent="0.2">
      <c r="B1791" s="22" t="s">
        <v>1758</v>
      </c>
      <c r="E1791" s="22" t="s">
        <v>1759</v>
      </c>
    </row>
    <row r="1792" spans="2:23" x14ac:dyDescent="0.2">
      <c r="C1792" s="2" t="s">
        <v>1836</v>
      </c>
      <c r="E1792" s="2" t="s">
        <v>1835</v>
      </c>
      <c r="I1792" s="2" t="s">
        <v>209</v>
      </c>
      <c r="P1792" s="2" t="s">
        <v>1837</v>
      </c>
      <c r="T1792" s="5">
        <v>1294</v>
      </c>
      <c r="V1792" s="49">
        <v>0</v>
      </c>
      <c r="W1792" s="50"/>
    </row>
    <row r="1793" spans="2:23" x14ac:dyDescent="0.2">
      <c r="C1793" s="2" t="s">
        <v>218</v>
      </c>
      <c r="E1793" s="2" t="s">
        <v>1833</v>
      </c>
      <c r="I1793" s="2" t="s">
        <v>209</v>
      </c>
      <c r="P1793" s="2" t="s">
        <v>1834</v>
      </c>
      <c r="T1793" s="5">
        <v>237</v>
      </c>
      <c r="V1793" s="49">
        <v>0</v>
      </c>
      <c r="W1793" s="50"/>
    </row>
    <row r="1794" spans="2:23" x14ac:dyDescent="0.2">
      <c r="B1794" s="22" t="s">
        <v>1758</v>
      </c>
      <c r="E1794" s="22" t="s">
        <v>1759</v>
      </c>
      <c r="S1794" s="51">
        <v>1531</v>
      </c>
      <c r="T1794" s="50"/>
      <c r="U1794" s="51">
        <v>0</v>
      </c>
      <c r="V1794" s="50"/>
      <c r="W1794" s="50"/>
    </row>
    <row r="1796" spans="2:23" x14ac:dyDescent="0.2">
      <c r="B1796" s="22" t="s">
        <v>955</v>
      </c>
      <c r="E1796" s="22" t="s">
        <v>956</v>
      </c>
    </row>
    <row r="1797" spans="2:23" x14ac:dyDescent="0.2">
      <c r="C1797" s="2" t="s">
        <v>1840</v>
      </c>
      <c r="E1797" s="2" t="s">
        <v>1838</v>
      </c>
      <c r="I1797" s="2" t="s">
        <v>106</v>
      </c>
      <c r="L1797" s="2" t="s">
        <v>1839</v>
      </c>
      <c r="P1797" s="2" t="s">
        <v>1841</v>
      </c>
      <c r="T1797" s="5">
        <v>12120</v>
      </c>
      <c r="V1797" s="49">
        <v>0</v>
      </c>
      <c r="W1797" s="50"/>
    </row>
    <row r="1798" spans="2:23" x14ac:dyDescent="0.2">
      <c r="C1798" s="2" t="s">
        <v>1294</v>
      </c>
      <c r="E1798" s="2" t="s">
        <v>1842</v>
      </c>
      <c r="I1798" s="2" t="s">
        <v>209</v>
      </c>
      <c r="P1798" s="2" t="s">
        <v>1843</v>
      </c>
      <c r="T1798" s="5">
        <v>5782</v>
      </c>
      <c r="V1798" s="49">
        <v>0</v>
      </c>
      <c r="W1798" s="50"/>
    </row>
    <row r="1799" spans="2:23" x14ac:dyDescent="0.2">
      <c r="C1799" s="2" t="s">
        <v>1845</v>
      </c>
      <c r="E1799" s="2" t="s">
        <v>1844</v>
      </c>
      <c r="I1799" s="2" t="s">
        <v>106</v>
      </c>
      <c r="L1799" s="2" t="s">
        <v>1839</v>
      </c>
      <c r="P1799" s="2" t="s">
        <v>1846</v>
      </c>
      <c r="T1799" s="5">
        <v>10200</v>
      </c>
      <c r="V1799" s="49">
        <v>0</v>
      </c>
      <c r="W1799" s="50"/>
    </row>
    <row r="1800" spans="2:23" x14ac:dyDescent="0.2">
      <c r="C1800" s="2" t="s">
        <v>1836</v>
      </c>
      <c r="E1800" s="2" t="s">
        <v>1847</v>
      </c>
      <c r="I1800" s="2" t="s">
        <v>209</v>
      </c>
      <c r="P1800" s="2" t="s">
        <v>1848</v>
      </c>
      <c r="T1800" s="5">
        <v>8241</v>
      </c>
      <c r="V1800" s="49">
        <v>0</v>
      </c>
      <c r="W1800" s="50"/>
    </row>
    <row r="1801" spans="2:23" x14ac:dyDescent="0.2">
      <c r="C1801" s="2" t="s">
        <v>1850</v>
      </c>
      <c r="E1801" s="2" t="s">
        <v>1849</v>
      </c>
      <c r="I1801" s="2" t="s">
        <v>106</v>
      </c>
      <c r="L1801" s="2" t="s">
        <v>1839</v>
      </c>
      <c r="P1801" s="2" t="s">
        <v>1851</v>
      </c>
      <c r="T1801" s="5">
        <v>26058</v>
      </c>
      <c r="V1801" s="49">
        <v>0</v>
      </c>
      <c r="W1801" s="50"/>
    </row>
    <row r="1802" spans="2:23" x14ac:dyDescent="0.2">
      <c r="C1802" s="2" t="s">
        <v>1291</v>
      </c>
      <c r="E1802" s="2" t="s">
        <v>1852</v>
      </c>
      <c r="I1802" s="2" t="s">
        <v>106</v>
      </c>
      <c r="L1802" s="2" t="s">
        <v>1839</v>
      </c>
      <c r="P1802" s="2" t="s">
        <v>1853</v>
      </c>
      <c r="T1802" s="5">
        <v>13932</v>
      </c>
      <c r="V1802" s="49">
        <v>0</v>
      </c>
      <c r="W1802" s="50"/>
    </row>
    <row r="1803" spans="2:23" x14ac:dyDescent="0.2">
      <c r="C1803" s="2" t="s">
        <v>218</v>
      </c>
      <c r="E1803" s="2" t="s">
        <v>1854</v>
      </c>
      <c r="I1803" s="2" t="s">
        <v>209</v>
      </c>
      <c r="P1803" s="2" t="s">
        <v>1855</v>
      </c>
      <c r="T1803" s="5">
        <v>4661</v>
      </c>
      <c r="V1803" s="49">
        <v>0</v>
      </c>
      <c r="W1803" s="50"/>
    </row>
    <row r="1804" spans="2:23" x14ac:dyDescent="0.2">
      <c r="B1804" s="22" t="s">
        <v>955</v>
      </c>
      <c r="E1804" s="22" t="s">
        <v>956</v>
      </c>
      <c r="S1804" s="51">
        <v>80994</v>
      </c>
      <c r="T1804" s="50"/>
      <c r="U1804" s="51">
        <v>0</v>
      </c>
      <c r="V1804" s="50"/>
      <c r="W1804" s="50"/>
    </row>
    <row r="1806" spans="2:23" x14ac:dyDescent="0.2">
      <c r="B1806" s="22" t="s">
        <v>1376</v>
      </c>
      <c r="E1806" s="22" t="s">
        <v>1377</v>
      </c>
    </row>
    <row r="1807" spans="2:23" x14ac:dyDescent="0.2">
      <c r="C1807" s="2" t="s">
        <v>1845</v>
      </c>
      <c r="E1807" s="2" t="s">
        <v>1856</v>
      </c>
      <c r="I1807" s="2" t="s">
        <v>209</v>
      </c>
      <c r="P1807" s="2" t="s">
        <v>1857</v>
      </c>
      <c r="T1807" s="5">
        <v>2400</v>
      </c>
      <c r="V1807" s="49">
        <v>0</v>
      </c>
      <c r="W1807" s="50"/>
    </row>
    <row r="1808" spans="2:23" x14ac:dyDescent="0.2">
      <c r="B1808" s="22" t="s">
        <v>1376</v>
      </c>
      <c r="E1808" s="22" t="s">
        <v>1377</v>
      </c>
      <c r="S1808" s="51">
        <v>2400</v>
      </c>
      <c r="T1808" s="50"/>
      <c r="U1808" s="51">
        <v>0</v>
      </c>
      <c r="V1808" s="50"/>
      <c r="W1808" s="50"/>
    </row>
    <row r="1810" spans="2:23" x14ac:dyDescent="0.2">
      <c r="B1810" s="22" t="s">
        <v>153</v>
      </c>
      <c r="E1810" s="22" t="s">
        <v>154</v>
      </c>
    </row>
    <row r="1811" spans="2:23" x14ac:dyDescent="0.2">
      <c r="C1811" s="2" t="s">
        <v>1860</v>
      </c>
      <c r="E1811" s="2" t="s">
        <v>1858</v>
      </c>
      <c r="I1811" s="2" t="s">
        <v>106</v>
      </c>
      <c r="L1811" s="2" t="s">
        <v>1859</v>
      </c>
      <c r="P1811" s="2" t="s">
        <v>1861</v>
      </c>
      <c r="T1811" s="5">
        <v>5448</v>
      </c>
      <c r="V1811" s="49">
        <v>0</v>
      </c>
      <c r="W1811" s="50"/>
    </row>
    <row r="1812" spans="2:23" x14ac:dyDescent="0.2">
      <c r="B1812" s="22" t="s">
        <v>153</v>
      </c>
      <c r="E1812" s="22" t="s">
        <v>154</v>
      </c>
      <c r="S1812" s="51">
        <v>5448</v>
      </c>
      <c r="T1812" s="50"/>
      <c r="U1812" s="51">
        <v>0</v>
      </c>
      <c r="V1812" s="50"/>
      <c r="W1812" s="50"/>
    </row>
    <row r="1814" spans="2:23" x14ac:dyDescent="0.2">
      <c r="B1814" s="22" t="s">
        <v>206</v>
      </c>
      <c r="E1814" s="22" t="s">
        <v>207</v>
      </c>
    </row>
    <row r="1815" spans="2:23" x14ac:dyDescent="0.2">
      <c r="C1815" s="2" t="s">
        <v>1367</v>
      </c>
      <c r="E1815" s="2" t="s">
        <v>1862</v>
      </c>
      <c r="I1815" s="2" t="s">
        <v>209</v>
      </c>
      <c r="P1815" s="2" t="s">
        <v>210</v>
      </c>
      <c r="T1815" s="5">
        <v>6375</v>
      </c>
      <c r="V1815" s="49">
        <v>0</v>
      </c>
      <c r="W1815" s="50"/>
    </row>
    <row r="1816" spans="2:23" x14ac:dyDescent="0.2">
      <c r="C1816" s="2" t="s">
        <v>1845</v>
      </c>
      <c r="E1816" s="2" t="s">
        <v>1863</v>
      </c>
      <c r="I1816" s="2" t="s">
        <v>209</v>
      </c>
      <c r="P1816" s="2" t="s">
        <v>210</v>
      </c>
      <c r="T1816" s="5">
        <v>14900</v>
      </c>
      <c r="V1816" s="49">
        <v>0</v>
      </c>
      <c r="W1816" s="50"/>
    </row>
    <row r="1817" spans="2:23" x14ac:dyDescent="0.2">
      <c r="C1817" s="2" t="s">
        <v>1836</v>
      </c>
      <c r="E1817" s="2" t="s">
        <v>1864</v>
      </c>
      <c r="I1817" s="2" t="s">
        <v>209</v>
      </c>
      <c r="P1817" s="2" t="s">
        <v>1865</v>
      </c>
      <c r="T1817" s="5">
        <v>16000</v>
      </c>
      <c r="V1817" s="49">
        <v>0</v>
      </c>
      <c r="W1817" s="50"/>
    </row>
    <row r="1818" spans="2:23" x14ac:dyDescent="0.2">
      <c r="C1818" s="2" t="s">
        <v>218</v>
      </c>
      <c r="E1818" s="2" t="s">
        <v>1866</v>
      </c>
      <c r="I1818" s="2" t="s">
        <v>209</v>
      </c>
      <c r="P1818" s="2" t="s">
        <v>210</v>
      </c>
      <c r="T1818" s="5">
        <v>10000</v>
      </c>
      <c r="V1818" s="49">
        <v>0</v>
      </c>
      <c r="W1818" s="50"/>
    </row>
    <row r="1819" spans="2:23" x14ac:dyDescent="0.2">
      <c r="B1819" s="22" t="s">
        <v>206</v>
      </c>
      <c r="E1819" s="22" t="s">
        <v>207</v>
      </c>
      <c r="S1819" s="51">
        <v>47275</v>
      </c>
      <c r="T1819" s="50"/>
      <c r="U1819" s="51">
        <v>0</v>
      </c>
      <c r="V1819" s="50"/>
      <c r="W1819" s="50"/>
    </row>
    <row r="1820" spans="2:23" x14ac:dyDescent="0.2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8"/>
      <c r="N1820" s="8"/>
      <c r="O1820" s="8"/>
      <c r="P1820" s="8"/>
      <c r="Q1820" s="8"/>
      <c r="R1820" s="8"/>
      <c r="S1820" s="8"/>
      <c r="T1820" s="8"/>
      <c r="U1820" s="8"/>
      <c r="V1820" s="8"/>
      <c r="W1820" s="8"/>
    </row>
    <row r="1821" spans="2:23" x14ac:dyDescent="0.2">
      <c r="B1821" s="9"/>
      <c r="C1821" s="9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52">
        <v>137648</v>
      </c>
      <c r="T1821" s="53"/>
      <c r="U1821" s="52">
        <v>0</v>
      </c>
      <c r="V1821" s="53"/>
      <c r="W1821" s="53"/>
    </row>
    <row r="1822" spans="2:23" x14ac:dyDescent="0.2">
      <c r="B1822" s="8"/>
      <c r="C1822" s="8"/>
      <c r="D1822" s="20" t="s">
        <v>81</v>
      </c>
      <c r="E1822" s="8"/>
      <c r="F1822" s="8"/>
      <c r="G1822" s="8"/>
      <c r="H1822" s="8"/>
      <c r="I1822" s="8"/>
      <c r="J1822" s="8"/>
      <c r="K1822" s="8"/>
      <c r="L1822" s="8"/>
      <c r="M1822" s="8"/>
      <c r="N1822" s="8"/>
      <c r="O1822" s="8"/>
      <c r="P1822" s="8"/>
      <c r="Q1822" s="8"/>
      <c r="R1822" s="11">
        <v>137648</v>
      </c>
      <c r="S1822" s="8"/>
      <c r="T1822" s="8"/>
      <c r="U1822" s="8"/>
      <c r="V1822" s="8"/>
      <c r="W1822" s="8"/>
    </row>
    <row r="1823" spans="2:23" x14ac:dyDescent="0.2">
      <c r="B1823" s="9"/>
      <c r="C1823" s="9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</row>
    <row r="1825" spans="2:23" ht="15" x14ac:dyDescent="0.2">
      <c r="B1825" s="4" t="s">
        <v>82</v>
      </c>
    </row>
    <row r="1827" spans="2:23" x14ac:dyDescent="0.2">
      <c r="B1827" s="22" t="s">
        <v>1867</v>
      </c>
      <c r="E1827" s="22" t="s">
        <v>1868</v>
      </c>
    </row>
    <row r="1828" spans="2:23" x14ac:dyDescent="0.2">
      <c r="C1828" s="2" t="s">
        <v>46</v>
      </c>
      <c r="E1828" s="2" t="s">
        <v>1869</v>
      </c>
      <c r="I1828" s="2" t="s">
        <v>19</v>
      </c>
      <c r="P1828" s="2" t="s">
        <v>1870</v>
      </c>
      <c r="T1828" s="5">
        <v>0</v>
      </c>
      <c r="V1828" s="49">
        <v>165000</v>
      </c>
      <c r="W1828" s="50"/>
    </row>
    <row r="1829" spans="2:23" x14ac:dyDescent="0.2">
      <c r="B1829" s="22" t="s">
        <v>1867</v>
      </c>
      <c r="E1829" s="22" t="s">
        <v>1868</v>
      </c>
      <c r="S1829" s="51">
        <v>0</v>
      </c>
      <c r="T1829" s="50"/>
      <c r="U1829" s="51">
        <v>165000</v>
      </c>
      <c r="V1829" s="50"/>
      <c r="W1829" s="50"/>
    </row>
    <row r="1830" spans="2:23" x14ac:dyDescent="0.2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8"/>
      <c r="N1830" s="8"/>
      <c r="O1830" s="8"/>
      <c r="P1830" s="8"/>
      <c r="Q1830" s="8"/>
      <c r="R1830" s="8"/>
      <c r="S1830" s="8"/>
      <c r="T1830" s="8"/>
      <c r="U1830" s="8"/>
      <c r="V1830" s="8"/>
      <c r="W1830" s="8"/>
    </row>
    <row r="1831" spans="2:23" x14ac:dyDescent="0.2">
      <c r="B1831" s="9"/>
      <c r="C1831" s="9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52">
        <v>0</v>
      </c>
      <c r="T1831" s="53"/>
      <c r="U1831" s="52">
        <v>165000</v>
      </c>
      <c r="V1831" s="53"/>
      <c r="W1831" s="53"/>
    </row>
    <row r="1832" spans="2:23" x14ac:dyDescent="0.2">
      <c r="B1832" s="8"/>
      <c r="C1832" s="8"/>
      <c r="D1832" s="20" t="s">
        <v>96</v>
      </c>
      <c r="E1832" s="8"/>
      <c r="F1832" s="8"/>
      <c r="G1832" s="8"/>
      <c r="H1832" s="8"/>
      <c r="I1832" s="8"/>
      <c r="J1832" s="8"/>
      <c r="K1832" s="8"/>
      <c r="L1832" s="8"/>
      <c r="M1832" s="8"/>
      <c r="N1832" s="8"/>
      <c r="O1832" s="8"/>
      <c r="P1832" s="8"/>
      <c r="Q1832" s="8"/>
      <c r="R1832" s="11">
        <v>165000</v>
      </c>
      <c r="S1832" s="8"/>
      <c r="T1832" s="8"/>
      <c r="U1832" s="8"/>
      <c r="V1832" s="8"/>
      <c r="W1832" s="8"/>
    </row>
    <row r="1833" spans="2:23" x14ac:dyDescent="0.2">
      <c r="B1833" s="9"/>
      <c r="C1833" s="9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</row>
    <row r="1834" spans="2:23" x14ac:dyDescent="0.2">
      <c r="B1834" s="22" t="s">
        <v>7</v>
      </c>
      <c r="D1834" s="22" t="s">
        <v>1832</v>
      </c>
      <c r="O1834" s="20" t="s">
        <v>97</v>
      </c>
      <c r="P1834" s="8"/>
      <c r="Q1834" s="8"/>
      <c r="R1834" s="11">
        <v>27352</v>
      </c>
    </row>
    <row r="1835" spans="2:23" x14ac:dyDescent="0.2">
      <c r="O1835" s="9"/>
      <c r="P1835" s="9"/>
      <c r="Q1835" s="9"/>
      <c r="R1835" s="9"/>
    </row>
    <row r="1836" spans="2:23" x14ac:dyDescent="0.2">
      <c r="B1836" s="2" t="s">
        <v>98</v>
      </c>
    </row>
    <row r="1838" spans="2:23" ht="24" customHeight="1" x14ac:dyDescent="0.2">
      <c r="B1838" s="54" t="s">
        <v>0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  <c r="R1838" s="50"/>
      <c r="S1838" s="50"/>
      <c r="T1838" s="50"/>
      <c r="U1838" s="50"/>
      <c r="V1838" s="50"/>
      <c r="W1838" s="50"/>
    </row>
    <row r="1839" spans="2:23" ht="18" x14ac:dyDescent="0.2">
      <c r="B1839" s="1" t="s">
        <v>1</v>
      </c>
      <c r="S1839" s="55" t="s">
        <v>1831</v>
      </c>
      <c r="T1839" s="50"/>
      <c r="U1839" s="50"/>
      <c r="V1839" s="50"/>
      <c r="W1839" s="50"/>
    </row>
    <row r="1840" spans="2:23" ht="12.75" thickBot="1" x14ac:dyDescent="0.25">
      <c r="B1840" s="10" t="s">
        <v>3</v>
      </c>
      <c r="C1840" s="6"/>
      <c r="D1840" s="6"/>
      <c r="E1840" s="6"/>
      <c r="F1840" s="6"/>
      <c r="G1840" s="6"/>
      <c r="H1840" s="6"/>
      <c r="I1840" s="6"/>
      <c r="J1840" s="6"/>
      <c r="K1840" s="6" t="s">
        <v>5</v>
      </c>
      <c r="L1840" s="6"/>
      <c r="M1840" s="6"/>
      <c r="N1840" s="6"/>
      <c r="O1840" s="6"/>
      <c r="P1840" s="6" t="s">
        <v>4</v>
      </c>
      <c r="Q1840" s="6" t="s">
        <v>2730</v>
      </c>
      <c r="R1840" s="6"/>
      <c r="S1840" s="56" t="s">
        <v>6</v>
      </c>
      <c r="T1840" s="57"/>
      <c r="U1840" s="57"/>
      <c r="V1840" s="57"/>
      <c r="W1840" s="57"/>
    </row>
    <row r="1841" spans="2:23" ht="12.75" thickTop="1" x14ac:dyDescent="0.2"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</row>
    <row r="1842" spans="2:23" ht="15.75" x14ac:dyDescent="0.2">
      <c r="B1842" s="3" t="s">
        <v>7</v>
      </c>
      <c r="F1842" s="3" t="s">
        <v>1872</v>
      </c>
    </row>
    <row r="1844" spans="2:23" x14ac:dyDescent="0.2">
      <c r="B1844" s="8"/>
      <c r="C1844" s="20" t="s">
        <v>8</v>
      </c>
      <c r="D1844" s="8"/>
      <c r="E1844" s="20" t="s">
        <v>9</v>
      </c>
      <c r="F1844" s="8"/>
      <c r="G1844" s="8"/>
      <c r="H1844" s="8"/>
      <c r="I1844" s="20" t="s">
        <v>13</v>
      </c>
      <c r="J1844" s="8"/>
      <c r="K1844" s="8"/>
      <c r="L1844" s="20" t="s">
        <v>12</v>
      </c>
      <c r="M1844" s="8"/>
      <c r="N1844" s="8"/>
      <c r="O1844" s="8"/>
      <c r="P1844" s="20" t="s">
        <v>14</v>
      </c>
      <c r="Q1844" s="8"/>
      <c r="R1844" s="8"/>
      <c r="S1844" s="8"/>
      <c r="T1844" s="21" t="s">
        <v>11</v>
      </c>
      <c r="U1844" s="8"/>
      <c r="V1844" s="58" t="s">
        <v>10</v>
      </c>
      <c r="W1844" s="59"/>
    </row>
    <row r="1845" spans="2:23" x14ac:dyDescent="0.2">
      <c r="B1845" s="9"/>
      <c r="C1845" s="9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</row>
    <row r="1846" spans="2:23" ht="15" x14ac:dyDescent="0.2">
      <c r="B1846" s="4" t="s">
        <v>15</v>
      </c>
    </row>
    <row r="1848" spans="2:23" x14ac:dyDescent="0.2">
      <c r="B1848" s="22" t="s">
        <v>955</v>
      </c>
      <c r="E1848" s="22" t="s">
        <v>956</v>
      </c>
    </row>
    <row r="1849" spans="2:23" x14ac:dyDescent="0.2">
      <c r="C1849" s="2" t="s">
        <v>37</v>
      </c>
      <c r="E1849" s="2" t="s">
        <v>1873</v>
      </c>
      <c r="I1849" s="2" t="s">
        <v>19</v>
      </c>
      <c r="P1849" s="2" t="s">
        <v>1874</v>
      </c>
      <c r="T1849" s="5">
        <v>7500</v>
      </c>
      <c r="V1849" s="49">
        <v>0</v>
      </c>
      <c r="W1849" s="50"/>
    </row>
    <row r="1850" spans="2:23" x14ac:dyDescent="0.2">
      <c r="B1850" s="22" t="s">
        <v>955</v>
      </c>
      <c r="E1850" s="22" t="s">
        <v>956</v>
      </c>
      <c r="S1850" s="51">
        <v>7500</v>
      </c>
      <c r="T1850" s="50"/>
      <c r="U1850" s="51">
        <v>0</v>
      </c>
      <c r="V1850" s="50"/>
      <c r="W1850" s="50"/>
    </row>
    <row r="1852" spans="2:23" x14ac:dyDescent="0.2">
      <c r="B1852" s="22" t="s">
        <v>102</v>
      </c>
      <c r="E1852" s="22" t="s">
        <v>103</v>
      </c>
    </row>
    <row r="1853" spans="2:23" x14ac:dyDescent="0.2">
      <c r="C1853" s="2" t="s">
        <v>682</v>
      </c>
      <c r="E1853" s="2" t="s">
        <v>1875</v>
      </c>
      <c r="I1853" s="2" t="s">
        <v>106</v>
      </c>
      <c r="L1853" s="2" t="s">
        <v>1876</v>
      </c>
      <c r="P1853" s="2" t="s">
        <v>1877</v>
      </c>
      <c r="T1853" s="5">
        <v>34225</v>
      </c>
      <c r="V1853" s="49">
        <v>0</v>
      </c>
      <c r="W1853" s="50"/>
    </row>
    <row r="1854" spans="2:23" x14ac:dyDescent="0.2">
      <c r="C1854" s="2" t="s">
        <v>472</v>
      </c>
      <c r="E1854" s="2" t="s">
        <v>1878</v>
      </c>
      <c r="I1854" s="2" t="s">
        <v>106</v>
      </c>
      <c r="L1854" s="2" t="s">
        <v>1876</v>
      </c>
      <c r="P1854" s="2" t="s">
        <v>1877</v>
      </c>
      <c r="T1854" s="5">
        <v>230</v>
      </c>
      <c r="V1854" s="49">
        <v>0</v>
      </c>
      <c r="W1854" s="50"/>
    </row>
    <row r="1855" spans="2:23" x14ac:dyDescent="0.2">
      <c r="C1855" s="2" t="s">
        <v>1822</v>
      </c>
      <c r="E1855" s="2" t="s">
        <v>1879</v>
      </c>
      <c r="I1855" s="2" t="s">
        <v>106</v>
      </c>
      <c r="L1855" s="2" t="s">
        <v>1880</v>
      </c>
      <c r="P1855" s="2" t="s">
        <v>1881</v>
      </c>
      <c r="T1855" s="5">
        <v>85000</v>
      </c>
      <c r="V1855" s="49">
        <v>0</v>
      </c>
      <c r="W1855" s="50"/>
    </row>
    <row r="1856" spans="2:23" x14ac:dyDescent="0.2">
      <c r="C1856" s="2" t="s">
        <v>1883</v>
      </c>
      <c r="E1856" s="2" t="s">
        <v>1882</v>
      </c>
      <c r="I1856" s="2" t="s">
        <v>106</v>
      </c>
      <c r="L1856" s="2" t="s">
        <v>1876</v>
      </c>
      <c r="P1856" s="2" t="s">
        <v>1877</v>
      </c>
      <c r="T1856" s="5">
        <v>1554</v>
      </c>
      <c r="V1856" s="49">
        <v>0</v>
      </c>
      <c r="W1856" s="50"/>
    </row>
    <row r="1857" spans="2:23" x14ac:dyDescent="0.2">
      <c r="B1857" s="22" t="s">
        <v>102</v>
      </c>
      <c r="E1857" s="22" t="s">
        <v>103</v>
      </c>
      <c r="S1857" s="51">
        <v>121009</v>
      </c>
      <c r="T1857" s="50"/>
      <c r="U1857" s="51">
        <v>0</v>
      </c>
      <c r="V1857" s="50"/>
      <c r="W1857" s="50"/>
    </row>
    <row r="1859" spans="2:23" x14ac:dyDescent="0.2">
      <c r="B1859" s="22" t="s">
        <v>147</v>
      </c>
      <c r="E1859" s="22" t="s">
        <v>148</v>
      </c>
    </row>
    <row r="1860" spans="2:23" x14ac:dyDescent="0.2">
      <c r="C1860" s="2" t="s">
        <v>778</v>
      </c>
      <c r="E1860" s="2" t="s">
        <v>1884</v>
      </c>
      <c r="I1860" s="2" t="s">
        <v>106</v>
      </c>
      <c r="L1860" s="2" t="s">
        <v>1885</v>
      </c>
      <c r="P1860" s="2" t="s">
        <v>1886</v>
      </c>
      <c r="T1860" s="5">
        <v>8139.3</v>
      </c>
      <c r="V1860" s="49">
        <v>0</v>
      </c>
      <c r="W1860" s="50"/>
    </row>
    <row r="1861" spans="2:23" x14ac:dyDescent="0.2">
      <c r="B1861" s="22" t="s">
        <v>147</v>
      </c>
      <c r="E1861" s="22" t="s">
        <v>148</v>
      </c>
      <c r="S1861" s="51">
        <v>8139.3</v>
      </c>
      <c r="T1861" s="50"/>
      <c r="U1861" s="51">
        <v>0</v>
      </c>
      <c r="V1861" s="50"/>
      <c r="W1861" s="50"/>
    </row>
    <row r="1863" spans="2:23" x14ac:dyDescent="0.2">
      <c r="B1863" s="22" t="s">
        <v>153</v>
      </c>
      <c r="E1863" s="22" t="s">
        <v>154</v>
      </c>
    </row>
    <row r="1864" spans="2:23" x14ac:dyDescent="0.2">
      <c r="C1864" s="2" t="s">
        <v>1889</v>
      </c>
      <c r="E1864" s="2" t="s">
        <v>1887</v>
      </c>
      <c r="I1864" s="2" t="s">
        <v>106</v>
      </c>
      <c r="L1864" s="2" t="s">
        <v>1888</v>
      </c>
      <c r="P1864" s="2" t="s">
        <v>1890</v>
      </c>
      <c r="T1864" s="5">
        <v>212800</v>
      </c>
      <c r="V1864" s="49">
        <v>0</v>
      </c>
      <c r="W1864" s="50"/>
    </row>
    <row r="1865" spans="2:23" x14ac:dyDescent="0.2">
      <c r="B1865" s="22" t="s">
        <v>153</v>
      </c>
      <c r="E1865" s="22" t="s">
        <v>154</v>
      </c>
      <c r="S1865" s="51">
        <v>212800</v>
      </c>
      <c r="T1865" s="50"/>
      <c r="U1865" s="51">
        <v>0</v>
      </c>
      <c r="V1865" s="50"/>
      <c r="W1865" s="50"/>
    </row>
    <row r="1867" spans="2:23" x14ac:dyDescent="0.2">
      <c r="B1867" s="22" t="s">
        <v>1891</v>
      </c>
      <c r="E1867" s="22" t="s">
        <v>1892</v>
      </c>
    </row>
    <row r="1868" spans="2:23" x14ac:dyDescent="0.2">
      <c r="C1868" s="2" t="s">
        <v>1894</v>
      </c>
      <c r="E1868" s="2" t="s">
        <v>1893</v>
      </c>
      <c r="I1868" s="2" t="s">
        <v>64</v>
      </c>
      <c r="L1868" s="2" t="s">
        <v>1885</v>
      </c>
      <c r="P1868" s="2" t="s">
        <v>1895</v>
      </c>
      <c r="T1868" s="5">
        <v>252.7</v>
      </c>
      <c r="V1868" s="49">
        <v>0</v>
      </c>
      <c r="W1868" s="50"/>
    </row>
    <row r="1869" spans="2:23" x14ac:dyDescent="0.2">
      <c r="B1869" s="22" t="s">
        <v>1891</v>
      </c>
      <c r="E1869" s="22" t="s">
        <v>1892</v>
      </c>
      <c r="S1869" s="51">
        <v>252.7</v>
      </c>
      <c r="T1869" s="50"/>
      <c r="U1869" s="51">
        <v>0</v>
      </c>
      <c r="V1869" s="50"/>
      <c r="W1869" s="50"/>
    </row>
    <row r="1871" spans="2:23" x14ac:dyDescent="0.2">
      <c r="B1871" s="22" t="s">
        <v>1896</v>
      </c>
      <c r="E1871" s="22" t="s">
        <v>1897</v>
      </c>
    </row>
    <row r="1872" spans="2:23" x14ac:dyDescent="0.2">
      <c r="C1872" s="2" t="s">
        <v>37</v>
      </c>
      <c r="E1872" s="2" t="s">
        <v>1898</v>
      </c>
      <c r="I1872" s="2" t="s">
        <v>19</v>
      </c>
      <c r="P1872" s="2" t="s">
        <v>1899</v>
      </c>
      <c r="T1872" s="5">
        <v>17669</v>
      </c>
      <c r="V1872" s="49">
        <v>0</v>
      </c>
      <c r="W1872" s="50"/>
    </row>
    <row r="1873" spans="2:23" x14ac:dyDescent="0.2">
      <c r="B1873" s="22" t="s">
        <v>1896</v>
      </c>
      <c r="E1873" s="22" t="s">
        <v>1897</v>
      </c>
      <c r="S1873" s="51">
        <v>17669</v>
      </c>
      <c r="T1873" s="50"/>
      <c r="U1873" s="51">
        <v>0</v>
      </c>
      <c r="V1873" s="50"/>
      <c r="W1873" s="50"/>
    </row>
    <row r="1874" spans="2:23" x14ac:dyDescent="0.2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8"/>
      <c r="N1874" s="8"/>
      <c r="O1874" s="8"/>
      <c r="P1874" s="8"/>
      <c r="Q1874" s="8"/>
      <c r="R1874" s="8"/>
      <c r="S1874" s="8"/>
      <c r="T1874" s="8"/>
      <c r="U1874" s="8"/>
      <c r="V1874" s="8"/>
      <c r="W1874" s="8"/>
    </row>
    <row r="1875" spans="2:23" x14ac:dyDescent="0.2">
      <c r="B1875" s="9"/>
      <c r="C1875" s="9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52">
        <v>367370</v>
      </c>
      <c r="T1875" s="53"/>
      <c r="U1875" s="52">
        <v>0</v>
      </c>
      <c r="V1875" s="53"/>
      <c r="W1875" s="53"/>
    </row>
    <row r="1876" spans="2:23" x14ac:dyDescent="0.2">
      <c r="B1876" s="8"/>
      <c r="C1876" s="8"/>
      <c r="D1876" s="20" t="s">
        <v>81</v>
      </c>
      <c r="E1876" s="8"/>
      <c r="F1876" s="8"/>
      <c r="G1876" s="8"/>
      <c r="H1876" s="8"/>
      <c r="I1876" s="8"/>
      <c r="J1876" s="8"/>
      <c r="K1876" s="8"/>
      <c r="L1876" s="8"/>
      <c r="M1876" s="8"/>
      <c r="N1876" s="8"/>
      <c r="O1876" s="8"/>
      <c r="P1876" s="8"/>
      <c r="Q1876" s="8"/>
      <c r="R1876" s="11">
        <v>367370</v>
      </c>
      <c r="S1876" s="8"/>
      <c r="T1876" s="8"/>
      <c r="U1876" s="8"/>
      <c r="V1876" s="8"/>
      <c r="W1876" s="8"/>
    </row>
    <row r="1877" spans="2:23" x14ac:dyDescent="0.2">
      <c r="B1877" s="9"/>
      <c r="C1877" s="9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</row>
    <row r="1879" spans="2:23" ht="15" x14ac:dyDescent="0.2">
      <c r="B1879" s="4" t="s">
        <v>82</v>
      </c>
    </row>
    <row r="1881" spans="2:23" x14ac:dyDescent="0.2">
      <c r="B1881" s="22" t="s">
        <v>245</v>
      </c>
      <c r="E1881" s="22" t="s">
        <v>246</v>
      </c>
    </row>
    <row r="1882" spans="2:23" x14ac:dyDescent="0.2">
      <c r="C1882" s="2" t="s">
        <v>43</v>
      </c>
      <c r="E1882" s="2" t="s">
        <v>1900</v>
      </c>
      <c r="I1882" s="2" t="s">
        <v>19</v>
      </c>
      <c r="P1882" s="2" t="s">
        <v>1901</v>
      </c>
      <c r="T1882" s="5">
        <v>0</v>
      </c>
      <c r="V1882" s="49">
        <v>322030</v>
      </c>
      <c r="W1882" s="50"/>
    </row>
    <row r="1883" spans="2:23" x14ac:dyDescent="0.2">
      <c r="B1883" s="22" t="s">
        <v>245</v>
      </c>
      <c r="E1883" s="22" t="s">
        <v>246</v>
      </c>
      <c r="S1883" s="51">
        <v>0</v>
      </c>
      <c r="T1883" s="50"/>
      <c r="U1883" s="51">
        <v>322030</v>
      </c>
      <c r="V1883" s="50"/>
      <c r="W1883" s="50"/>
    </row>
    <row r="1884" spans="2:23" x14ac:dyDescent="0.2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8"/>
      <c r="N1884" s="8"/>
      <c r="O1884" s="8"/>
      <c r="P1884" s="8"/>
      <c r="Q1884" s="8"/>
      <c r="R1884" s="8"/>
      <c r="S1884" s="8"/>
      <c r="T1884" s="8"/>
      <c r="U1884" s="8"/>
      <c r="V1884" s="8"/>
      <c r="W1884" s="8"/>
    </row>
    <row r="1885" spans="2:23" x14ac:dyDescent="0.2">
      <c r="B1885" s="9"/>
      <c r="C1885" s="9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52">
        <v>0</v>
      </c>
      <c r="T1885" s="53"/>
      <c r="U1885" s="52">
        <v>322030</v>
      </c>
      <c r="V1885" s="53"/>
      <c r="W1885" s="53"/>
    </row>
    <row r="1886" spans="2:23" x14ac:dyDescent="0.2">
      <c r="B1886" s="8"/>
      <c r="C1886" s="8"/>
      <c r="D1886" s="20" t="s">
        <v>96</v>
      </c>
      <c r="E1886" s="8"/>
      <c r="F1886" s="8"/>
      <c r="G1886" s="8"/>
      <c r="H1886" s="8"/>
      <c r="I1886" s="8"/>
      <c r="J1886" s="8"/>
      <c r="K1886" s="8"/>
      <c r="L1886" s="8"/>
      <c r="M1886" s="8"/>
      <c r="N1886" s="8"/>
      <c r="O1886" s="8"/>
      <c r="P1886" s="8"/>
      <c r="Q1886" s="8"/>
      <c r="R1886" s="11">
        <v>322030</v>
      </c>
      <c r="S1886" s="8"/>
      <c r="T1886" s="8"/>
      <c r="U1886" s="8"/>
      <c r="V1886" s="8"/>
      <c r="W1886" s="8"/>
    </row>
    <row r="1887" spans="2:23" x14ac:dyDescent="0.2">
      <c r="B1887" s="9"/>
      <c r="C1887" s="9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</row>
    <row r="1888" spans="2:23" x14ac:dyDescent="0.2">
      <c r="B1888" s="22" t="s">
        <v>7</v>
      </c>
      <c r="D1888" s="22" t="s">
        <v>1872</v>
      </c>
      <c r="O1888" s="20" t="s">
        <v>97</v>
      </c>
      <c r="P1888" s="8"/>
      <c r="Q1888" s="8"/>
      <c r="R1888" s="11">
        <v>-45340</v>
      </c>
    </row>
    <row r="1889" spans="2:23" x14ac:dyDescent="0.2">
      <c r="O1889" s="9"/>
      <c r="P1889" s="9"/>
      <c r="Q1889" s="9"/>
      <c r="R1889" s="9"/>
    </row>
    <row r="1890" spans="2:23" x14ac:dyDescent="0.2">
      <c r="B1890" s="2" t="s">
        <v>98</v>
      </c>
    </row>
    <row r="1892" spans="2:23" ht="24" customHeight="1" x14ac:dyDescent="0.2">
      <c r="B1892" s="54" t="s">
        <v>0</v>
      </c>
      <c r="C1892" s="50"/>
      <c r="D1892" s="50"/>
      <c r="E1892" s="50"/>
      <c r="F1892" s="50"/>
      <c r="G1892" s="50"/>
      <c r="H1892" s="50"/>
      <c r="I1892" s="50"/>
      <c r="J1892" s="50"/>
      <c r="K1892" s="50"/>
      <c r="L1892" s="50"/>
      <c r="M1892" s="50"/>
      <c r="N1892" s="50"/>
      <c r="O1892" s="50"/>
      <c r="P1892" s="50"/>
      <c r="Q1892" s="50"/>
      <c r="R1892" s="50"/>
      <c r="S1892" s="50"/>
      <c r="T1892" s="50"/>
      <c r="U1892" s="50"/>
      <c r="V1892" s="50"/>
      <c r="W1892" s="50"/>
    </row>
    <row r="1893" spans="2:23" ht="18" x14ac:dyDescent="0.2">
      <c r="B1893" s="1" t="s">
        <v>1</v>
      </c>
      <c r="S1893" s="55" t="s">
        <v>1871</v>
      </c>
      <c r="T1893" s="50"/>
      <c r="U1893" s="50"/>
      <c r="V1893" s="50"/>
      <c r="W1893" s="50"/>
    </row>
    <row r="1894" spans="2:23" ht="12.75" thickBot="1" x14ac:dyDescent="0.25">
      <c r="B1894" s="10" t="s">
        <v>3</v>
      </c>
      <c r="C1894" s="6"/>
      <c r="D1894" s="6"/>
      <c r="E1894" s="6"/>
      <c r="F1894" s="6"/>
      <c r="G1894" s="6"/>
      <c r="H1894" s="6"/>
      <c r="I1894" s="6"/>
      <c r="J1894" s="6"/>
      <c r="K1894" s="6" t="s">
        <v>5</v>
      </c>
      <c r="L1894" s="6"/>
      <c r="M1894" s="6"/>
      <c r="N1894" s="6"/>
      <c r="O1894" s="6"/>
      <c r="P1894" s="6" t="s">
        <v>4</v>
      </c>
      <c r="Q1894" s="6" t="s">
        <v>2730</v>
      </c>
      <c r="R1894" s="6"/>
      <c r="S1894" s="56" t="s">
        <v>6</v>
      </c>
      <c r="T1894" s="57"/>
      <c r="U1894" s="57"/>
      <c r="V1894" s="57"/>
      <c r="W1894" s="57"/>
    </row>
    <row r="1895" spans="2:23" ht="12.75" thickTop="1" x14ac:dyDescent="0.2"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</row>
    <row r="1896" spans="2:23" ht="15.75" x14ac:dyDescent="0.2">
      <c r="B1896" s="3" t="s">
        <v>7</v>
      </c>
      <c r="F1896" s="3" t="s">
        <v>1903</v>
      </c>
    </row>
    <row r="1898" spans="2:23" x14ac:dyDescent="0.2">
      <c r="B1898" s="8"/>
      <c r="C1898" s="20" t="s">
        <v>8</v>
      </c>
      <c r="D1898" s="8"/>
      <c r="E1898" s="20" t="s">
        <v>9</v>
      </c>
      <c r="F1898" s="8"/>
      <c r="G1898" s="8"/>
      <c r="H1898" s="8"/>
      <c r="I1898" s="20" t="s">
        <v>13</v>
      </c>
      <c r="J1898" s="8"/>
      <c r="K1898" s="8"/>
      <c r="L1898" s="20" t="s">
        <v>12</v>
      </c>
      <c r="M1898" s="8"/>
      <c r="N1898" s="8"/>
      <c r="O1898" s="8"/>
      <c r="P1898" s="20" t="s">
        <v>14</v>
      </c>
      <c r="Q1898" s="8"/>
      <c r="R1898" s="8"/>
      <c r="S1898" s="8"/>
      <c r="T1898" s="21" t="s">
        <v>11</v>
      </c>
      <c r="U1898" s="8"/>
      <c r="V1898" s="58" t="s">
        <v>10</v>
      </c>
      <c r="W1898" s="59"/>
    </row>
    <row r="1899" spans="2:23" x14ac:dyDescent="0.2">
      <c r="B1899" s="9"/>
      <c r="C1899" s="9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</row>
    <row r="1900" spans="2:23" ht="15" x14ac:dyDescent="0.2">
      <c r="B1900" s="4" t="s">
        <v>82</v>
      </c>
    </row>
    <row r="1902" spans="2:23" x14ac:dyDescent="0.2">
      <c r="B1902" s="22" t="s">
        <v>245</v>
      </c>
      <c r="E1902" s="22" t="s">
        <v>246</v>
      </c>
    </row>
    <row r="1903" spans="2:23" x14ac:dyDescent="0.2">
      <c r="C1903" s="2" t="s">
        <v>40</v>
      </c>
      <c r="E1903" s="2" t="s">
        <v>1904</v>
      </c>
      <c r="I1903" s="2" t="s">
        <v>19</v>
      </c>
      <c r="P1903" s="2" t="s">
        <v>1905</v>
      </c>
      <c r="T1903" s="5">
        <v>0</v>
      </c>
      <c r="V1903" s="49">
        <v>50500</v>
      </c>
      <c r="W1903" s="50"/>
    </row>
    <row r="1904" spans="2:23" x14ac:dyDescent="0.2">
      <c r="B1904" s="22" t="s">
        <v>245</v>
      </c>
      <c r="E1904" s="22" t="s">
        <v>246</v>
      </c>
      <c r="S1904" s="51">
        <v>0</v>
      </c>
      <c r="T1904" s="50"/>
      <c r="U1904" s="51">
        <v>50500</v>
      </c>
      <c r="V1904" s="50"/>
      <c r="W1904" s="50"/>
    </row>
    <row r="1905" spans="2:23" x14ac:dyDescent="0.2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  <c r="N1905" s="8"/>
      <c r="O1905" s="8"/>
      <c r="P1905" s="8"/>
      <c r="Q1905" s="8"/>
      <c r="R1905" s="8"/>
      <c r="S1905" s="8"/>
      <c r="T1905" s="8"/>
      <c r="U1905" s="8"/>
      <c r="V1905" s="8"/>
      <c r="W1905" s="8"/>
    </row>
    <row r="1906" spans="2:23" x14ac:dyDescent="0.2">
      <c r="B1906" s="9"/>
      <c r="C1906" s="9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52">
        <v>0</v>
      </c>
      <c r="T1906" s="53"/>
      <c r="U1906" s="52">
        <v>50500</v>
      </c>
      <c r="V1906" s="53"/>
      <c r="W1906" s="53"/>
    </row>
    <row r="1907" spans="2:23" x14ac:dyDescent="0.2">
      <c r="B1907" s="8"/>
      <c r="C1907" s="8"/>
      <c r="D1907" s="20" t="s">
        <v>96</v>
      </c>
      <c r="E1907" s="8"/>
      <c r="F1907" s="8"/>
      <c r="G1907" s="8"/>
      <c r="H1907" s="8"/>
      <c r="I1907" s="8"/>
      <c r="J1907" s="8"/>
      <c r="K1907" s="8"/>
      <c r="L1907" s="8"/>
      <c r="M1907" s="8"/>
      <c r="N1907" s="8"/>
      <c r="O1907" s="8"/>
      <c r="P1907" s="8"/>
      <c r="Q1907" s="8"/>
      <c r="R1907" s="11">
        <v>50500</v>
      </c>
      <c r="S1907" s="8"/>
      <c r="T1907" s="8"/>
      <c r="U1907" s="8"/>
      <c r="V1907" s="8"/>
      <c r="W1907" s="8"/>
    </row>
    <row r="1908" spans="2:23" x14ac:dyDescent="0.2">
      <c r="B1908" s="9"/>
      <c r="C1908" s="9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</row>
    <row r="1909" spans="2:23" x14ac:dyDescent="0.2">
      <c r="B1909" s="22" t="s">
        <v>7</v>
      </c>
      <c r="D1909" s="22" t="s">
        <v>1903</v>
      </c>
      <c r="O1909" s="20" t="s">
        <v>97</v>
      </c>
      <c r="P1909" s="8"/>
      <c r="Q1909" s="8"/>
      <c r="R1909" s="11">
        <v>50500</v>
      </c>
    </row>
    <row r="1910" spans="2:23" x14ac:dyDescent="0.2">
      <c r="O1910" s="9"/>
      <c r="P1910" s="9"/>
      <c r="Q1910" s="9"/>
      <c r="R1910" s="9"/>
    </row>
    <row r="1911" spans="2:23" x14ac:dyDescent="0.2">
      <c r="B1911" s="2" t="s">
        <v>98</v>
      </c>
    </row>
    <row r="1913" spans="2:23" ht="24" customHeight="1" x14ac:dyDescent="0.2">
      <c r="B1913" s="54" t="s">
        <v>0</v>
      </c>
      <c r="C1913" s="50"/>
      <c r="D1913" s="50"/>
      <c r="E1913" s="50"/>
      <c r="F1913" s="50"/>
      <c r="G1913" s="50"/>
      <c r="H1913" s="50"/>
      <c r="I1913" s="50"/>
      <c r="J1913" s="50"/>
      <c r="K1913" s="50"/>
      <c r="L1913" s="50"/>
      <c r="M1913" s="50"/>
      <c r="N1913" s="50"/>
      <c r="O1913" s="50"/>
      <c r="P1913" s="50"/>
      <c r="Q1913" s="50"/>
      <c r="R1913" s="50"/>
      <c r="S1913" s="50"/>
      <c r="T1913" s="50"/>
      <c r="U1913" s="50"/>
      <c r="V1913" s="50"/>
      <c r="W1913" s="50"/>
    </row>
    <row r="1914" spans="2:23" ht="18" x14ac:dyDescent="0.2">
      <c r="B1914" s="1" t="s">
        <v>1</v>
      </c>
      <c r="S1914" s="55" t="s">
        <v>1902</v>
      </c>
      <c r="T1914" s="50"/>
      <c r="U1914" s="50"/>
      <c r="V1914" s="50"/>
      <c r="W1914" s="50"/>
    </row>
    <row r="1915" spans="2:23" ht="12.75" thickBot="1" x14ac:dyDescent="0.25">
      <c r="B1915" s="10" t="s">
        <v>3</v>
      </c>
      <c r="C1915" s="6"/>
      <c r="D1915" s="6"/>
      <c r="E1915" s="6"/>
      <c r="F1915" s="6"/>
      <c r="G1915" s="6"/>
      <c r="H1915" s="6"/>
      <c r="I1915" s="6"/>
      <c r="J1915" s="6"/>
      <c r="K1915" s="6" t="s">
        <v>5</v>
      </c>
      <c r="L1915" s="6"/>
      <c r="M1915" s="6"/>
      <c r="N1915" s="6"/>
      <c r="O1915" s="6"/>
      <c r="P1915" s="6" t="s">
        <v>4</v>
      </c>
      <c r="Q1915" s="6" t="s">
        <v>2730</v>
      </c>
      <c r="R1915" s="6"/>
      <c r="S1915" s="56" t="s">
        <v>6</v>
      </c>
      <c r="T1915" s="57"/>
      <c r="U1915" s="57"/>
      <c r="V1915" s="57"/>
      <c r="W1915" s="57"/>
    </row>
    <row r="1916" spans="2:23" ht="12.75" thickTop="1" x14ac:dyDescent="0.2"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</row>
    <row r="1917" spans="2:23" ht="15.75" x14ac:dyDescent="0.2">
      <c r="B1917" s="3" t="s">
        <v>7</v>
      </c>
      <c r="F1917" s="3" t="s">
        <v>1907</v>
      </c>
    </row>
    <row r="1919" spans="2:23" x14ac:dyDescent="0.2">
      <c r="B1919" s="8"/>
      <c r="C1919" s="20" t="s">
        <v>8</v>
      </c>
      <c r="D1919" s="8"/>
      <c r="E1919" s="20" t="s">
        <v>9</v>
      </c>
      <c r="F1919" s="8"/>
      <c r="G1919" s="8"/>
      <c r="H1919" s="8"/>
      <c r="I1919" s="20" t="s">
        <v>13</v>
      </c>
      <c r="J1919" s="8"/>
      <c r="K1919" s="8"/>
      <c r="L1919" s="20" t="s">
        <v>12</v>
      </c>
      <c r="M1919" s="8"/>
      <c r="N1919" s="8"/>
      <c r="O1919" s="8"/>
      <c r="P1919" s="20" t="s">
        <v>14</v>
      </c>
      <c r="Q1919" s="8"/>
      <c r="R1919" s="8"/>
      <c r="S1919" s="8"/>
      <c r="T1919" s="21" t="s">
        <v>11</v>
      </c>
      <c r="U1919" s="8"/>
      <c r="V1919" s="58" t="s">
        <v>10</v>
      </c>
      <c r="W1919" s="59"/>
    </row>
    <row r="1920" spans="2:23" x14ac:dyDescent="0.2">
      <c r="B1920" s="9"/>
      <c r="C1920" s="9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</row>
    <row r="1921" spans="2:23" ht="15" x14ac:dyDescent="0.2">
      <c r="B1921" s="4" t="s">
        <v>15</v>
      </c>
    </row>
    <row r="1923" spans="2:23" x14ac:dyDescent="0.2">
      <c r="B1923" s="22" t="s">
        <v>102</v>
      </c>
      <c r="E1923" s="22" t="s">
        <v>103</v>
      </c>
    </row>
    <row r="1924" spans="2:23" x14ac:dyDescent="0.2">
      <c r="C1924" s="2" t="s">
        <v>1909</v>
      </c>
      <c r="E1924" s="2" t="s">
        <v>1908</v>
      </c>
      <c r="I1924" s="2" t="s">
        <v>209</v>
      </c>
      <c r="P1924" s="2" t="s">
        <v>964</v>
      </c>
      <c r="T1924" s="5">
        <v>6295</v>
      </c>
      <c r="V1924" s="49">
        <v>0</v>
      </c>
      <c r="W1924" s="50"/>
    </row>
    <row r="1925" spans="2:23" x14ac:dyDescent="0.2">
      <c r="B1925" s="22" t="s">
        <v>102</v>
      </c>
      <c r="E1925" s="22" t="s">
        <v>103</v>
      </c>
      <c r="S1925" s="51">
        <v>6295</v>
      </c>
      <c r="T1925" s="50"/>
      <c r="U1925" s="51">
        <v>0</v>
      </c>
      <c r="V1925" s="50"/>
      <c r="W1925" s="50"/>
    </row>
    <row r="1927" spans="2:23" x14ac:dyDescent="0.2">
      <c r="B1927" s="22" t="s">
        <v>109</v>
      </c>
      <c r="E1927" s="22" t="s">
        <v>110</v>
      </c>
    </row>
    <row r="1928" spans="2:23" x14ac:dyDescent="0.2">
      <c r="C1928" s="2" t="s">
        <v>46</v>
      </c>
      <c r="E1928" s="2" t="s">
        <v>132</v>
      </c>
      <c r="I1928" s="2" t="s">
        <v>106</v>
      </c>
      <c r="L1928" s="2" t="s">
        <v>133</v>
      </c>
      <c r="P1928" s="2" t="s">
        <v>134</v>
      </c>
      <c r="T1928" s="5">
        <v>2000</v>
      </c>
      <c r="V1928" s="49">
        <v>0</v>
      </c>
      <c r="W1928" s="50"/>
    </row>
    <row r="1929" spans="2:23" x14ac:dyDescent="0.2">
      <c r="B1929" s="22" t="s">
        <v>109</v>
      </c>
      <c r="E1929" s="22" t="s">
        <v>110</v>
      </c>
      <c r="S1929" s="51">
        <v>2000</v>
      </c>
      <c r="T1929" s="50"/>
      <c r="U1929" s="51">
        <v>0</v>
      </c>
      <c r="V1929" s="50"/>
      <c r="W1929" s="50"/>
    </row>
    <row r="1931" spans="2:23" x14ac:dyDescent="0.2">
      <c r="B1931" s="22" t="s">
        <v>147</v>
      </c>
      <c r="E1931" s="22" t="s">
        <v>148</v>
      </c>
    </row>
    <row r="1932" spans="2:23" x14ac:dyDescent="0.2">
      <c r="C1932" s="2" t="s">
        <v>129</v>
      </c>
      <c r="E1932" s="2" t="s">
        <v>1910</v>
      </c>
      <c r="I1932" s="2" t="s">
        <v>106</v>
      </c>
      <c r="L1932" s="2" t="s">
        <v>1911</v>
      </c>
      <c r="P1932" s="2" t="s">
        <v>1912</v>
      </c>
      <c r="T1932" s="5">
        <v>46000</v>
      </c>
      <c r="V1932" s="49">
        <v>0</v>
      </c>
      <c r="W1932" s="50"/>
    </row>
    <row r="1933" spans="2:23" x14ac:dyDescent="0.2">
      <c r="B1933" s="22" t="s">
        <v>147</v>
      </c>
      <c r="E1933" s="22" t="s">
        <v>148</v>
      </c>
      <c r="S1933" s="51">
        <v>46000</v>
      </c>
      <c r="T1933" s="50"/>
      <c r="U1933" s="51">
        <v>0</v>
      </c>
      <c r="V1933" s="50"/>
      <c r="W1933" s="50"/>
    </row>
    <row r="1935" spans="2:23" x14ac:dyDescent="0.2">
      <c r="B1935" s="22" t="s">
        <v>153</v>
      </c>
      <c r="E1935" s="22" t="s">
        <v>154</v>
      </c>
    </row>
    <row r="1936" spans="2:23" x14ac:dyDescent="0.2">
      <c r="C1936" s="2" t="s">
        <v>875</v>
      </c>
      <c r="E1936" s="2" t="s">
        <v>1913</v>
      </c>
      <c r="I1936" s="2" t="s">
        <v>106</v>
      </c>
      <c r="L1936" s="2" t="s">
        <v>1888</v>
      </c>
      <c r="P1936" s="2" t="s">
        <v>1914</v>
      </c>
      <c r="T1936" s="5">
        <v>49300</v>
      </c>
      <c r="V1936" s="49">
        <v>0</v>
      </c>
      <c r="W1936" s="50"/>
    </row>
    <row r="1937" spans="2:23" x14ac:dyDescent="0.2">
      <c r="C1937" s="2" t="s">
        <v>961</v>
      </c>
      <c r="E1937" s="2" t="s">
        <v>1915</v>
      </c>
      <c r="I1937" s="2" t="s">
        <v>106</v>
      </c>
      <c r="L1937" s="2" t="s">
        <v>156</v>
      </c>
      <c r="P1937" s="2" t="s">
        <v>1916</v>
      </c>
      <c r="T1937" s="5">
        <v>97670</v>
      </c>
      <c r="V1937" s="49">
        <v>0</v>
      </c>
      <c r="W1937" s="50"/>
    </row>
    <row r="1938" spans="2:23" x14ac:dyDescent="0.2">
      <c r="B1938" s="22" t="s">
        <v>153</v>
      </c>
      <c r="E1938" s="22" t="s">
        <v>154</v>
      </c>
      <c r="S1938" s="51">
        <v>146970</v>
      </c>
      <c r="T1938" s="50"/>
      <c r="U1938" s="51">
        <v>0</v>
      </c>
      <c r="V1938" s="50"/>
      <c r="W1938" s="50"/>
    </row>
    <row r="1939" spans="2:23" x14ac:dyDescent="0.2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8"/>
      <c r="N1939" s="8"/>
      <c r="O1939" s="8"/>
      <c r="P1939" s="8"/>
      <c r="Q1939" s="8"/>
      <c r="R1939" s="8"/>
      <c r="S1939" s="8"/>
      <c r="T1939" s="8"/>
      <c r="U1939" s="8"/>
      <c r="V1939" s="8"/>
      <c r="W1939" s="8"/>
    </row>
    <row r="1940" spans="2:23" x14ac:dyDescent="0.2">
      <c r="B1940" s="9"/>
      <c r="C1940" s="9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52">
        <v>201265</v>
      </c>
      <c r="T1940" s="53"/>
      <c r="U1940" s="52">
        <v>0</v>
      </c>
      <c r="V1940" s="53"/>
      <c r="W1940" s="53"/>
    </row>
    <row r="1941" spans="2:23" x14ac:dyDescent="0.2">
      <c r="B1941" s="8"/>
      <c r="C1941" s="8"/>
      <c r="D1941" s="20" t="s">
        <v>81</v>
      </c>
      <c r="E1941" s="8"/>
      <c r="F1941" s="8"/>
      <c r="G1941" s="8"/>
      <c r="H1941" s="8"/>
      <c r="I1941" s="8"/>
      <c r="J1941" s="8"/>
      <c r="K1941" s="8"/>
      <c r="L1941" s="8"/>
      <c r="M1941" s="8"/>
      <c r="N1941" s="8"/>
      <c r="O1941" s="8"/>
      <c r="P1941" s="8"/>
      <c r="Q1941" s="8"/>
      <c r="R1941" s="11">
        <v>201265</v>
      </c>
      <c r="S1941" s="8"/>
      <c r="T1941" s="8"/>
      <c r="U1941" s="8"/>
      <c r="V1941" s="8"/>
      <c r="W1941" s="8"/>
    </row>
    <row r="1942" spans="2:23" x14ac:dyDescent="0.2">
      <c r="B1942" s="9"/>
      <c r="C1942" s="9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</row>
    <row r="1944" spans="2:23" ht="15" x14ac:dyDescent="0.2">
      <c r="B1944" s="4" t="s">
        <v>82</v>
      </c>
    </row>
    <row r="1946" spans="2:23" x14ac:dyDescent="0.2">
      <c r="B1946" s="22" t="s">
        <v>245</v>
      </c>
      <c r="E1946" s="22" t="s">
        <v>246</v>
      </c>
    </row>
    <row r="1947" spans="2:23" x14ac:dyDescent="0.2">
      <c r="C1947" s="2" t="s">
        <v>43</v>
      </c>
      <c r="E1947" s="2" t="s">
        <v>1917</v>
      </c>
      <c r="I1947" s="2" t="s">
        <v>19</v>
      </c>
      <c r="P1947" s="2" t="s">
        <v>1918</v>
      </c>
      <c r="T1947" s="5">
        <v>0</v>
      </c>
      <c r="V1947" s="49">
        <v>155250</v>
      </c>
      <c r="W1947" s="50"/>
    </row>
    <row r="1948" spans="2:23" x14ac:dyDescent="0.2">
      <c r="C1948" s="2" t="s">
        <v>151</v>
      </c>
      <c r="E1948" s="2" t="s">
        <v>1919</v>
      </c>
      <c r="I1948" s="2" t="s">
        <v>209</v>
      </c>
      <c r="P1948" s="2" t="s">
        <v>1920</v>
      </c>
      <c r="T1948" s="5">
        <v>0</v>
      </c>
      <c r="V1948" s="49">
        <v>9034</v>
      </c>
      <c r="W1948" s="50"/>
    </row>
    <row r="1949" spans="2:23" x14ac:dyDescent="0.2">
      <c r="B1949" s="22" t="s">
        <v>245</v>
      </c>
      <c r="E1949" s="22" t="s">
        <v>246</v>
      </c>
      <c r="S1949" s="51">
        <v>0</v>
      </c>
      <c r="T1949" s="50"/>
      <c r="U1949" s="51">
        <v>164284</v>
      </c>
      <c r="V1949" s="50"/>
      <c r="W1949" s="50"/>
    </row>
    <row r="1950" spans="2:23" x14ac:dyDescent="0.2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8"/>
      <c r="N1950" s="8"/>
      <c r="O1950" s="8"/>
      <c r="P1950" s="8"/>
      <c r="Q1950" s="8"/>
      <c r="R1950" s="8"/>
      <c r="S1950" s="8"/>
      <c r="T1950" s="8"/>
      <c r="U1950" s="8"/>
      <c r="V1950" s="8"/>
      <c r="W1950" s="8"/>
    </row>
    <row r="1951" spans="2:23" x14ac:dyDescent="0.2">
      <c r="B1951" s="9"/>
      <c r="C1951" s="9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52">
        <v>0</v>
      </c>
      <c r="T1951" s="53"/>
      <c r="U1951" s="52">
        <v>164284</v>
      </c>
      <c r="V1951" s="53"/>
      <c r="W1951" s="53"/>
    </row>
    <row r="1952" spans="2:23" x14ac:dyDescent="0.2">
      <c r="B1952" s="8"/>
      <c r="C1952" s="8"/>
      <c r="D1952" s="20" t="s">
        <v>96</v>
      </c>
      <c r="E1952" s="8"/>
      <c r="F1952" s="8"/>
      <c r="G1952" s="8"/>
      <c r="H1952" s="8"/>
      <c r="I1952" s="8"/>
      <c r="J1952" s="8"/>
      <c r="K1952" s="8"/>
      <c r="L1952" s="8"/>
      <c r="M1952" s="8"/>
      <c r="N1952" s="8"/>
      <c r="O1952" s="8"/>
      <c r="P1952" s="8"/>
      <c r="Q1952" s="8"/>
      <c r="R1952" s="11">
        <v>164284</v>
      </c>
      <c r="S1952" s="8"/>
      <c r="T1952" s="8"/>
      <c r="U1952" s="8"/>
      <c r="V1952" s="8"/>
      <c r="W1952" s="8"/>
    </row>
    <row r="1953" spans="2:23" x14ac:dyDescent="0.2">
      <c r="B1953" s="9"/>
      <c r="C1953" s="9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</row>
    <row r="1954" spans="2:23" x14ac:dyDescent="0.2">
      <c r="B1954" s="22" t="s">
        <v>7</v>
      </c>
      <c r="D1954" s="22" t="s">
        <v>1907</v>
      </c>
      <c r="O1954" s="20" t="s">
        <v>97</v>
      </c>
      <c r="P1954" s="8"/>
      <c r="Q1954" s="8"/>
      <c r="R1954" s="11">
        <v>-36981</v>
      </c>
    </row>
    <row r="1955" spans="2:23" x14ac:dyDescent="0.2">
      <c r="O1955" s="9"/>
      <c r="P1955" s="9"/>
      <c r="Q1955" s="9"/>
      <c r="R1955" s="9"/>
    </row>
    <row r="1956" spans="2:23" x14ac:dyDescent="0.2">
      <c r="B1956" s="2" t="s">
        <v>98</v>
      </c>
    </row>
    <row r="1958" spans="2:23" ht="24" customHeight="1" x14ac:dyDescent="0.2">
      <c r="B1958" s="54" t="s">
        <v>0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  <c r="R1958" s="50"/>
      <c r="S1958" s="50"/>
      <c r="T1958" s="50"/>
      <c r="U1958" s="50"/>
      <c r="V1958" s="50"/>
      <c r="W1958" s="50"/>
    </row>
    <row r="1959" spans="2:23" ht="18" x14ac:dyDescent="0.2">
      <c r="B1959" s="1" t="s">
        <v>1</v>
      </c>
      <c r="S1959" s="55" t="s">
        <v>1906</v>
      </c>
      <c r="T1959" s="50"/>
      <c r="U1959" s="50"/>
      <c r="V1959" s="50"/>
      <c r="W1959" s="50"/>
    </row>
    <row r="1960" spans="2:23" ht="12.75" thickBot="1" x14ac:dyDescent="0.25">
      <c r="B1960" s="10" t="s">
        <v>3</v>
      </c>
      <c r="C1960" s="6"/>
      <c r="D1960" s="6"/>
      <c r="E1960" s="6"/>
      <c r="F1960" s="6"/>
      <c r="G1960" s="6"/>
      <c r="H1960" s="6"/>
      <c r="I1960" s="6"/>
      <c r="J1960" s="6"/>
      <c r="K1960" s="6" t="s">
        <v>5</v>
      </c>
      <c r="L1960" s="6"/>
      <c r="M1960" s="6"/>
      <c r="N1960" s="6"/>
      <c r="O1960" s="6"/>
      <c r="P1960" s="6" t="s">
        <v>4</v>
      </c>
      <c r="Q1960" s="6" t="s">
        <v>2730</v>
      </c>
      <c r="R1960" s="6"/>
      <c r="S1960" s="56" t="s">
        <v>6</v>
      </c>
      <c r="T1960" s="57"/>
      <c r="U1960" s="57"/>
      <c r="V1960" s="57"/>
      <c r="W1960" s="57"/>
    </row>
    <row r="1961" spans="2:23" ht="12.75" thickTop="1" x14ac:dyDescent="0.2"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</row>
    <row r="1962" spans="2:23" ht="15.75" x14ac:dyDescent="0.2">
      <c r="B1962" s="3" t="s">
        <v>7</v>
      </c>
      <c r="F1962" s="3" t="s">
        <v>1922</v>
      </c>
    </row>
    <row r="1964" spans="2:23" x14ac:dyDescent="0.2">
      <c r="B1964" s="8"/>
      <c r="C1964" s="20" t="s">
        <v>8</v>
      </c>
      <c r="D1964" s="8"/>
      <c r="E1964" s="20" t="s">
        <v>9</v>
      </c>
      <c r="F1964" s="8"/>
      <c r="G1964" s="8"/>
      <c r="H1964" s="8"/>
      <c r="I1964" s="20" t="s">
        <v>13</v>
      </c>
      <c r="J1964" s="8"/>
      <c r="K1964" s="8"/>
      <c r="L1964" s="20" t="s">
        <v>12</v>
      </c>
      <c r="M1964" s="8"/>
      <c r="N1964" s="8"/>
      <c r="O1964" s="8"/>
      <c r="P1964" s="20" t="s">
        <v>14</v>
      </c>
      <c r="Q1964" s="8"/>
      <c r="R1964" s="8"/>
      <c r="S1964" s="8"/>
      <c r="T1964" s="21" t="s">
        <v>11</v>
      </c>
      <c r="U1964" s="8"/>
      <c r="V1964" s="58" t="s">
        <v>10</v>
      </c>
      <c r="W1964" s="59"/>
    </row>
    <row r="1965" spans="2:23" x14ac:dyDescent="0.2">
      <c r="B1965" s="9"/>
      <c r="C1965" s="9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</row>
    <row r="1966" spans="2:23" ht="15" x14ac:dyDescent="0.2">
      <c r="B1966" s="4" t="s">
        <v>82</v>
      </c>
    </row>
    <row r="1968" spans="2:23" x14ac:dyDescent="0.2">
      <c r="B1968" s="22" t="s">
        <v>245</v>
      </c>
      <c r="E1968" s="22" t="s">
        <v>246</v>
      </c>
    </row>
    <row r="1969" spans="2:23" x14ac:dyDescent="0.2">
      <c r="C1969" s="2" t="s">
        <v>20</v>
      </c>
      <c r="E1969" s="2" t="s">
        <v>1923</v>
      </c>
      <c r="I1969" s="2" t="s">
        <v>19</v>
      </c>
      <c r="P1969" s="2" t="s">
        <v>1924</v>
      </c>
      <c r="T1969" s="5">
        <v>0</v>
      </c>
      <c r="V1969" s="49">
        <v>236600</v>
      </c>
      <c r="W1969" s="50"/>
    </row>
    <row r="1970" spans="2:23" x14ac:dyDescent="0.2">
      <c r="B1970" s="22" t="s">
        <v>245</v>
      </c>
      <c r="E1970" s="22" t="s">
        <v>246</v>
      </c>
      <c r="S1970" s="51">
        <v>0</v>
      </c>
      <c r="T1970" s="50"/>
      <c r="U1970" s="51">
        <v>236600</v>
      </c>
      <c r="V1970" s="50"/>
      <c r="W1970" s="50"/>
    </row>
    <row r="1971" spans="2:23" x14ac:dyDescent="0.2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  <c r="N1971" s="8"/>
      <c r="O1971" s="8"/>
      <c r="P1971" s="8"/>
      <c r="Q1971" s="8"/>
      <c r="R1971" s="8"/>
      <c r="S1971" s="8"/>
      <c r="T1971" s="8"/>
      <c r="U1971" s="8"/>
      <c r="V1971" s="8"/>
      <c r="W1971" s="8"/>
    </row>
    <row r="1972" spans="2:23" x14ac:dyDescent="0.2">
      <c r="B1972" s="9"/>
      <c r="C1972" s="9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52">
        <v>0</v>
      </c>
      <c r="T1972" s="53"/>
      <c r="U1972" s="52">
        <v>236600</v>
      </c>
      <c r="V1972" s="53"/>
      <c r="W1972" s="53"/>
    </row>
    <row r="1973" spans="2:23" x14ac:dyDescent="0.2">
      <c r="B1973" s="8"/>
      <c r="C1973" s="8"/>
      <c r="D1973" s="20" t="s">
        <v>96</v>
      </c>
      <c r="E1973" s="8"/>
      <c r="F1973" s="8"/>
      <c r="G1973" s="8"/>
      <c r="H1973" s="8"/>
      <c r="I1973" s="8"/>
      <c r="J1973" s="8"/>
      <c r="K1973" s="8"/>
      <c r="L1973" s="8"/>
      <c r="M1973" s="8"/>
      <c r="N1973" s="8"/>
      <c r="O1973" s="8"/>
      <c r="P1973" s="8"/>
      <c r="Q1973" s="8"/>
      <c r="R1973" s="11">
        <v>236600</v>
      </c>
      <c r="S1973" s="8"/>
      <c r="T1973" s="8"/>
      <c r="U1973" s="8"/>
      <c r="V1973" s="8"/>
      <c r="W1973" s="8"/>
    </row>
    <row r="1974" spans="2:23" x14ac:dyDescent="0.2">
      <c r="B1974" s="9"/>
      <c r="C1974" s="9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</row>
    <row r="1975" spans="2:23" x14ac:dyDescent="0.2">
      <c r="B1975" s="22" t="s">
        <v>7</v>
      </c>
      <c r="D1975" s="22" t="s">
        <v>1922</v>
      </c>
      <c r="O1975" s="20" t="s">
        <v>97</v>
      </c>
      <c r="P1975" s="8"/>
      <c r="Q1975" s="8"/>
      <c r="R1975" s="11">
        <v>236600</v>
      </c>
    </row>
    <row r="1976" spans="2:23" x14ac:dyDescent="0.2">
      <c r="O1976" s="9"/>
      <c r="P1976" s="9"/>
      <c r="Q1976" s="9"/>
      <c r="R1976" s="9"/>
    </row>
    <row r="1977" spans="2:23" x14ac:dyDescent="0.2">
      <c r="B1977" s="2" t="s">
        <v>98</v>
      </c>
    </row>
    <row r="1979" spans="2:23" ht="24" customHeight="1" x14ac:dyDescent="0.2">
      <c r="B1979" s="54" t="s">
        <v>0</v>
      </c>
      <c r="C1979" s="50"/>
      <c r="D1979" s="50"/>
      <c r="E1979" s="50"/>
      <c r="F1979" s="50"/>
      <c r="G1979" s="50"/>
      <c r="H1979" s="50"/>
      <c r="I1979" s="50"/>
      <c r="J1979" s="50"/>
      <c r="K1979" s="50"/>
      <c r="L1979" s="50"/>
      <c r="M1979" s="50"/>
      <c r="N1979" s="50"/>
      <c r="O1979" s="50"/>
      <c r="P1979" s="50"/>
      <c r="Q1979" s="50"/>
      <c r="R1979" s="50"/>
      <c r="S1979" s="50"/>
      <c r="T1979" s="50"/>
      <c r="U1979" s="50"/>
      <c r="V1979" s="50"/>
      <c r="W1979" s="50"/>
    </row>
    <row r="1980" spans="2:23" ht="18" x14ac:dyDescent="0.2">
      <c r="B1980" s="1" t="s">
        <v>1</v>
      </c>
      <c r="S1980" s="55" t="s">
        <v>1921</v>
      </c>
      <c r="T1980" s="50"/>
      <c r="U1980" s="50"/>
      <c r="V1980" s="50"/>
      <c r="W1980" s="50"/>
    </row>
    <row r="1981" spans="2:23" ht="12.75" thickBot="1" x14ac:dyDescent="0.25">
      <c r="B1981" s="10" t="s">
        <v>3</v>
      </c>
      <c r="C1981" s="6"/>
      <c r="D1981" s="6"/>
      <c r="E1981" s="6"/>
      <c r="F1981" s="6"/>
      <c r="G1981" s="6"/>
      <c r="H1981" s="6"/>
      <c r="I1981" s="6"/>
      <c r="J1981" s="6"/>
      <c r="K1981" s="6" t="s">
        <v>5</v>
      </c>
      <c r="L1981" s="6"/>
      <c r="M1981" s="6"/>
      <c r="N1981" s="6"/>
      <c r="O1981" s="6"/>
      <c r="P1981" s="6" t="s">
        <v>4</v>
      </c>
      <c r="Q1981" s="6" t="s">
        <v>2730</v>
      </c>
      <c r="R1981" s="6"/>
      <c r="S1981" s="56" t="s">
        <v>6</v>
      </c>
      <c r="T1981" s="57"/>
      <c r="U1981" s="57"/>
      <c r="V1981" s="57"/>
      <c r="W1981" s="57"/>
    </row>
    <row r="1982" spans="2:23" ht="12.75" thickTop="1" x14ac:dyDescent="0.2"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</row>
    <row r="1983" spans="2:23" ht="15.75" x14ac:dyDescent="0.2">
      <c r="B1983" s="3" t="s">
        <v>7</v>
      </c>
      <c r="F1983" s="3" t="s">
        <v>1926</v>
      </c>
    </row>
    <row r="1985" spans="2:23" x14ac:dyDescent="0.2">
      <c r="B1985" s="8"/>
      <c r="C1985" s="20" t="s">
        <v>8</v>
      </c>
      <c r="D1985" s="8"/>
      <c r="E1985" s="20" t="s">
        <v>9</v>
      </c>
      <c r="F1985" s="8"/>
      <c r="G1985" s="8"/>
      <c r="H1985" s="8"/>
      <c r="I1985" s="20" t="s">
        <v>13</v>
      </c>
      <c r="J1985" s="8"/>
      <c r="K1985" s="8"/>
      <c r="L1985" s="20" t="s">
        <v>12</v>
      </c>
      <c r="M1985" s="8"/>
      <c r="N1985" s="8"/>
      <c r="O1985" s="8"/>
      <c r="P1985" s="20" t="s">
        <v>14</v>
      </c>
      <c r="Q1985" s="8"/>
      <c r="R1985" s="8"/>
      <c r="S1985" s="8"/>
      <c r="T1985" s="21" t="s">
        <v>11</v>
      </c>
      <c r="U1985" s="8"/>
      <c r="V1985" s="58" t="s">
        <v>10</v>
      </c>
      <c r="W1985" s="59"/>
    </row>
    <row r="1986" spans="2:23" x14ac:dyDescent="0.2">
      <c r="B1986" s="9"/>
      <c r="C1986" s="9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</row>
    <row r="1987" spans="2:23" ht="15" x14ac:dyDescent="0.2">
      <c r="B1987" s="4" t="s">
        <v>15</v>
      </c>
    </row>
    <row r="1989" spans="2:23" x14ac:dyDescent="0.2">
      <c r="B1989" s="22" t="s">
        <v>16</v>
      </c>
      <c r="E1989" s="22" t="s">
        <v>17</v>
      </c>
    </row>
    <row r="1990" spans="2:23" x14ac:dyDescent="0.2">
      <c r="C1990" s="2" t="s">
        <v>630</v>
      </c>
      <c r="E1990" s="2" t="s">
        <v>1927</v>
      </c>
      <c r="I1990" s="2" t="s">
        <v>106</v>
      </c>
      <c r="L1990" s="2" t="s">
        <v>1928</v>
      </c>
      <c r="P1990" s="2" t="s">
        <v>1929</v>
      </c>
      <c r="T1990" s="5">
        <v>7480</v>
      </c>
      <c r="V1990" s="49">
        <v>0</v>
      </c>
      <c r="W1990" s="50"/>
    </row>
    <row r="1991" spans="2:23" x14ac:dyDescent="0.2">
      <c r="C1991" s="2" t="s">
        <v>709</v>
      </c>
      <c r="E1991" s="2" t="s">
        <v>1930</v>
      </c>
      <c r="I1991" s="2" t="s">
        <v>106</v>
      </c>
      <c r="L1991" s="2" t="s">
        <v>1928</v>
      </c>
      <c r="P1991" s="2" t="s">
        <v>1931</v>
      </c>
      <c r="T1991" s="5">
        <v>5720</v>
      </c>
      <c r="V1991" s="49">
        <v>0</v>
      </c>
      <c r="W1991" s="50"/>
    </row>
    <row r="1992" spans="2:23" x14ac:dyDescent="0.2">
      <c r="C1992" s="2" t="s">
        <v>20</v>
      </c>
      <c r="E1992" s="2" t="s">
        <v>18</v>
      </c>
      <c r="I1992" s="2" t="s">
        <v>19</v>
      </c>
      <c r="P1992" s="2" t="s">
        <v>21</v>
      </c>
      <c r="T1992" s="5">
        <v>20650</v>
      </c>
      <c r="V1992" s="49">
        <v>0</v>
      </c>
      <c r="W1992" s="50"/>
    </row>
    <row r="1993" spans="2:23" x14ac:dyDescent="0.2">
      <c r="B1993" s="22" t="s">
        <v>16</v>
      </c>
      <c r="E1993" s="22" t="s">
        <v>17</v>
      </c>
      <c r="S1993" s="51">
        <v>33850</v>
      </c>
      <c r="T1993" s="50"/>
      <c r="U1993" s="51">
        <v>0</v>
      </c>
      <c r="V1993" s="50"/>
      <c r="W1993" s="50"/>
    </row>
    <row r="1995" spans="2:23" x14ac:dyDescent="0.2">
      <c r="B1995" s="22" t="s">
        <v>22</v>
      </c>
      <c r="E1995" s="22" t="s">
        <v>23</v>
      </c>
    </row>
    <row r="1996" spans="2:23" x14ac:dyDescent="0.2">
      <c r="C1996" s="2" t="s">
        <v>20</v>
      </c>
      <c r="E1996" s="2" t="s">
        <v>59</v>
      </c>
      <c r="I1996" s="2" t="s">
        <v>19</v>
      </c>
      <c r="P1996" s="2" t="s">
        <v>60</v>
      </c>
      <c r="T1996" s="5">
        <v>19880</v>
      </c>
      <c r="V1996" s="49">
        <v>0</v>
      </c>
      <c r="W1996" s="50"/>
    </row>
    <row r="1997" spans="2:23" x14ac:dyDescent="0.2">
      <c r="B1997" s="22" t="s">
        <v>22</v>
      </c>
      <c r="E1997" s="22" t="s">
        <v>23</v>
      </c>
      <c r="S1997" s="51">
        <v>19880</v>
      </c>
      <c r="T1997" s="50"/>
      <c r="U1997" s="51">
        <v>0</v>
      </c>
      <c r="V1997" s="50"/>
      <c r="W1997" s="50"/>
    </row>
    <row r="1998" spans="2:23" x14ac:dyDescent="0.2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  <c r="N1998" s="8"/>
      <c r="O1998" s="8"/>
      <c r="P1998" s="8"/>
      <c r="Q1998" s="8"/>
      <c r="R1998" s="8"/>
      <c r="S1998" s="8"/>
      <c r="T1998" s="8"/>
      <c r="U1998" s="8"/>
      <c r="V1998" s="8"/>
      <c r="W1998" s="8"/>
    </row>
    <row r="1999" spans="2:23" x14ac:dyDescent="0.2">
      <c r="B1999" s="9"/>
      <c r="C1999" s="9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52">
        <v>53730</v>
      </c>
      <c r="T1999" s="53"/>
      <c r="U1999" s="52">
        <v>0</v>
      </c>
      <c r="V1999" s="53"/>
      <c r="W1999" s="53"/>
    </row>
    <row r="2000" spans="2:23" x14ac:dyDescent="0.2">
      <c r="B2000" s="8"/>
      <c r="C2000" s="8"/>
      <c r="D2000" s="20" t="s">
        <v>81</v>
      </c>
      <c r="E2000" s="8"/>
      <c r="F2000" s="8"/>
      <c r="G2000" s="8"/>
      <c r="H2000" s="8"/>
      <c r="I2000" s="8"/>
      <c r="J2000" s="8"/>
      <c r="K2000" s="8"/>
      <c r="L2000" s="8"/>
      <c r="M2000" s="8"/>
      <c r="N2000" s="8"/>
      <c r="O2000" s="8"/>
      <c r="P2000" s="8"/>
      <c r="Q2000" s="8"/>
      <c r="R2000" s="11">
        <v>53730</v>
      </c>
      <c r="S2000" s="8"/>
      <c r="T2000" s="8"/>
      <c r="U2000" s="8"/>
      <c r="V2000" s="8"/>
      <c r="W2000" s="8"/>
    </row>
    <row r="2001" spans="2:23" x14ac:dyDescent="0.2">
      <c r="B2001" s="9"/>
      <c r="C2001" s="9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</row>
    <row r="2003" spans="2:23" ht="15" x14ac:dyDescent="0.2">
      <c r="B2003" s="4" t="s">
        <v>82</v>
      </c>
    </row>
    <row r="2005" spans="2:23" x14ac:dyDescent="0.2">
      <c r="B2005" s="22" t="s">
        <v>89</v>
      </c>
      <c r="E2005" s="22" t="s">
        <v>90</v>
      </c>
    </row>
    <row r="2006" spans="2:23" x14ac:dyDescent="0.2">
      <c r="C2006" s="2" t="s">
        <v>20</v>
      </c>
      <c r="E2006" s="2" t="s">
        <v>1932</v>
      </c>
      <c r="I2006" s="2" t="s">
        <v>19</v>
      </c>
      <c r="P2006" s="2" t="s">
        <v>1933</v>
      </c>
      <c r="T2006" s="5">
        <v>0</v>
      </c>
      <c r="V2006" s="49">
        <v>64460.6</v>
      </c>
      <c r="W2006" s="50"/>
    </row>
    <row r="2007" spans="2:23" x14ac:dyDescent="0.2">
      <c r="B2007" s="22" t="s">
        <v>89</v>
      </c>
      <c r="E2007" s="22" t="s">
        <v>90</v>
      </c>
      <c r="S2007" s="51">
        <v>0</v>
      </c>
      <c r="T2007" s="50"/>
      <c r="U2007" s="51">
        <v>64460.6</v>
      </c>
      <c r="V2007" s="50"/>
      <c r="W2007" s="50"/>
    </row>
    <row r="2008" spans="2:23" x14ac:dyDescent="0.2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8"/>
      <c r="M2008" s="8"/>
      <c r="N2008" s="8"/>
      <c r="O2008" s="8"/>
      <c r="P2008" s="8"/>
      <c r="Q2008" s="8"/>
      <c r="R2008" s="8"/>
      <c r="S2008" s="8"/>
      <c r="T2008" s="8"/>
      <c r="U2008" s="8"/>
      <c r="V2008" s="8"/>
      <c r="W2008" s="8"/>
    </row>
    <row r="2009" spans="2:23" x14ac:dyDescent="0.2">
      <c r="B2009" s="9"/>
      <c r="C2009" s="9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52">
        <v>0</v>
      </c>
      <c r="T2009" s="53"/>
      <c r="U2009" s="52">
        <v>64460.6</v>
      </c>
      <c r="V2009" s="53"/>
      <c r="W2009" s="53"/>
    </row>
    <row r="2010" spans="2:23" x14ac:dyDescent="0.2">
      <c r="B2010" s="8"/>
      <c r="C2010" s="8"/>
      <c r="D2010" s="20" t="s">
        <v>96</v>
      </c>
      <c r="E2010" s="8"/>
      <c r="F2010" s="8"/>
      <c r="G2010" s="8"/>
      <c r="H2010" s="8"/>
      <c r="I2010" s="8"/>
      <c r="J2010" s="8"/>
      <c r="K2010" s="8"/>
      <c r="L2010" s="8"/>
      <c r="M2010" s="8"/>
      <c r="N2010" s="8"/>
      <c r="O2010" s="8"/>
      <c r="P2010" s="8"/>
      <c r="Q2010" s="8"/>
      <c r="R2010" s="11">
        <v>64460.6</v>
      </c>
      <c r="S2010" s="8"/>
      <c r="T2010" s="8"/>
      <c r="U2010" s="8"/>
      <c r="V2010" s="8"/>
      <c r="W2010" s="8"/>
    </row>
    <row r="2011" spans="2:23" x14ac:dyDescent="0.2">
      <c r="B2011" s="9"/>
      <c r="C2011" s="9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</row>
    <row r="2012" spans="2:23" x14ac:dyDescent="0.2">
      <c r="B2012" s="22" t="s">
        <v>7</v>
      </c>
      <c r="D2012" s="22" t="s">
        <v>1926</v>
      </c>
      <c r="O2012" s="20" t="s">
        <v>97</v>
      </c>
      <c r="P2012" s="8"/>
      <c r="Q2012" s="8"/>
      <c r="R2012" s="11">
        <v>10730.6</v>
      </c>
    </row>
    <row r="2013" spans="2:23" x14ac:dyDescent="0.2">
      <c r="O2013" s="9"/>
      <c r="P2013" s="9"/>
      <c r="Q2013" s="9"/>
      <c r="R2013" s="9"/>
    </row>
    <row r="2014" spans="2:23" x14ac:dyDescent="0.2">
      <c r="B2014" s="2" t="s">
        <v>98</v>
      </c>
    </row>
    <row r="2016" spans="2:23" ht="24" customHeight="1" x14ac:dyDescent="0.2">
      <c r="B2016" s="54" t="s">
        <v>0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  <c r="R2016" s="50"/>
      <c r="S2016" s="50"/>
      <c r="T2016" s="50"/>
      <c r="U2016" s="50"/>
      <c r="V2016" s="50"/>
      <c r="W2016" s="50"/>
    </row>
    <row r="2017" spans="2:23" ht="18" x14ac:dyDescent="0.2">
      <c r="B2017" s="1" t="s">
        <v>1</v>
      </c>
      <c r="S2017" s="55" t="s">
        <v>1925</v>
      </c>
      <c r="T2017" s="50"/>
      <c r="U2017" s="50"/>
      <c r="V2017" s="50"/>
      <c r="W2017" s="50"/>
    </row>
    <row r="2018" spans="2:23" ht="12.75" thickBot="1" x14ac:dyDescent="0.25">
      <c r="B2018" s="10" t="s">
        <v>3</v>
      </c>
      <c r="C2018" s="6"/>
      <c r="D2018" s="6"/>
      <c r="E2018" s="6"/>
      <c r="F2018" s="6"/>
      <c r="G2018" s="6"/>
      <c r="H2018" s="6"/>
      <c r="I2018" s="6"/>
      <c r="J2018" s="6"/>
      <c r="K2018" s="6" t="s">
        <v>5</v>
      </c>
      <c r="L2018" s="6"/>
      <c r="M2018" s="6"/>
      <c r="N2018" s="6"/>
      <c r="O2018" s="6"/>
      <c r="P2018" s="6" t="s">
        <v>4</v>
      </c>
      <c r="Q2018" s="6" t="s">
        <v>2730</v>
      </c>
      <c r="R2018" s="6"/>
      <c r="S2018" s="56" t="s">
        <v>6</v>
      </c>
      <c r="T2018" s="57"/>
      <c r="U2018" s="57"/>
      <c r="V2018" s="57"/>
      <c r="W2018" s="57"/>
    </row>
    <row r="2019" spans="2:23" ht="12.75" thickTop="1" x14ac:dyDescent="0.2"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</row>
    <row r="2020" spans="2:23" ht="15.75" x14ac:dyDescent="0.2">
      <c r="B2020" s="3" t="s">
        <v>7</v>
      </c>
      <c r="F2020" s="3" t="s">
        <v>1935</v>
      </c>
    </row>
    <row r="2022" spans="2:23" x14ac:dyDescent="0.2">
      <c r="B2022" s="8"/>
      <c r="C2022" s="20" t="s">
        <v>8</v>
      </c>
      <c r="D2022" s="8"/>
      <c r="E2022" s="20" t="s">
        <v>9</v>
      </c>
      <c r="F2022" s="8"/>
      <c r="G2022" s="8"/>
      <c r="H2022" s="8"/>
      <c r="I2022" s="20" t="s">
        <v>13</v>
      </c>
      <c r="J2022" s="8"/>
      <c r="K2022" s="8"/>
      <c r="L2022" s="20" t="s">
        <v>12</v>
      </c>
      <c r="M2022" s="8"/>
      <c r="N2022" s="8"/>
      <c r="O2022" s="8"/>
      <c r="P2022" s="20" t="s">
        <v>14</v>
      </c>
      <c r="Q2022" s="8"/>
      <c r="R2022" s="8"/>
      <c r="S2022" s="8"/>
      <c r="T2022" s="21" t="s">
        <v>11</v>
      </c>
      <c r="U2022" s="8"/>
      <c r="V2022" s="58" t="s">
        <v>10</v>
      </c>
      <c r="W2022" s="59"/>
    </row>
    <row r="2023" spans="2:23" x14ac:dyDescent="0.2">
      <c r="B2023" s="9"/>
      <c r="C2023" s="9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</row>
    <row r="2024" spans="2:23" ht="15" x14ac:dyDescent="0.2">
      <c r="B2024" s="4" t="s">
        <v>15</v>
      </c>
    </row>
    <row r="2026" spans="2:23" x14ac:dyDescent="0.2">
      <c r="B2026" s="22" t="s">
        <v>747</v>
      </c>
      <c r="E2026" s="22" t="s">
        <v>748</v>
      </c>
    </row>
    <row r="2027" spans="2:23" x14ac:dyDescent="0.2">
      <c r="C2027" s="2" t="s">
        <v>1845</v>
      </c>
      <c r="E2027" s="2" t="s">
        <v>1936</v>
      </c>
      <c r="I2027" s="2" t="s">
        <v>106</v>
      </c>
      <c r="L2027" s="2" t="s">
        <v>1937</v>
      </c>
      <c r="P2027" s="2" t="s">
        <v>1938</v>
      </c>
      <c r="T2027" s="5">
        <v>8000</v>
      </c>
      <c r="V2027" s="49">
        <v>0</v>
      </c>
      <c r="W2027" s="50"/>
    </row>
    <row r="2028" spans="2:23" x14ac:dyDescent="0.2">
      <c r="B2028" s="22" t="s">
        <v>747</v>
      </c>
      <c r="E2028" s="22" t="s">
        <v>748</v>
      </c>
      <c r="S2028" s="51">
        <v>8000</v>
      </c>
      <c r="T2028" s="50"/>
      <c r="U2028" s="51">
        <v>0</v>
      </c>
      <c r="V2028" s="50"/>
      <c r="W2028" s="50"/>
    </row>
    <row r="2030" spans="2:23" x14ac:dyDescent="0.2">
      <c r="B2030" s="22" t="s">
        <v>109</v>
      </c>
      <c r="E2030" s="22" t="s">
        <v>110</v>
      </c>
    </row>
    <row r="2031" spans="2:23" x14ac:dyDescent="0.2">
      <c r="C2031" s="2" t="s">
        <v>371</v>
      </c>
      <c r="E2031" s="2" t="s">
        <v>1939</v>
      </c>
      <c r="I2031" s="2" t="s">
        <v>106</v>
      </c>
      <c r="L2031" s="2" t="s">
        <v>1940</v>
      </c>
      <c r="P2031" s="2" t="s">
        <v>1941</v>
      </c>
      <c r="T2031" s="5">
        <v>10000</v>
      </c>
      <c r="V2031" s="49">
        <v>0</v>
      </c>
      <c r="W2031" s="50"/>
    </row>
    <row r="2032" spans="2:23" x14ac:dyDescent="0.2">
      <c r="B2032" s="22" t="s">
        <v>109</v>
      </c>
      <c r="E2032" s="22" t="s">
        <v>110</v>
      </c>
      <c r="S2032" s="51">
        <v>10000</v>
      </c>
      <c r="T2032" s="50"/>
      <c r="U2032" s="51">
        <v>0</v>
      </c>
      <c r="V2032" s="50"/>
      <c r="W2032" s="50"/>
    </row>
    <row r="2033" spans="2:23" x14ac:dyDescent="0.2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8"/>
      <c r="M2033" s="8"/>
      <c r="N2033" s="8"/>
      <c r="O2033" s="8"/>
      <c r="P2033" s="8"/>
      <c r="Q2033" s="8"/>
      <c r="R2033" s="8"/>
      <c r="S2033" s="8"/>
      <c r="T2033" s="8"/>
      <c r="U2033" s="8"/>
      <c r="V2033" s="8"/>
      <c r="W2033" s="8"/>
    </row>
    <row r="2034" spans="2:23" x14ac:dyDescent="0.2">
      <c r="B2034" s="9"/>
      <c r="C2034" s="9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52">
        <v>18000</v>
      </c>
      <c r="T2034" s="53"/>
      <c r="U2034" s="52">
        <v>0</v>
      </c>
      <c r="V2034" s="53"/>
      <c r="W2034" s="53"/>
    </row>
    <row r="2035" spans="2:23" x14ac:dyDescent="0.2">
      <c r="B2035" s="8"/>
      <c r="C2035" s="8"/>
      <c r="D2035" s="20" t="s">
        <v>81</v>
      </c>
      <c r="E2035" s="8"/>
      <c r="F2035" s="8"/>
      <c r="G2035" s="8"/>
      <c r="H2035" s="8"/>
      <c r="I2035" s="8"/>
      <c r="J2035" s="8"/>
      <c r="K2035" s="8"/>
      <c r="L2035" s="8"/>
      <c r="M2035" s="8"/>
      <c r="N2035" s="8"/>
      <c r="O2035" s="8"/>
      <c r="P2035" s="8"/>
      <c r="Q2035" s="8"/>
      <c r="R2035" s="11">
        <v>18000</v>
      </c>
      <c r="S2035" s="8"/>
      <c r="T2035" s="8"/>
      <c r="U2035" s="8"/>
      <c r="V2035" s="8"/>
      <c r="W2035" s="8"/>
    </row>
    <row r="2036" spans="2:23" x14ac:dyDescent="0.2">
      <c r="B2036" s="9"/>
      <c r="C2036" s="9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</row>
    <row r="2038" spans="2:23" ht="15" x14ac:dyDescent="0.2">
      <c r="B2038" s="4" t="s">
        <v>82</v>
      </c>
    </row>
    <row r="2040" spans="2:23" x14ac:dyDescent="0.2">
      <c r="B2040" s="22" t="s">
        <v>1942</v>
      </c>
      <c r="E2040" s="22" t="s">
        <v>1943</v>
      </c>
    </row>
    <row r="2041" spans="2:23" x14ac:dyDescent="0.2">
      <c r="C2041" s="2" t="s">
        <v>46</v>
      </c>
      <c r="E2041" s="2" t="s">
        <v>1944</v>
      </c>
      <c r="I2041" s="2" t="s">
        <v>19</v>
      </c>
      <c r="P2041" s="2" t="s">
        <v>1870</v>
      </c>
      <c r="T2041" s="5">
        <v>0</v>
      </c>
      <c r="V2041" s="49">
        <v>111850</v>
      </c>
      <c r="W2041" s="50"/>
    </row>
    <row r="2042" spans="2:23" x14ac:dyDescent="0.2">
      <c r="B2042" s="22" t="s">
        <v>1942</v>
      </c>
      <c r="E2042" s="22" t="s">
        <v>1943</v>
      </c>
      <c r="S2042" s="51">
        <v>0</v>
      </c>
      <c r="T2042" s="50"/>
      <c r="U2042" s="51">
        <v>111850</v>
      </c>
      <c r="V2042" s="50"/>
      <c r="W2042" s="50"/>
    </row>
    <row r="2044" spans="2:23" x14ac:dyDescent="0.2">
      <c r="B2044" s="22" t="s">
        <v>1867</v>
      </c>
      <c r="E2044" s="22" t="s">
        <v>1868</v>
      </c>
    </row>
    <row r="2045" spans="2:23" x14ac:dyDescent="0.2">
      <c r="C2045" s="2" t="s">
        <v>31</v>
      </c>
      <c r="E2045" s="2" t="s">
        <v>1945</v>
      </c>
      <c r="I2045" s="2" t="s">
        <v>19</v>
      </c>
      <c r="P2045" s="2" t="s">
        <v>1870</v>
      </c>
      <c r="T2045" s="5">
        <v>0</v>
      </c>
      <c r="V2045" s="49">
        <v>50400</v>
      </c>
      <c r="W2045" s="50"/>
    </row>
    <row r="2046" spans="2:23" x14ac:dyDescent="0.2">
      <c r="C2046" s="2" t="s">
        <v>34</v>
      </c>
      <c r="E2046" s="2" t="s">
        <v>1946</v>
      </c>
      <c r="I2046" s="2" t="s">
        <v>19</v>
      </c>
      <c r="P2046" s="2" t="s">
        <v>1870</v>
      </c>
      <c r="T2046" s="5">
        <v>0</v>
      </c>
      <c r="V2046" s="49">
        <v>11000</v>
      </c>
      <c r="W2046" s="50"/>
    </row>
    <row r="2047" spans="2:23" x14ac:dyDescent="0.2">
      <c r="B2047" s="22" t="s">
        <v>1867</v>
      </c>
      <c r="E2047" s="22" t="s">
        <v>1868</v>
      </c>
      <c r="S2047" s="51">
        <v>0</v>
      </c>
      <c r="T2047" s="50"/>
      <c r="U2047" s="51">
        <v>61400</v>
      </c>
      <c r="V2047" s="50"/>
      <c r="W2047" s="50"/>
    </row>
    <row r="2048" spans="2:23" x14ac:dyDescent="0.2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8"/>
      <c r="M2048" s="8"/>
      <c r="N2048" s="8"/>
      <c r="O2048" s="8"/>
      <c r="P2048" s="8"/>
      <c r="Q2048" s="8"/>
      <c r="R2048" s="8"/>
      <c r="S2048" s="8"/>
      <c r="T2048" s="8"/>
      <c r="U2048" s="8"/>
      <c r="V2048" s="8"/>
      <c r="W2048" s="8"/>
    </row>
    <row r="2049" spans="2:23" x14ac:dyDescent="0.2">
      <c r="B2049" s="9"/>
      <c r="C2049" s="9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52">
        <v>0</v>
      </c>
      <c r="T2049" s="53"/>
      <c r="U2049" s="52">
        <v>173250</v>
      </c>
      <c r="V2049" s="53"/>
      <c r="W2049" s="53"/>
    </row>
    <row r="2050" spans="2:23" x14ac:dyDescent="0.2">
      <c r="B2050" s="8"/>
      <c r="C2050" s="8"/>
      <c r="D2050" s="20" t="s">
        <v>96</v>
      </c>
      <c r="E2050" s="8"/>
      <c r="F2050" s="8"/>
      <c r="G2050" s="8"/>
      <c r="H2050" s="8"/>
      <c r="I2050" s="8"/>
      <c r="J2050" s="8"/>
      <c r="K2050" s="8"/>
      <c r="L2050" s="8"/>
      <c r="M2050" s="8"/>
      <c r="N2050" s="8"/>
      <c r="O2050" s="8"/>
      <c r="P2050" s="8"/>
      <c r="Q2050" s="8"/>
      <c r="R2050" s="11">
        <v>173250</v>
      </c>
      <c r="S2050" s="8"/>
      <c r="T2050" s="8"/>
      <c r="U2050" s="8"/>
      <c r="V2050" s="8"/>
      <c r="W2050" s="8"/>
    </row>
    <row r="2051" spans="2:23" x14ac:dyDescent="0.2">
      <c r="B2051" s="9"/>
      <c r="C2051" s="9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</row>
    <row r="2052" spans="2:23" x14ac:dyDescent="0.2">
      <c r="B2052" s="22" t="s">
        <v>7</v>
      </c>
      <c r="D2052" s="22" t="s">
        <v>1935</v>
      </c>
      <c r="O2052" s="20" t="s">
        <v>97</v>
      </c>
      <c r="P2052" s="8"/>
      <c r="Q2052" s="8"/>
      <c r="R2052" s="11">
        <v>155250</v>
      </c>
    </row>
    <row r="2053" spans="2:23" x14ac:dyDescent="0.2">
      <c r="O2053" s="9"/>
      <c r="P2053" s="9"/>
      <c r="Q2053" s="9"/>
      <c r="R2053" s="9"/>
    </row>
    <row r="2054" spans="2:23" x14ac:dyDescent="0.2">
      <c r="B2054" s="2" t="s">
        <v>98</v>
      </c>
    </row>
    <row r="2056" spans="2:23" ht="24" customHeight="1" x14ac:dyDescent="0.2">
      <c r="B2056" s="54" t="s">
        <v>0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  <c r="R2056" s="50"/>
      <c r="S2056" s="50"/>
      <c r="T2056" s="50"/>
      <c r="U2056" s="50"/>
      <c r="V2056" s="50"/>
      <c r="W2056" s="50"/>
    </row>
    <row r="2057" spans="2:23" ht="18" x14ac:dyDescent="0.2">
      <c r="B2057" s="1" t="s">
        <v>1</v>
      </c>
      <c r="S2057" s="55" t="s">
        <v>1934</v>
      </c>
      <c r="T2057" s="50"/>
      <c r="U2057" s="50"/>
      <c r="V2057" s="50"/>
      <c r="W2057" s="50"/>
    </row>
    <row r="2058" spans="2:23" ht="12.75" thickBot="1" x14ac:dyDescent="0.25">
      <c r="B2058" s="10" t="s">
        <v>3</v>
      </c>
      <c r="C2058" s="6"/>
      <c r="D2058" s="6"/>
      <c r="E2058" s="6"/>
      <c r="F2058" s="6"/>
      <c r="G2058" s="6"/>
      <c r="H2058" s="6"/>
      <c r="I2058" s="6"/>
      <c r="J2058" s="6"/>
      <c r="K2058" s="6" t="s">
        <v>5</v>
      </c>
      <c r="L2058" s="6"/>
      <c r="M2058" s="6"/>
      <c r="N2058" s="6"/>
      <c r="O2058" s="6"/>
      <c r="P2058" s="6" t="s">
        <v>4</v>
      </c>
      <c r="Q2058" s="6" t="s">
        <v>2730</v>
      </c>
      <c r="R2058" s="6"/>
      <c r="S2058" s="56" t="s">
        <v>6</v>
      </c>
      <c r="T2058" s="57"/>
      <c r="U2058" s="57"/>
      <c r="V2058" s="57"/>
      <c r="W2058" s="57"/>
    </row>
    <row r="2059" spans="2:23" ht="12.75" thickTop="1" x14ac:dyDescent="0.2"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</row>
    <row r="2060" spans="2:23" ht="15.75" x14ac:dyDescent="0.2">
      <c r="B2060" s="3" t="s">
        <v>7</v>
      </c>
      <c r="F2060" s="3" t="s">
        <v>1948</v>
      </c>
    </row>
    <row r="2062" spans="2:23" x14ac:dyDescent="0.2">
      <c r="B2062" s="8"/>
      <c r="C2062" s="20" t="s">
        <v>8</v>
      </c>
      <c r="D2062" s="8"/>
      <c r="E2062" s="20" t="s">
        <v>9</v>
      </c>
      <c r="F2062" s="8"/>
      <c r="G2062" s="8"/>
      <c r="H2062" s="8"/>
      <c r="I2062" s="20" t="s">
        <v>13</v>
      </c>
      <c r="J2062" s="8"/>
      <c r="K2062" s="8"/>
      <c r="L2062" s="20" t="s">
        <v>12</v>
      </c>
      <c r="M2062" s="8"/>
      <c r="N2062" s="8"/>
      <c r="O2062" s="8"/>
      <c r="P2062" s="20" t="s">
        <v>14</v>
      </c>
      <c r="Q2062" s="8"/>
      <c r="R2062" s="8"/>
      <c r="S2062" s="8"/>
      <c r="T2062" s="21" t="s">
        <v>11</v>
      </c>
      <c r="U2062" s="8"/>
      <c r="V2062" s="58" t="s">
        <v>10</v>
      </c>
      <c r="W2062" s="59"/>
    </row>
    <row r="2063" spans="2:23" x14ac:dyDescent="0.2">
      <c r="B2063" s="9"/>
      <c r="C2063" s="9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</row>
    <row r="2064" spans="2:23" ht="15" x14ac:dyDescent="0.2">
      <c r="B2064" s="4" t="s">
        <v>15</v>
      </c>
    </row>
    <row r="2066" spans="2:23" x14ac:dyDescent="0.2">
      <c r="B2066" s="22" t="s">
        <v>1949</v>
      </c>
      <c r="E2066" s="22" t="s">
        <v>1950</v>
      </c>
    </row>
    <row r="2067" spans="2:23" x14ac:dyDescent="0.2">
      <c r="C2067" s="2" t="s">
        <v>40</v>
      </c>
      <c r="E2067" s="2" t="s">
        <v>1951</v>
      </c>
      <c r="I2067" s="2" t="s">
        <v>106</v>
      </c>
      <c r="L2067" s="2" t="s">
        <v>575</v>
      </c>
      <c r="P2067" s="2" t="s">
        <v>1952</v>
      </c>
      <c r="T2067" s="5">
        <v>20000</v>
      </c>
      <c r="V2067" s="49">
        <v>0</v>
      </c>
      <c r="W2067" s="50"/>
    </row>
    <row r="2068" spans="2:23" x14ac:dyDescent="0.2">
      <c r="C2068" s="2" t="s">
        <v>43</v>
      </c>
      <c r="E2068" s="2" t="s">
        <v>1953</v>
      </c>
      <c r="I2068" s="2" t="s">
        <v>106</v>
      </c>
      <c r="L2068" s="2" t="s">
        <v>575</v>
      </c>
      <c r="P2068" s="2" t="s">
        <v>1954</v>
      </c>
      <c r="T2068" s="5">
        <v>20000</v>
      </c>
      <c r="V2068" s="49">
        <v>0</v>
      </c>
      <c r="W2068" s="50"/>
    </row>
    <row r="2069" spans="2:23" x14ac:dyDescent="0.2">
      <c r="C2069" s="2" t="s">
        <v>46</v>
      </c>
      <c r="E2069" s="2" t="s">
        <v>1955</v>
      </c>
      <c r="I2069" s="2" t="s">
        <v>106</v>
      </c>
      <c r="L2069" s="2" t="s">
        <v>575</v>
      </c>
      <c r="P2069" s="2" t="s">
        <v>1956</v>
      </c>
      <c r="T2069" s="5">
        <v>20000</v>
      </c>
      <c r="V2069" s="49">
        <v>0</v>
      </c>
      <c r="W2069" s="50"/>
    </row>
    <row r="2070" spans="2:23" x14ac:dyDescent="0.2">
      <c r="C2070" s="2" t="s">
        <v>49</v>
      </c>
      <c r="E2070" s="2" t="s">
        <v>1957</v>
      </c>
      <c r="I2070" s="2" t="s">
        <v>106</v>
      </c>
      <c r="L2070" s="2" t="s">
        <v>575</v>
      </c>
      <c r="P2070" s="2" t="s">
        <v>1958</v>
      </c>
      <c r="T2070" s="5">
        <v>20000</v>
      </c>
      <c r="V2070" s="49">
        <v>0</v>
      </c>
      <c r="W2070" s="50"/>
    </row>
    <row r="2071" spans="2:23" x14ac:dyDescent="0.2">
      <c r="C2071" s="2" t="s">
        <v>52</v>
      </c>
      <c r="E2071" s="2" t="s">
        <v>1959</v>
      </c>
      <c r="I2071" s="2" t="s">
        <v>106</v>
      </c>
      <c r="L2071" s="2" t="s">
        <v>575</v>
      </c>
      <c r="P2071" s="2" t="s">
        <v>1960</v>
      </c>
      <c r="T2071" s="5">
        <v>20000</v>
      </c>
      <c r="V2071" s="49">
        <v>0</v>
      </c>
      <c r="W2071" s="50"/>
    </row>
    <row r="2072" spans="2:23" x14ac:dyDescent="0.2">
      <c r="C2072" s="2" t="s">
        <v>55</v>
      </c>
      <c r="E2072" s="2" t="s">
        <v>1961</v>
      </c>
      <c r="I2072" s="2" t="s">
        <v>106</v>
      </c>
      <c r="L2072" s="2" t="s">
        <v>575</v>
      </c>
      <c r="P2072" s="2" t="s">
        <v>1962</v>
      </c>
      <c r="T2072" s="5">
        <v>20000</v>
      </c>
      <c r="V2072" s="49">
        <v>0</v>
      </c>
      <c r="W2072" s="50"/>
    </row>
    <row r="2073" spans="2:23" x14ac:dyDescent="0.2">
      <c r="C2073" s="2" t="s">
        <v>20</v>
      </c>
      <c r="E2073" s="2" t="s">
        <v>1963</v>
      </c>
      <c r="I2073" s="2" t="s">
        <v>106</v>
      </c>
      <c r="L2073" s="2" t="s">
        <v>575</v>
      </c>
      <c r="P2073" s="2" t="s">
        <v>1964</v>
      </c>
      <c r="T2073" s="5">
        <v>20000</v>
      </c>
      <c r="V2073" s="49">
        <v>0</v>
      </c>
      <c r="W2073" s="50"/>
    </row>
    <row r="2074" spans="2:23" x14ac:dyDescent="0.2">
      <c r="B2074" s="22" t="s">
        <v>1949</v>
      </c>
      <c r="E2074" s="22" t="s">
        <v>1950</v>
      </c>
      <c r="S2074" s="51">
        <v>140000</v>
      </c>
      <c r="T2074" s="50"/>
      <c r="U2074" s="51">
        <v>0</v>
      </c>
      <c r="V2074" s="50"/>
      <c r="W2074" s="50"/>
    </row>
    <row r="2076" spans="2:23" x14ac:dyDescent="0.2">
      <c r="B2076" s="22" t="s">
        <v>1965</v>
      </c>
      <c r="E2076" s="22" t="s">
        <v>1966</v>
      </c>
    </row>
    <row r="2077" spans="2:23" x14ac:dyDescent="0.2">
      <c r="C2077" s="2" t="s">
        <v>25</v>
      </c>
      <c r="E2077" s="2" t="s">
        <v>1967</v>
      </c>
      <c r="I2077" s="2" t="s">
        <v>106</v>
      </c>
      <c r="L2077" s="2" t="s">
        <v>133</v>
      </c>
      <c r="P2077" s="2" t="s">
        <v>1968</v>
      </c>
      <c r="T2077" s="5">
        <v>2000</v>
      </c>
      <c r="V2077" s="49">
        <v>0</v>
      </c>
      <c r="W2077" s="50"/>
    </row>
    <row r="2078" spans="2:23" x14ac:dyDescent="0.2">
      <c r="C2078" s="2" t="s">
        <v>28</v>
      </c>
      <c r="E2078" s="2" t="s">
        <v>1969</v>
      </c>
      <c r="I2078" s="2" t="s">
        <v>106</v>
      </c>
      <c r="L2078" s="2" t="s">
        <v>133</v>
      </c>
      <c r="P2078" s="2" t="s">
        <v>1970</v>
      </c>
      <c r="T2078" s="5">
        <v>2000</v>
      </c>
      <c r="V2078" s="49">
        <v>0</v>
      </c>
      <c r="W2078" s="50"/>
    </row>
    <row r="2079" spans="2:23" x14ac:dyDescent="0.2">
      <c r="C2079" s="2" t="s">
        <v>31</v>
      </c>
      <c r="E2079" s="2" t="s">
        <v>1971</v>
      </c>
      <c r="I2079" s="2" t="s">
        <v>106</v>
      </c>
      <c r="L2079" s="2" t="s">
        <v>133</v>
      </c>
      <c r="P2079" s="2" t="s">
        <v>1972</v>
      </c>
      <c r="T2079" s="5">
        <v>2000</v>
      </c>
      <c r="V2079" s="49">
        <v>0</v>
      </c>
      <c r="W2079" s="50"/>
    </row>
    <row r="2080" spans="2:23" x14ac:dyDescent="0.2">
      <c r="C2080" s="2" t="s">
        <v>37</v>
      </c>
      <c r="E2080" s="2" t="s">
        <v>1973</v>
      </c>
      <c r="I2080" s="2" t="s">
        <v>106</v>
      </c>
      <c r="L2080" s="2" t="s">
        <v>133</v>
      </c>
      <c r="P2080" s="2" t="s">
        <v>1974</v>
      </c>
      <c r="T2080" s="5">
        <v>2000</v>
      </c>
      <c r="V2080" s="49">
        <v>0</v>
      </c>
      <c r="W2080" s="50"/>
    </row>
    <row r="2081" spans="2:23" x14ac:dyDescent="0.2">
      <c r="C2081" s="2" t="s">
        <v>37</v>
      </c>
      <c r="E2081" s="2" t="s">
        <v>1975</v>
      </c>
      <c r="I2081" s="2" t="s">
        <v>106</v>
      </c>
      <c r="L2081" s="2" t="s">
        <v>133</v>
      </c>
      <c r="P2081" s="2" t="s">
        <v>1976</v>
      </c>
      <c r="T2081" s="5">
        <v>2000</v>
      </c>
      <c r="V2081" s="49">
        <v>0</v>
      </c>
      <c r="W2081" s="50"/>
    </row>
    <row r="2082" spans="2:23" x14ac:dyDescent="0.2">
      <c r="C2082" s="2" t="s">
        <v>40</v>
      </c>
      <c r="E2082" s="2" t="s">
        <v>1977</v>
      </c>
      <c r="I2082" s="2" t="s">
        <v>106</v>
      </c>
      <c r="L2082" s="2" t="s">
        <v>133</v>
      </c>
      <c r="P2082" s="2" t="s">
        <v>1978</v>
      </c>
      <c r="T2082" s="5">
        <v>2000</v>
      </c>
      <c r="V2082" s="49">
        <v>0</v>
      </c>
      <c r="W2082" s="50"/>
    </row>
    <row r="2083" spans="2:23" x14ac:dyDescent="0.2">
      <c r="B2083" s="22" t="s">
        <v>1965</v>
      </c>
      <c r="E2083" s="22" t="s">
        <v>1966</v>
      </c>
      <c r="S2083" s="51">
        <v>12000</v>
      </c>
      <c r="T2083" s="50"/>
      <c r="U2083" s="51">
        <v>0</v>
      </c>
      <c r="V2083" s="50"/>
      <c r="W2083" s="50"/>
    </row>
    <row r="2084" spans="2:23" x14ac:dyDescent="0.2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8"/>
      <c r="M2084" s="8"/>
      <c r="N2084" s="8"/>
      <c r="O2084" s="8"/>
      <c r="P2084" s="8"/>
      <c r="Q2084" s="8"/>
      <c r="R2084" s="8"/>
      <c r="S2084" s="8"/>
      <c r="T2084" s="8"/>
      <c r="U2084" s="8"/>
      <c r="V2084" s="8"/>
      <c r="W2084" s="8"/>
    </row>
    <row r="2085" spans="2:23" x14ac:dyDescent="0.2">
      <c r="B2085" s="9"/>
      <c r="C2085" s="9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52">
        <v>152000</v>
      </c>
      <c r="T2085" s="53"/>
      <c r="U2085" s="52">
        <v>0</v>
      </c>
      <c r="V2085" s="53"/>
      <c r="W2085" s="53"/>
    </row>
    <row r="2086" spans="2:23" x14ac:dyDescent="0.2">
      <c r="B2086" s="8"/>
      <c r="C2086" s="8"/>
      <c r="D2086" s="20" t="s">
        <v>81</v>
      </c>
      <c r="E2086" s="8"/>
      <c r="F2086" s="8"/>
      <c r="G2086" s="8"/>
      <c r="H2086" s="8"/>
      <c r="I2086" s="8"/>
      <c r="J2086" s="8"/>
      <c r="K2086" s="8"/>
      <c r="L2086" s="8"/>
      <c r="M2086" s="8"/>
      <c r="N2086" s="8"/>
      <c r="O2086" s="8"/>
      <c r="P2086" s="8"/>
      <c r="Q2086" s="8"/>
      <c r="R2086" s="11">
        <v>152000</v>
      </c>
      <c r="S2086" s="8"/>
      <c r="T2086" s="8"/>
      <c r="U2086" s="8"/>
      <c r="V2086" s="8"/>
      <c r="W2086" s="8"/>
    </row>
    <row r="2087" spans="2:23" x14ac:dyDescent="0.2">
      <c r="B2087" s="9"/>
      <c r="C2087" s="9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</row>
    <row r="2089" spans="2:23" ht="15" x14ac:dyDescent="0.2">
      <c r="B2089" s="4" t="s">
        <v>82</v>
      </c>
    </row>
    <row r="2091" spans="2:23" x14ac:dyDescent="0.2">
      <c r="B2091" s="22" t="s">
        <v>1979</v>
      </c>
      <c r="E2091" s="22" t="s">
        <v>2734</v>
      </c>
    </row>
    <row r="2092" spans="2:23" x14ac:dyDescent="0.2">
      <c r="C2092" s="2" t="s">
        <v>1982</v>
      </c>
      <c r="E2092" s="2" t="s">
        <v>1980</v>
      </c>
      <c r="I2092" s="2" t="s">
        <v>87</v>
      </c>
      <c r="L2092" s="2" t="s">
        <v>1981</v>
      </c>
      <c r="P2092" s="2" t="s">
        <v>1983</v>
      </c>
      <c r="T2092" s="5">
        <v>0</v>
      </c>
      <c r="V2092" s="49">
        <v>20000</v>
      </c>
      <c r="W2092" s="50"/>
    </row>
    <row r="2093" spans="2:23" x14ac:dyDescent="0.2">
      <c r="B2093" s="22" t="s">
        <v>1979</v>
      </c>
      <c r="E2093" s="22" t="s">
        <v>2734</v>
      </c>
      <c r="S2093" s="51">
        <v>0</v>
      </c>
      <c r="T2093" s="50"/>
      <c r="U2093" s="51">
        <v>20000</v>
      </c>
      <c r="V2093" s="50"/>
      <c r="W2093" s="50"/>
    </row>
    <row r="2094" spans="2:23" x14ac:dyDescent="0.2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8"/>
      <c r="M2094" s="8"/>
      <c r="N2094" s="8"/>
      <c r="O2094" s="8"/>
      <c r="P2094" s="8"/>
      <c r="Q2094" s="8"/>
      <c r="R2094" s="8"/>
      <c r="S2094" s="8"/>
      <c r="T2094" s="8"/>
      <c r="U2094" s="8"/>
      <c r="V2094" s="8"/>
      <c r="W2094" s="8"/>
    </row>
    <row r="2095" spans="2:23" x14ac:dyDescent="0.2">
      <c r="B2095" s="9"/>
      <c r="C2095" s="9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52">
        <v>0</v>
      </c>
      <c r="T2095" s="53"/>
      <c r="U2095" s="52">
        <v>20000</v>
      </c>
      <c r="V2095" s="53"/>
      <c r="W2095" s="53"/>
    </row>
    <row r="2096" spans="2:23" x14ac:dyDescent="0.2">
      <c r="B2096" s="8"/>
      <c r="C2096" s="8"/>
      <c r="D2096" s="20" t="s">
        <v>96</v>
      </c>
      <c r="E2096" s="8"/>
      <c r="F2096" s="8"/>
      <c r="G2096" s="8"/>
      <c r="H2096" s="8"/>
      <c r="I2096" s="8"/>
      <c r="J2096" s="8"/>
      <c r="K2096" s="8"/>
      <c r="L2096" s="8"/>
      <c r="M2096" s="8"/>
      <c r="N2096" s="8"/>
      <c r="O2096" s="8"/>
      <c r="P2096" s="8"/>
      <c r="Q2096" s="8"/>
      <c r="R2096" s="11">
        <v>20000</v>
      </c>
      <c r="S2096" s="8"/>
      <c r="T2096" s="8"/>
      <c r="U2096" s="8"/>
      <c r="V2096" s="8"/>
      <c r="W2096" s="8"/>
    </row>
    <row r="2097" spans="2:23" x14ac:dyDescent="0.2">
      <c r="B2097" s="9"/>
      <c r="C2097" s="9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</row>
    <row r="2098" spans="2:23" x14ac:dyDescent="0.2">
      <c r="B2098" s="22" t="s">
        <v>7</v>
      </c>
      <c r="D2098" s="22" t="s">
        <v>1948</v>
      </c>
      <c r="O2098" s="20" t="s">
        <v>97</v>
      </c>
      <c r="P2098" s="8"/>
      <c r="Q2098" s="8"/>
      <c r="R2098" s="11">
        <v>-132000</v>
      </c>
    </row>
    <row r="2099" spans="2:23" x14ac:dyDescent="0.2">
      <c r="O2099" s="9"/>
      <c r="P2099" s="9"/>
      <c r="Q2099" s="9"/>
      <c r="R2099" s="9"/>
    </row>
    <row r="2100" spans="2:23" x14ac:dyDescent="0.2">
      <c r="B2100" s="2" t="s">
        <v>98</v>
      </c>
    </row>
    <row r="2102" spans="2:23" ht="24" customHeight="1" x14ac:dyDescent="0.2">
      <c r="B2102" s="54" t="s">
        <v>0</v>
      </c>
      <c r="C2102" s="50"/>
      <c r="D2102" s="50"/>
      <c r="E2102" s="50"/>
      <c r="F2102" s="50"/>
      <c r="G2102" s="50"/>
      <c r="H2102" s="50"/>
      <c r="I2102" s="50"/>
      <c r="J2102" s="50"/>
      <c r="K2102" s="50"/>
      <c r="L2102" s="50"/>
      <c r="M2102" s="50"/>
      <c r="N2102" s="50"/>
      <c r="O2102" s="50"/>
      <c r="P2102" s="50"/>
      <c r="Q2102" s="50"/>
      <c r="R2102" s="50"/>
      <c r="S2102" s="50"/>
      <c r="T2102" s="50"/>
      <c r="U2102" s="50"/>
      <c r="V2102" s="50"/>
      <c r="W2102" s="50"/>
    </row>
    <row r="2103" spans="2:23" ht="18" x14ac:dyDescent="0.2">
      <c r="B2103" s="1" t="s">
        <v>1</v>
      </c>
      <c r="S2103" s="55" t="s">
        <v>1947</v>
      </c>
      <c r="T2103" s="50"/>
      <c r="U2103" s="50"/>
      <c r="V2103" s="50"/>
      <c r="W2103" s="50"/>
    </row>
    <row r="2104" spans="2:23" ht="12.75" thickBot="1" x14ac:dyDescent="0.25">
      <c r="B2104" s="10" t="s">
        <v>3</v>
      </c>
      <c r="C2104" s="6"/>
      <c r="D2104" s="6"/>
      <c r="E2104" s="6"/>
      <c r="F2104" s="6"/>
      <c r="G2104" s="6"/>
      <c r="H2104" s="6"/>
      <c r="I2104" s="6"/>
      <c r="J2104" s="6"/>
      <c r="K2104" s="6" t="s">
        <v>5</v>
      </c>
      <c r="L2104" s="6"/>
      <c r="M2104" s="6"/>
      <c r="N2104" s="6"/>
      <c r="O2104" s="6"/>
      <c r="P2104" s="6" t="s">
        <v>4</v>
      </c>
      <c r="Q2104" s="6" t="s">
        <v>2730</v>
      </c>
      <c r="R2104" s="6"/>
      <c r="S2104" s="56" t="s">
        <v>6</v>
      </c>
      <c r="T2104" s="57"/>
      <c r="U2104" s="57"/>
      <c r="V2104" s="57"/>
      <c r="W2104" s="57"/>
    </row>
    <row r="2105" spans="2:23" ht="12.75" thickTop="1" x14ac:dyDescent="0.2"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</row>
    <row r="2106" spans="2:23" ht="15.75" x14ac:dyDescent="0.2">
      <c r="B2106" s="3" t="s">
        <v>7</v>
      </c>
      <c r="F2106" s="3" t="s">
        <v>1985</v>
      </c>
    </row>
    <row r="2108" spans="2:23" x14ac:dyDescent="0.2">
      <c r="B2108" s="8"/>
      <c r="C2108" s="20" t="s">
        <v>8</v>
      </c>
      <c r="D2108" s="8"/>
      <c r="E2108" s="20" t="s">
        <v>9</v>
      </c>
      <c r="F2108" s="8"/>
      <c r="G2108" s="8"/>
      <c r="H2108" s="8"/>
      <c r="I2108" s="20" t="s">
        <v>13</v>
      </c>
      <c r="J2108" s="8"/>
      <c r="K2108" s="8"/>
      <c r="L2108" s="20" t="s">
        <v>12</v>
      </c>
      <c r="M2108" s="8"/>
      <c r="N2108" s="8"/>
      <c r="O2108" s="8"/>
      <c r="P2108" s="20" t="s">
        <v>14</v>
      </c>
      <c r="Q2108" s="8"/>
      <c r="R2108" s="8"/>
      <c r="S2108" s="8"/>
      <c r="T2108" s="21" t="s">
        <v>11</v>
      </c>
      <c r="U2108" s="8"/>
      <c r="V2108" s="58" t="s">
        <v>10</v>
      </c>
      <c r="W2108" s="59"/>
    </row>
    <row r="2109" spans="2:23" x14ac:dyDescent="0.2">
      <c r="B2109" s="9"/>
      <c r="C2109" s="9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</row>
    <row r="2110" spans="2:23" ht="15" x14ac:dyDescent="0.2">
      <c r="B2110" s="4" t="s">
        <v>15</v>
      </c>
    </row>
    <row r="2112" spans="2:23" x14ac:dyDescent="0.2">
      <c r="B2112" s="22" t="s">
        <v>109</v>
      </c>
      <c r="E2112" s="22" t="s">
        <v>110</v>
      </c>
    </row>
    <row r="2113" spans="2:23" x14ac:dyDescent="0.2">
      <c r="C2113" s="2" t="s">
        <v>43</v>
      </c>
      <c r="E2113" s="2" t="s">
        <v>1986</v>
      </c>
      <c r="I2113" s="2" t="s">
        <v>106</v>
      </c>
      <c r="L2113" s="2" t="s">
        <v>360</v>
      </c>
      <c r="P2113" s="2" t="s">
        <v>1987</v>
      </c>
      <c r="T2113" s="5">
        <v>7000</v>
      </c>
      <c r="V2113" s="49">
        <v>0</v>
      </c>
      <c r="W2113" s="50"/>
    </row>
    <row r="2114" spans="2:23" x14ac:dyDescent="0.2">
      <c r="C2114" s="2" t="s">
        <v>46</v>
      </c>
      <c r="E2114" s="2" t="s">
        <v>1988</v>
      </c>
      <c r="I2114" s="2" t="s">
        <v>106</v>
      </c>
      <c r="L2114" s="2" t="s">
        <v>360</v>
      </c>
      <c r="P2114" s="2" t="s">
        <v>1989</v>
      </c>
      <c r="T2114" s="5">
        <v>6500</v>
      </c>
      <c r="V2114" s="49">
        <v>0</v>
      </c>
      <c r="W2114" s="50"/>
    </row>
    <row r="2115" spans="2:23" x14ac:dyDescent="0.2">
      <c r="B2115" s="22" t="s">
        <v>109</v>
      </c>
      <c r="E2115" s="22" t="s">
        <v>110</v>
      </c>
      <c r="S2115" s="51">
        <v>13500</v>
      </c>
      <c r="T2115" s="50"/>
      <c r="U2115" s="51">
        <v>0</v>
      </c>
      <c r="V2115" s="50"/>
      <c r="W2115" s="50"/>
    </row>
    <row r="2117" spans="2:23" x14ac:dyDescent="0.2">
      <c r="B2117" s="22" t="s">
        <v>1990</v>
      </c>
      <c r="E2117" s="22" t="s">
        <v>1991</v>
      </c>
    </row>
    <row r="2118" spans="2:23" x14ac:dyDescent="0.2">
      <c r="C2118" s="2" t="s">
        <v>25</v>
      </c>
      <c r="E2118" s="2" t="s">
        <v>1992</v>
      </c>
      <c r="I2118" s="2" t="s">
        <v>106</v>
      </c>
      <c r="L2118" s="2" t="s">
        <v>360</v>
      </c>
      <c r="P2118" s="2" t="s">
        <v>1993</v>
      </c>
      <c r="T2118" s="5">
        <v>23000</v>
      </c>
      <c r="V2118" s="49">
        <v>0</v>
      </c>
      <c r="W2118" s="50"/>
    </row>
    <row r="2119" spans="2:23" x14ac:dyDescent="0.2">
      <c r="C2119" s="2" t="s">
        <v>28</v>
      </c>
      <c r="E2119" s="2" t="s">
        <v>1994</v>
      </c>
      <c r="I2119" s="2" t="s">
        <v>106</v>
      </c>
      <c r="L2119" s="2" t="s">
        <v>360</v>
      </c>
      <c r="P2119" s="2" t="s">
        <v>1995</v>
      </c>
      <c r="T2119" s="5">
        <v>23000</v>
      </c>
      <c r="V2119" s="49">
        <v>0</v>
      </c>
      <c r="W2119" s="50"/>
    </row>
    <row r="2120" spans="2:23" x14ac:dyDescent="0.2">
      <c r="C2120" s="2" t="s">
        <v>31</v>
      </c>
      <c r="E2120" s="2" t="s">
        <v>1996</v>
      </c>
      <c r="I2120" s="2" t="s">
        <v>106</v>
      </c>
      <c r="L2120" s="2" t="s">
        <v>360</v>
      </c>
      <c r="P2120" s="2" t="s">
        <v>1997</v>
      </c>
      <c r="T2120" s="5">
        <v>23000</v>
      </c>
      <c r="V2120" s="49">
        <v>0</v>
      </c>
      <c r="W2120" s="50"/>
    </row>
    <row r="2121" spans="2:23" x14ac:dyDescent="0.2">
      <c r="C2121" s="2" t="s">
        <v>34</v>
      </c>
      <c r="E2121" s="2" t="s">
        <v>1998</v>
      </c>
      <c r="I2121" s="2" t="s">
        <v>106</v>
      </c>
      <c r="L2121" s="2" t="s">
        <v>360</v>
      </c>
      <c r="P2121" s="2" t="s">
        <v>1999</v>
      </c>
      <c r="T2121" s="5">
        <v>23000</v>
      </c>
      <c r="V2121" s="49">
        <v>0</v>
      </c>
      <c r="W2121" s="50"/>
    </row>
    <row r="2122" spans="2:23" x14ac:dyDescent="0.2">
      <c r="C2122" s="2" t="s">
        <v>37</v>
      </c>
      <c r="E2122" s="2" t="s">
        <v>2000</v>
      </c>
      <c r="I2122" s="2" t="s">
        <v>106</v>
      </c>
      <c r="L2122" s="2" t="s">
        <v>360</v>
      </c>
      <c r="P2122" s="2" t="s">
        <v>2001</v>
      </c>
      <c r="T2122" s="5">
        <v>23000</v>
      </c>
      <c r="V2122" s="49">
        <v>0</v>
      </c>
      <c r="W2122" s="50"/>
    </row>
    <row r="2123" spans="2:23" x14ac:dyDescent="0.2">
      <c r="C2123" s="2" t="s">
        <v>40</v>
      </c>
      <c r="E2123" s="2" t="s">
        <v>2002</v>
      </c>
      <c r="I2123" s="2" t="s">
        <v>106</v>
      </c>
      <c r="L2123" s="2" t="s">
        <v>360</v>
      </c>
      <c r="P2123" s="2" t="s">
        <v>2003</v>
      </c>
      <c r="T2123" s="5">
        <v>23000</v>
      </c>
      <c r="V2123" s="49">
        <v>0</v>
      </c>
      <c r="W2123" s="50"/>
    </row>
    <row r="2124" spans="2:23" x14ac:dyDescent="0.2">
      <c r="C2124" s="2" t="s">
        <v>40</v>
      </c>
      <c r="E2124" s="2" t="s">
        <v>2004</v>
      </c>
      <c r="I2124" s="2" t="s">
        <v>106</v>
      </c>
      <c r="L2124" s="2" t="s">
        <v>360</v>
      </c>
      <c r="P2124" s="2" t="s">
        <v>2005</v>
      </c>
      <c r="T2124" s="5">
        <v>12000</v>
      </c>
      <c r="V2124" s="49">
        <v>0</v>
      </c>
      <c r="W2124" s="50"/>
    </row>
    <row r="2125" spans="2:23" x14ac:dyDescent="0.2">
      <c r="C2125" s="2" t="s">
        <v>43</v>
      </c>
      <c r="E2125" s="2" t="s">
        <v>2006</v>
      </c>
      <c r="I2125" s="2" t="s">
        <v>106</v>
      </c>
      <c r="L2125" s="2" t="s">
        <v>360</v>
      </c>
      <c r="P2125" s="2" t="s">
        <v>2007</v>
      </c>
      <c r="T2125" s="5">
        <v>24000</v>
      </c>
      <c r="V2125" s="49">
        <v>0</v>
      </c>
      <c r="W2125" s="50"/>
    </row>
    <row r="2126" spans="2:23" x14ac:dyDescent="0.2">
      <c r="C2126" s="2" t="s">
        <v>46</v>
      </c>
      <c r="E2126" s="2" t="s">
        <v>2008</v>
      </c>
      <c r="I2126" s="2" t="s">
        <v>106</v>
      </c>
      <c r="L2126" s="2" t="s">
        <v>360</v>
      </c>
      <c r="P2126" s="2" t="s">
        <v>2009</v>
      </c>
      <c r="T2126" s="5">
        <v>30000</v>
      </c>
      <c r="V2126" s="49">
        <v>0</v>
      </c>
      <c r="W2126" s="50"/>
    </row>
    <row r="2127" spans="2:23" x14ac:dyDescent="0.2">
      <c r="C2127" s="2" t="s">
        <v>49</v>
      </c>
      <c r="E2127" s="2" t="s">
        <v>2010</v>
      </c>
      <c r="I2127" s="2" t="s">
        <v>106</v>
      </c>
      <c r="L2127" s="2" t="s">
        <v>360</v>
      </c>
      <c r="P2127" s="2" t="s">
        <v>2011</v>
      </c>
      <c r="T2127" s="5">
        <v>30000</v>
      </c>
      <c r="V2127" s="49">
        <v>0</v>
      </c>
      <c r="W2127" s="50"/>
    </row>
    <row r="2128" spans="2:23" x14ac:dyDescent="0.2">
      <c r="C2128" s="2" t="s">
        <v>52</v>
      </c>
      <c r="E2128" s="2" t="s">
        <v>2012</v>
      </c>
      <c r="I2128" s="2" t="s">
        <v>106</v>
      </c>
      <c r="L2128" s="2" t="s">
        <v>360</v>
      </c>
      <c r="P2128" s="2" t="s">
        <v>2013</v>
      </c>
      <c r="T2128" s="5">
        <v>30000</v>
      </c>
      <c r="V2128" s="49">
        <v>0</v>
      </c>
      <c r="W2128" s="50"/>
    </row>
    <row r="2129" spans="2:23" x14ac:dyDescent="0.2">
      <c r="C2129" s="2" t="s">
        <v>55</v>
      </c>
      <c r="E2129" s="2" t="s">
        <v>2014</v>
      </c>
      <c r="I2129" s="2" t="s">
        <v>106</v>
      </c>
      <c r="L2129" s="2" t="s">
        <v>360</v>
      </c>
      <c r="P2129" s="2" t="s">
        <v>2015</v>
      </c>
      <c r="T2129" s="5">
        <v>30000</v>
      </c>
      <c r="V2129" s="49">
        <v>0</v>
      </c>
      <c r="W2129" s="50"/>
    </row>
    <row r="2130" spans="2:23" x14ac:dyDescent="0.2">
      <c r="C2130" s="2" t="s">
        <v>20</v>
      </c>
      <c r="E2130" s="2" t="s">
        <v>2016</v>
      </c>
      <c r="I2130" s="2" t="s">
        <v>106</v>
      </c>
      <c r="L2130" s="2" t="s">
        <v>360</v>
      </c>
      <c r="P2130" s="2" t="s">
        <v>2017</v>
      </c>
      <c r="T2130" s="5">
        <v>30000</v>
      </c>
      <c r="V2130" s="49">
        <v>0</v>
      </c>
      <c r="W2130" s="50"/>
    </row>
    <row r="2131" spans="2:23" x14ac:dyDescent="0.2">
      <c r="C2131" s="2" t="s">
        <v>20</v>
      </c>
      <c r="E2131" s="2" t="s">
        <v>2735</v>
      </c>
      <c r="I2131" s="2" t="s">
        <v>106</v>
      </c>
      <c r="L2131" s="2" t="s">
        <v>360</v>
      </c>
      <c r="P2131" s="2" t="s">
        <v>2736</v>
      </c>
      <c r="T2131" s="5">
        <v>10500</v>
      </c>
      <c r="V2131" s="49">
        <v>0</v>
      </c>
      <c r="W2131" s="50"/>
    </row>
    <row r="2132" spans="2:23" x14ac:dyDescent="0.2">
      <c r="B2132" s="22" t="s">
        <v>1990</v>
      </c>
      <c r="E2132" s="22" t="s">
        <v>1991</v>
      </c>
      <c r="S2132" s="51">
        <v>334500</v>
      </c>
      <c r="T2132" s="50"/>
      <c r="U2132" s="51">
        <v>0</v>
      </c>
      <c r="V2132" s="50"/>
      <c r="W2132" s="50"/>
    </row>
    <row r="2133" spans="2:23" x14ac:dyDescent="0.2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8"/>
      <c r="M2133" s="8"/>
      <c r="N2133" s="8"/>
      <c r="O2133" s="8"/>
      <c r="P2133" s="8"/>
      <c r="Q2133" s="8"/>
      <c r="R2133" s="8"/>
      <c r="S2133" s="8"/>
      <c r="T2133" s="8"/>
      <c r="U2133" s="8"/>
      <c r="V2133" s="8"/>
      <c r="W2133" s="8"/>
    </row>
    <row r="2134" spans="2:23" x14ac:dyDescent="0.2">
      <c r="B2134" s="9"/>
      <c r="C2134" s="9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52">
        <v>348000</v>
      </c>
      <c r="T2134" s="53"/>
      <c r="U2134" s="52">
        <v>0</v>
      </c>
      <c r="V2134" s="53"/>
      <c r="W2134" s="53"/>
    </row>
    <row r="2135" spans="2:23" x14ac:dyDescent="0.2">
      <c r="B2135" s="8"/>
      <c r="C2135" s="8"/>
      <c r="D2135" s="20" t="s">
        <v>81</v>
      </c>
      <c r="E2135" s="8"/>
      <c r="F2135" s="8"/>
      <c r="G2135" s="8"/>
      <c r="H2135" s="8"/>
      <c r="I2135" s="8"/>
      <c r="J2135" s="8"/>
      <c r="K2135" s="8"/>
      <c r="L2135" s="8"/>
      <c r="M2135" s="8"/>
      <c r="N2135" s="8"/>
      <c r="O2135" s="8"/>
      <c r="P2135" s="8"/>
      <c r="Q2135" s="8"/>
      <c r="R2135" s="11">
        <v>348000</v>
      </c>
      <c r="S2135" s="8"/>
      <c r="T2135" s="8"/>
      <c r="U2135" s="8"/>
      <c r="V2135" s="8"/>
      <c r="W2135" s="8"/>
    </row>
    <row r="2136" spans="2:23" x14ac:dyDescent="0.2">
      <c r="B2136" s="9"/>
      <c r="C2136" s="9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9"/>
      <c r="U2136" s="9"/>
      <c r="V2136" s="9"/>
      <c r="W2136" s="9"/>
    </row>
    <row r="2138" spans="2:23" ht="15" x14ac:dyDescent="0.2">
      <c r="B2138" s="4" t="s">
        <v>82</v>
      </c>
    </row>
    <row r="2140" spans="2:23" x14ac:dyDescent="0.2">
      <c r="B2140" s="22" t="s">
        <v>1979</v>
      </c>
      <c r="E2140" s="22" t="s">
        <v>2734</v>
      </c>
    </row>
    <row r="2141" spans="2:23" x14ac:dyDescent="0.2">
      <c r="C2141" s="2" t="s">
        <v>1982</v>
      </c>
      <c r="E2141" s="2" t="s">
        <v>2018</v>
      </c>
      <c r="I2141" s="2" t="s">
        <v>87</v>
      </c>
      <c r="L2141" s="2" t="s">
        <v>1981</v>
      </c>
      <c r="P2141" s="2" t="s">
        <v>2019</v>
      </c>
      <c r="T2141" s="5">
        <v>0</v>
      </c>
      <c r="V2141" s="49">
        <v>50000</v>
      </c>
      <c r="W2141" s="50"/>
    </row>
    <row r="2142" spans="2:23" x14ac:dyDescent="0.2">
      <c r="B2142" s="22" t="s">
        <v>1979</v>
      </c>
      <c r="E2142" s="22" t="s">
        <v>2734</v>
      </c>
      <c r="S2142" s="51">
        <v>0</v>
      </c>
      <c r="T2142" s="50"/>
      <c r="U2142" s="51">
        <v>50000</v>
      </c>
      <c r="V2142" s="50"/>
      <c r="W2142" s="50"/>
    </row>
    <row r="2143" spans="2:23" x14ac:dyDescent="0.2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8"/>
      <c r="M2143" s="8"/>
      <c r="N2143" s="8"/>
      <c r="O2143" s="8"/>
      <c r="P2143" s="8"/>
      <c r="Q2143" s="8"/>
      <c r="R2143" s="8"/>
      <c r="S2143" s="8"/>
      <c r="T2143" s="8"/>
      <c r="U2143" s="8"/>
      <c r="V2143" s="8"/>
      <c r="W2143" s="8"/>
    </row>
    <row r="2144" spans="2:23" x14ac:dyDescent="0.2">
      <c r="B2144" s="9"/>
      <c r="C2144" s="9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52">
        <v>0</v>
      </c>
      <c r="T2144" s="53"/>
      <c r="U2144" s="52">
        <v>50000</v>
      </c>
      <c r="V2144" s="53"/>
      <c r="W2144" s="53"/>
    </row>
    <row r="2145" spans="2:23" x14ac:dyDescent="0.2">
      <c r="B2145" s="8"/>
      <c r="C2145" s="8"/>
      <c r="D2145" s="20" t="s">
        <v>96</v>
      </c>
      <c r="E2145" s="8"/>
      <c r="F2145" s="8"/>
      <c r="G2145" s="8"/>
      <c r="H2145" s="8"/>
      <c r="I2145" s="8"/>
      <c r="J2145" s="8"/>
      <c r="K2145" s="8"/>
      <c r="L2145" s="8"/>
      <c r="M2145" s="8"/>
      <c r="N2145" s="8"/>
      <c r="O2145" s="8"/>
      <c r="P2145" s="8"/>
      <c r="Q2145" s="8"/>
      <c r="R2145" s="11">
        <v>50000</v>
      </c>
      <c r="S2145" s="8"/>
      <c r="T2145" s="8"/>
      <c r="U2145" s="8"/>
      <c r="V2145" s="8"/>
      <c r="W2145" s="8"/>
    </row>
    <row r="2146" spans="2:23" x14ac:dyDescent="0.2">
      <c r="B2146" s="9"/>
      <c r="C2146" s="9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9"/>
      <c r="U2146" s="9"/>
      <c r="V2146" s="9"/>
      <c r="W2146" s="9"/>
    </row>
    <row r="2147" spans="2:23" x14ac:dyDescent="0.2">
      <c r="B2147" s="22" t="s">
        <v>7</v>
      </c>
      <c r="D2147" s="22" t="s">
        <v>1985</v>
      </c>
      <c r="O2147" s="20" t="s">
        <v>97</v>
      </c>
      <c r="P2147" s="8"/>
      <c r="Q2147" s="8"/>
      <c r="R2147" s="11">
        <v>-298000</v>
      </c>
    </row>
    <row r="2148" spans="2:23" x14ac:dyDescent="0.2">
      <c r="O2148" s="9"/>
      <c r="P2148" s="9"/>
      <c r="Q2148" s="9"/>
      <c r="R2148" s="9"/>
    </row>
    <row r="2149" spans="2:23" x14ac:dyDescent="0.2">
      <c r="B2149" s="2" t="s">
        <v>98</v>
      </c>
    </row>
    <row r="2151" spans="2:23" ht="24" customHeight="1" x14ac:dyDescent="0.2">
      <c r="B2151" s="54" t="s">
        <v>0</v>
      </c>
      <c r="C2151" s="50"/>
      <c r="D2151" s="50"/>
      <c r="E2151" s="50"/>
      <c r="F2151" s="50"/>
      <c r="G2151" s="50"/>
      <c r="H2151" s="50"/>
      <c r="I2151" s="50"/>
      <c r="J2151" s="50"/>
      <c r="K2151" s="50"/>
      <c r="L2151" s="50"/>
      <c r="M2151" s="50"/>
      <c r="N2151" s="50"/>
      <c r="O2151" s="50"/>
      <c r="P2151" s="50"/>
      <c r="Q2151" s="50"/>
      <c r="R2151" s="50"/>
      <c r="S2151" s="50"/>
      <c r="T2151" s="50"/>
      <c r="U2151" s="50"/>
      <c r="V2151" s="50"/>
      <c r="W2151" s="50"/>
    </row>
    <row r="2152" spans="2:23" ht="18" x14ac:dyDescent="0.2">
      <c r="B2152" s="1" t="s">
        <v>1</v>
      </c>
      <c r="S2152" s="55" t="s">
        <v>1984</v>
      </c>
      <c r="T2152" s="50"/>
      <c r="U2152" s="50"/>
      <c r="V2152" s="50"/>
      <c r="W2152" s="50"/>
    </row>
    <row r="2153" spans="2:23" ht="12.75" thickBot="1" x14ac:dyDescent="0.25">
      <c r="B2153" s="10" t="s">
        <v>3</v>
      </c>
      <c r="C2153" s="6"/>
      <c r="D2153" s="6"/>
      <c r="E2153" s="6"/>
      <c r="F2153" s="6"/>
      <c r="G2153" s="6"/>
      <c r="H2153" s="6"/>
      <c r="I2153" s="6"/>
      <c r="J2153" s="6"/>
      <c r="K2153" s="6" t="s">
        <v>5</v>
      </c>
      <c r="L2153" s="6"/>
      <c r="M2153" s="6"/>
      <c r="N2153" s="6"/>
      <c r="O2153" s="6"/>
      <c r="P2153" s="6" t="s">
        <v>4</v>
      </c>
      <c r="Q2153" s="6" t="s">
        <v>2730</v>
      </c>
      <c r="R2153" s="6"/>
      <c r="S2153" s="56" t="s">
        <v>6</v>
      </c>
      <c r="T2153" s="57"/>
      <c r="U2153" s="57"/>
      <c r="V2153" s="57"/>
      <c r="W2153" s="57"/>
    </row>
    <row r="2154" spans="2:23" ht="12.75" thickTop="1" x14ac:dyDescent="0.2"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</row>
    <row r="2155" spans="2:23" ht="15.75" x14ac:dyDescent="0.2">
      <c r="B2155" s="3" t="s">
        <v>7</v>
      </c>
      <c r="F2155" s="3" t="s">
        <v>2021</v>
      </c>
    </row>
    <row r="2157" spans="2:23" x14ac:dyDescent="0.2">
      <c r="B2157" s="8"/>
      <c r="C2157" s="20" t="s">
        <v>8</v>
      </c>
      <c r="D2157" s="8"/>
      <c r="E2157" s="20" t="s">
        <v>9</v>
      </c>
      <c r="F2157" s="8"/>
      <c r="G2157" s="8"/>
      <c r="H2157" s="8"/>
      <c r="I2157" s="20" t="s">
        <v>13</v>
      </c>
      <c r="J2157" s="8"/>
      <c r="K2157" s="8"/>
      <c r="L2157" s="20" t="s">
        <v>12</v>
      </c>
      <c r="M2157" s="8"/>
      <c r="N2157" s="8"/>
      <c r="O2157" s="8"/>
      <c r="P2157" s="20" t="s">
        <v>14</v>
      </c>
      <c r="Q2157" s="8"/>
      <c r="R2157" s="8"/>
      <c r="S2157" s="8"/>
      <c r="T2157" s="21" t="s">
        <v>11</v>
      </c>
      <c r="U2157" s="8"/>
      <c r="V2157" s="58" t="s">
        <v>10</v>
      </c>
      <c r="W2157" s="59"/>
    </row>
    <row r="2158" spans="2:23" x14ac:dyDescent="0.2">
      <c r="B2158" s="9"/>
      <c r="C2158" s="9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9"/>
      <c r="U2158" s="9"/>
      <c r="V2158" s="9"/>
      <c r="W2158" s="9"/>
    </row>
    <row r="2159" spans="2:23" ht="15" x14ac:dyDescent="0.2">
      <c r="B2159" s="4" t="s">
        <v>15</v>
      </c>
    </row>
    <row r="2161" spans="2:23" x14ac:dyDescent="0.2">
      <c r="B2161" s="22" t="s">
        <v>102</v>
      </c>
      <c r="E2161" s="22" t="s">
        <v>103</v>
      </c>
    </row>
    <row r="2162" spans="2:23" x14ac:dyDescent="0.2">
      <c r="C2162" s="2" t="s">
        <v>381</v>
      </c>
      <c r="E2162" s="2" t="s">
        <v>2022</v>
      </c>
      <c r="I2162" s="2" t="s">
        <v>209</v>
      </c>
      <c r="P2162" s="2" t="s">
        <v>2023</v>
      </c>
      <c r="T2162" s="5">
        <v>480</v>
      </c>
      <c r="V2162" s="49">
        <v>0</v>
      </c>
      <c r="W2162" s="50"/>
    </row>
    <row r="2163" spans="2:23" x14ac:dyDescent="0.2">
      <c r="C2163" s="2" t="s">
        <v>381</v>
      </c>
      <c r="E2163" s="2" t="s">
        <v>2024</v>
      </c>
      <c r="I2163" s="2" t="s">
        <v>209</v>
      </c>
      <c r="P2163" s="2" t="s">
        <v>2025</v>
      </c>
      <c r="T2163" s="5">
        <v>300</v>
      </c>
      <c r="V2163" s="49">
        <v>0</v>
      </c>
      <c r="W2163" s="50"/>
    </row>
    <row r="2164" spans="2:23" x14ac:dyDescent="0.2">
      <c r="C2164" s="2" t="s">
        <v>218</v>
      </c>
      <c r="E2164" s="2" t="s">
        <v>2026</v>
      </c>
      <c r="I2164" s="2" t="s">
        <v>209</v>
      </c>
      <c r="P2164" s="2" t="s">
        <v>964</v>
      </c>
      <c r="T2164" s="5">
        <v>600</v>
      </c>
      <c r="V2164" s="49">
        <v>0</v>
      </c>
      <c r="W2164" s="50"/>
    </row>
    <row r="2165" spans="2:23" x14ac:dyDescent="0.2">
      <c r="C2165" s="2" t="s">
        <v>218</v>
      </c>
      <c r="E2165" s="2" t="s">
        <v>2027</v>
      </c>
      <c r="I2165" s="2" t="s">
        <v>209</v>
      </c>
      <c r="P2165" s="2" t="s">
        <v>964</v>
      </c>
      <c r="T2165" s="5">
        <v>1620</v>
      </c>
      <c r="V2165" s="49">
        <v>0</v>
      </c>
      <c r="W2165" s="50"/>
    </row>
    <row r="2166" spans="2:23" x14ac:dyDescent="0.2">
      <c r="C2166" s="2" t="s">
        <v>1250</v>
      </c>
      <c r="E2166" s="2" t="s">
        <v>2028</v>
      </c>
      <c r="I2166" s="2" t="s">
        <v>209</v>
      </c>
      <c r="P2166" s="2" t="s">
        <v>2029</v>
      </c>
      <c r="T2166" s="5">
        <v>458</v>
      </c>
      <c r="V2166" s="49">
        <v>0</v>
      </c>
      <c r="W2166" s="50"/>
    </row>
    <row r="2167" spans="2:23" x14ac:dyDescent="0.2">
      <c r="C2167" s="2" t="s">
        <v>2031</v>
      </c>
      <c r="E2167" s="2" t="s">
        <v>2030</v>
      </c>
      <c r="I2167" s="2" t="s">
        <v>209</v>
      </c>
      <c r="P2167" s="2" t="s">
        <v>2029</v>
      </c>
      <c r="T2167" s="5">
        <v>608</v>
      </c>
      <c r="V2167" s="49">
        <v>0</v>
      </c>
      <c r="W2167" s="50"/>
    </row>
    <row r="2168" spans="2:23" x14ac:dyDescent="0.2">
      <c r="C2168" s="2" t="s">
        <v>467</v>
      </c>
      <c r="E2168" s="2" t="s">
        <v>2032</v>
      </c>
      <c r="I2168" s="2" t="s">
        <v>209</v>
      </c>
      <c r="P2168" s="2" t="s">
        <v>2033</v>
      </c>
      <c r="T2168" s="5">
        <v>768</v>
      </c>
      <c r="V2168" s="49">
        <v>0</v>
      </c>
      <c r="W2168" s="50"/>
    </row>
    <row r="2169" spans="2:23" x14ac:dyDescent="0.2">
      <c r="B2169" s="22" t="s">
        <v>102</v>
      </c>
      <c r="E2169" s="22" t="s">
        <v>103</v>
      </c>
      <c r="S2169" s="51">
        <v>4834</v>
      </c>
      <c r="T2169" s="50"/>
      <c r="U2169" s="51">
        <v>0</v>
      </c>
      <c r="V2169" s="50"/>
      <c r="W2169" s="50"/>
    </row>
    <row r="2171" spans="2:23" x14ac:dyDescent="0.2">
      <c r="B2171" s="22" t="s">
        <v>1376</v>
      </c>
      <c r="E2171" s="22" t="s">
        <v>1377</v>
      </c>
    </row>
    <row r="2172" spans="2:23" x14ac:dyDescent="0.2">
      <c r="C2172" s="2" t="s">
        <v>2035</v>
      </c>
      <c r="E2172" s="2" t="s">
        <v>2034</v>
      </c>
      <c r="I2172" s="2" t="s">
        <v>106</v>
      </c>
      <c r="L2172" s="2" t="s">
        <v>86</v>
      </c>
      <c r="P2172" s="2" t="s">
        <v>2036</v>
      </c>
      <c r="T2172" s="5">
        <v>1863</v>
      </c>
      <c r="V2172" s="49">
        <v>0</v>
      </c>
      <c r="W2172" s="50"/>
    </row>
    <row r="2173" spans="2:23" x14ac:dyDescent="0.2">
      <c r="C2173" s="2" t="s">
        <v>2038</v>
      </c>
      <c r="E2173" s="2" t="s">
        <v>2037</v>
      </c>
      <c r="I2173" s="2" t="s">
        <v>106</v>
      </c>
      <c r="L2173" s="2" t="s">
        <v>86</v>
      </c>
      <c r="P2173" s="2" t="s">
        <v>2036</v>
      </c>
      <c r="T2173" s="5">
        <v>3229.2</v>
      </c>
      <c r="V2173" s="49">
        <v>0</v>
      </c>
      <c r="W2173" s="50"/>
    </row>
    <row r="2174" spans="2:23" x14ac:dyDescent="0.2">
      <c r="C2174" s="2" t="s">
        <v>478</v>
      </c>
      <c r="E2174" s="2" t="s">
        <v>2039</v>
      </c>
      <c r="I2174" s="2" t="s">
        <v>106</v>
      </c>
      <c r="L2174" s="2" t="s">
        <v>86</v>
      </c>
      <c r="P2174" s="2" t="s">
        <v>2036</v>
      </c>
      <c r="T2174" s="5">
        <v>2070</v>
      </c>
      <c r="V2174" s="49">
        <v>0</v>
      </c>
      <c r="W2174" s="50"/>
    </row>
    <row r="2175" spans="2:23" x14ac:dyDescent="0.2">
      <c r="B2175" s="22" t="s">
        <v>1376</v>
      </c>
      <c r="E2175" s="22" t="s">
        <v>1377</v>
      </c>
      <c r="S2175" s="51">
        <v>7162.2</v>
      </c>
      <c r="T2175" s="50"/>
      <c r="U2175" s="51">
        <v>0</v>
      </c>
      <c r="V2175" s="50"/>
      <c r="W2175" s="50"/>
    </row>
    <row r="2177" spans="2:23" x14ac:dyDescent="0.2">
      <c r="B2177" s="22" t="s">
        <v>747</v>
      </c>
      <c r="E2177" s="22" t="s">
        <v>748</v>
      </c>
    </row>
    <row r="2178" spans="2:23" x14ac:dyDescent="0.2">
      <c r="C2178" s="2" t="s">
        <v>25</v>
      </c>
      <c r="E2178" s="2" t="s">
        <v>2040</v>
      </c>
      <c r="I2178" s="2" t="s">
        <v>106</v>
      </c>
      <c r="L2178" s="2" t="s">
        <v>1981</v>
      </c>
      <c r="P2178" s="2" t="s">
        <v>2041</v>
      </c>
      <c r="T2178" s="5">
        <v>750</v>
      </c>
      <c r="V2178" s="49">
        <v>0</v>
      </c>
      <c r="W2178" s="50"/>
    </row>
    <row r="2179" spans="2:23" x14ac:dyDescent="0.2">
      <c r="C2179" s="2" t="s">
        <v>31</v>
      </c>
      <c r="E2179" s="2" t="s">
        <v>2042</v>
      </c>
      <c r="I2179" s="2" t="s">
        <v>19</v>
      </c>
      <c r="P2179" s="2" t="s">
        <v>2043</v>
      </c>
      <c r="T2179" s="5">
        <v>1460.2</v>
      </c>
      <c r="V2179" s="49">
        <v>0</v>
      </c>
      <c r="W2179" s="50"/>
    </row>
    <row r="2180" spans="2:23" x14ac:dyDescent="0.2">
      <c r="C2180" s="2" t="s">
        <v>34</v>
      </c>
      <c r="E2180" s="2" t="s">
        <v>2044</v>
      </c>
      <c r="I2180" s="2" t="s">
        <v>19</v>
      </c>
      <c r="P2180" s="2" t="s">
        <v>2045</v>
      </c>
      <c r="T2180" s="5">
        <v>1180</v>
      </c>
      <c r="V2180" s="49">
        <v>0</v>
      </c>
      <c r="W2180" s="50"/>
    </row>
    <row r="2181" spans="2:23" x14ac:dyDescent="0.2">
      <c r="C2181" s="2" t="s">
        <v>2048</v>
      </c>
      <c r="E2181" s="2" t="s">
        <v>2046</v>
      </c>
      <c r="I2181" s="2" t="s">
        <v>106</v>
      </c>
      <c r="L2181" s="2" t="s">
        <v>2047</v>
      </c>
      <c r="P2181" s="2" t="s">
        <v>2049</v>
      </c>
      <c r="T2181" s="5">
        <v>12000</v>
      </c>
      <c r="V2181" s="49">
        <v>0</v>
      </c>
      <c r="W2181" s="50"/>
    </row>
    <row r="2182" spans="2:23" x14ac:dyDescent="0.2">
      <c r="C2182" s="2" t="s">
        <v>46</v>
      </c>
      <c r="E2182" s="2" t="s">
        <v>2050</v>
      </c>
      <c r="I2182" s="2" t="s">
        <v>106</v>
      </c>
      <c r="L2182" s="2" t="s">
        <v>2051</v>
      </c>
      <c r="P2182" s="2" t="s">
        <v>2052</v>
      </c>
      <c r="T2182" s="5">
        <v>484</v>
      </c>
      <c r="V2182" s="49">
        <v>0</v>
      </c>
      <c r="W2182" s="50"/>
    </row>
    <row r="2183" spans="2:23" x14ac:dyDescent="0.2">
      <c r="C2183" s="2" t="s">
        <v>220</v>
      </c>
      <c r="E2183" s="2" t="s">
        <v>2072</v>
      </c>
      <c r="I2183" s="2" t="s">
        <v>209</v>
      </c>
      <c r="P2183" s="2" t="s">
        <v>2071</v>
      </c>
      <c r="T2183" s="5">
        <v>109</v>
      </c>
      <c r="V2183" s="49">
        <v>0</v>
      </c>
      <c r="W2183" s="50"/>
    </row>
    <row r="2184" spans="2:23" x14ac:dyDescent="0.2">
      <c r="C2184" s="2" t="s">
        <v>944</v>
      </c>
      <c r="E2184" s="2" t="s">
        <v>2053</v>
      </c>
      <c r="I2184" s="2" t="s">
        <v>106</v>
      </c>
      <c r="L2184" s="2" t="s">
        <v>2054</v>
      </c>
      <c r="P2184" s="2" t="s">
        <v>2055</v>
      </c>
      <c r="T2184" s="5">
        <v>682.43999999999994</v>
      </c>
      <c r="V2184" s="49">
        <v>0</v>
      </c>
      <c r="W2184" s="50"/>
    </row>
    <row r="2185" spans="2:23" x14ac:dyDescent="0.2">
      <c r="C2185" s="2" t="s">
        <v>1323</v>
      </c>
      <c r="E2185" s="2" t="s">
        <v>2056</v>
      </c>
      <c r="I2185" s="2" t="s">
        <v>106</v>
      </c>
      <c r="L2185" s="2" t="s">
        <v>2047</v>
      </c>
      <c r="P2185" s="2" t="s">
        <v>2049</v>
      </c>
      <c r="T2185" s="5">
        <v>8000</v>
      </c>
      <c r="V2185" s="49">
        <v>0</v>
      </c>
      <c r="W2185" s="50"/>
    </row>
    <row r="2186" spans="2:23" x14ac:dyDescent="0.2">
      <c r="C2186" s="2" t="s">
        <v>20</v>
      </c>
      <c r="E2186" s="2" t="s">
        <v>2057</v>
      </c>
      <c r="I2186" s="2" t="s">
        <v>106</v>
      </c>
      <c r="L2186" s="2" t="s">
        <v>2047</v>
      </c>
      <c r="P2186" s="2" t="s">
        <v>2049</v>
      </c>
      <c r="T2186" s="5">
        <v>4000</v>
      </c>
      <c r="V2186" s="49">
        <v>0</v>
      </c>
      <c r="W2186" s="50"/>
    </row>
    <row r="2187" spans="2:23" x14ac:dyDescent="0.2">
      <c r="B2187" s="22" t="s">
        <v>747</v>
      </c>
      <c r="E2187" s="22" t="s">
        <v>748</v>
      </c>
      <c r="S2187" s="51">
        <v>28665.64</v>
      </c>
      <c r="T2187" s="50"/>
      <c r="U2187" s="51">
        <v>0</v>
      </c>
      <c r="V2187" s="50"/>
      <c r="W2187" s="50"/>
    </row>
    <row r="2189" spans="2:23" x14ac:dyDescent="0.2">
      <c r="B2189" s="22" t="s">
        <v>2058</v>
      </c>
      <c r="E2189" s="22" t="s">
        <v>2059</v>
      </c>
    </row>
    <row r="2190" spans="2:23" x14ac:dyDescent="0.2">
      <c r="C2190" s="2" t="s">
        <v>478</v>
      </c>
      <c r="E2190" s="2" t="s">
        <v>2060</v>
      </c>
      <c r="I2190" s="2" t="s">
        <v>106</v>
      </c>
      <c r="L2190" s="2" t="s">
        <v>2061</v>
      </c>
      <c r="P2190" s="2" t="s">
        <v>2062</v>
      </c>
      <c r="T2190" s="5">
        <v>435</v>
      </c>
      <c r="V2190" s="49">
        <v>0</v>
      </c>
      <c r="W2190" s="50"/>
    </row>
    <row r="2191" spans="2:23" x14ac:dyDescent="0.2">
      <c r="B2191" s="22" t="s">
        <v>2058</v>
      </c>
      <c r="E2191" s="22" t="s">
        <v>2059</v>
      </c>
      <c r="S2191" s="51">
        <v>435</v>
      </c>
      <c r="T2191" s="50"/>
      <c r="U2191" s="51">
        <v>0</v>
      </c>
      <c r="V2191" s="50"/>
      <c r="W2191" s="50"/>
    </row>
    <row r="2193" spans="2:23" x14ac:dyDescent="0.2">
      <c r="B2193" s="22" t="s">
        <v>153</v>
      </c>
      <c r="E2193" s="22" t="s">
        <v>154</v>
      </c>
    </row>
    <row r="2194" spans="2:23" x14ac:dyDescent="0.2">
      <c r="C2194" s="2" t="s">
        <v>218</v>
      </c>
      <c r="E2194" s="2" t="s">
        <v>2063</v>
      </c>
      <c r="I2194" s="2" t="s">
        <v>209</v>
      </c>
      <c r="P2194" s="2" t="s">
        <v>154</v>
      </c>
      <c r="T2194" s="5">
        <v>1611</v>
      </c>
      <c r="V2194" s="49">
        <v>0</v>
      </c>
      <c r="W2194" s="50"/>
    </row>
    <row r="2195" spans="2:23" x14ac:dyDescent="0.2">
      <c r="B2195" s="22" t="s">
        <v>153</v>
      </c>
      <c r="E2195" s="22" t="s">
        <v>154</v>
      </c>
      <c r="S2195" s="51">
        <v>1611</v>
      </c>
      <c r="T2195" s="50"/>
      <c r="U2195" s="51">
        <v>0</v>
      </c>
      <c r="V2195" s="50"/>
      <c r="W2195" s="50"/>
    </row>
    <row r="2197" spans="2:23" x14ac:dyDescent="0.2">
      <c r="B2197" s="22" t="s">
        <v>206</v>
      </c>
      <c r="E2197" s="22" t="s">
        <v>207</v>
      </c>
    </row>
    <row r="2198" spans="2:23" x14ac:dyDescent="0.2">
      <c r="C2198" s="2" t="s">
        <v>1845</v>
      </c>
      <c r="E2198" s="2" t="s">
        <v>2064</v>
      </c>
      <c r="I2198" s="2" t="s">
        <v>209</v>
      </c>
      <c r="P2198" s="2" t="s">
        <v>2065</v>
      </c>
      <c r="T2198" s="5">
        <v>2000</v>
      </c>
      <c r="V2198" s="49">
        <v>0</v>
      </c>
      <c r="W2198" s="50"/>
    </row>
    <row r="2199" spans="2:23" x14ac:dyDescent="0.2">
      <c r="C2199" s="2" t="s">
        <v>1909</v>
      </c>
      <c r="E2199" s="2" t="s">
        <v>2066</v>
      </c>
      <c r="I2199" s="2" t="s">
        <v>209</v>
      </c>
      <c r="P2199" s="2" t="s">
        <v>2067</v>
      </c>
      <c r="T2199" s="5">
        <v>3800</v>
      </c>
      <c r="V2199" s="49">
        <v>0</v>
      </c>
      <c r="W2199" s="50"/>
    </row>
    <row r="2200" spans="2:23" x14ac:dyDescent="0.2">
      <c r="C2200" s="2" t="s">
        <v>220</v>
      </c>
      <c r="E2200" s="2" t="s">
        <v>219</v>
      </c>
      <c r="I2200" s="2" t="s">
        <v>209</v>
      </c>
      <c r="P2200" s="2" t="s">
        <v>210</v>
      </c>
      <c r="T2200" s="5">
        <v>3000</v>
      </c>
      <c r="V2200" s="49">
        <v>0</v>
      </c>
      <c r="W2200" s="50"/>
    </row>
    <row r="2201" spans="2:23" x14ac:dyDescent="0.2">
      <c r="C2201" s="2" t="s">
        <v>2069</v>
      </c>
      <c r="E2201" s="2" t="s">
        <v>2068</v>
      </c>
      <c r="I2201" s="2" t="s">
        <v>209</v>
      </c>
      <c r="P2201" s="2" t="s">
        <v>2070</v>
      </c>
      <c r="T2201" s="5">
        <v>4030</v>
      </c>
      <c r="V2201" s="49">
        <v>0</v>
      </c>
      <c r="W2201" s="50"/>
    </row>
    <row r="2202" spans="2:23" x14ac:dyDescent="0.2">
      <c r="B2202" s="22" t="s">
        <v>206</v>
      </c>
      <c r="E2202" s="22" t="s">
        <v>207</v>
      </c>
      <c r="S2202" s="51">
        <v>12830</v>
      </c>
      <c r="T2202" s="50"/>
      <c r="U2202" s="51">
        <v>0</v>
      </c>
      <c r="V2202" s="50"/>
      <c r="W2202" s="50"/>
    </row>
    <row r="2204" spans="2:23" x14ac:dyDescent="0.2">
      <c r="B2204" s="22" t="s">
        <v>22</v>
      </c>
      <c r="E2204" s="22" t="s">
        <v>23</v>
      </c>
    </row>
    <row r="2205" spans="2:23" x14ac:dyDescent="0.2">
      <c r="C2205" s="2" t="s">
        <v>20</v>
      </c>
      <c r="E2205" s="2" t="s">
        <v>59</v>
      </c>
      <c r="I2205" s="2" t="s">
        <v>19</v>
      </c>
      <c r="P2205" s="2" t="s">
        <v>60</v>
      </c>
      <c r="T2205" s="5">
        <v>156515</v>
      </c>
      <c r="V2205" s="49">
        <v>0</v>
      </c>
      <c r="W2205" s="50"/>
    </row>
    <row r="2206" spans="2:23" x14ac:dyDescent="0.2">
      <c r="B2206" s="22" t="s">
        <v>22</v>
      </c>
      <c r="E2206" s="22" t="s">
        <v>23</v>
      </c>
      <c r="S2206" s="51">
        <v>156515</v>
      </c>
      <c r="T2206" s="50"/>
      <c r="U2206" s="51">
        <v>0</v>
      </c>
      <c r="V2206" s="50"/>
      <c r="W2206" s="50"/>
    </row>
    <row r="2208" spans="2:23" x14ac:dyDescent="0.2">
      <c r="B2208" s="22" t="s">
        <v>2073</v>
      </c>
      <c r="E2208" s="22" t="s">
        <v>2074</v>
      </c>
    </row>
    <row r="2209" spans="2:23" x14ac:dyDescent="0.2">
      <c r="C2209" s="2" t="s">
        <v>34</v>
      </c>
      <c r="E2209" s="2" t="s">
        <v>2075</v>
      </c>
      <c r="I2209" s="2" t="s">
        <v>19</v>
      </c>
      <c r="P2209" s="2" t="s">
        <v>2076</v>
      </c>
      <c r="T2209" s="5">
        <v>24300</v>
      </c>
      <c r="V2209" s="49">
        <v>0</v>
      </c>
      <c r="W2209" s="50"/>
    </row>
    <row r="2210" spans="2:23" x14ac:dyDescent="0.2">
      <c r="C2210" s="2" t="s">
        <v>2078</v>
      </c>
      <c r="E2210" s="2" t="s">
        <v>2077</v>
      </c>
      <c r="I2210" s="2" t="s">
        <v>19</v>
      </c>
      <c r="P2210" s="2" t="s">
        <v>2076</v>
      </c>
      <c r="T2210" s="5">
        <v>17415</v>
      </c>
      <c r="V2210" s="49">
        <v>0</v>
      </c>
      <c r="W2210" s="50"/>
    </row>
    <row r="2211" spans="2:23" x14ac:dyDescent="0.2">
      <c r="B2211" s="22" t="s">
        <v>2073</v>
      </c>
      <c r="E2211" s="22" t="s">
        <v>2074</v>
      </c>
      <c r="S2211" s="51">
        <v>41715</v>
      </c>
      <c r="T2211" s="50"/>
      <c r="U2211" s="51">
        <v>0</v>
      </c>
      <c r="V2211" s="50"/>
      <c r="W2211" s="50"/>
    </row>
    <row r="2213" spans="2:23" x14ac:dyDescent="0.2">
      <c r="B2213" s="22" t="s">
        <v>1896</v>
      </c>
      <c r="E2213" s="22" t="s">
        <v>1897</v>
      </c>
    </row>
    <row r="2214" spans="2:23" x14ac:dyDescent="0.2">
      <c r="C2214" s="2" t="s">
        <v>92</v>
      </c>
      <c r="E2214" s="2" t="s">
        <v>2090</v>
      </c>
      <c r="I2214" s="2" t="s">
        <v>19</v>
      </c>
      <c r="P2214" s="2" t="s">
        <v>2091</v>
      </c>
      <c r="T2214" s="5">
        <v>601.63</v>
      </c>
      <c r="V2214" s="49">
        <v>0</v>
      </c>
      <c r="W2214" s="50"/>
    </row>
    <row r="2215" spans="2:23" x14ac:dyDescent="0.2">
      <c r="C2215" s="2" t="s">
        <v>1719</v>
      </c>
      <c r="E2215" s="2" t="s">
        <v>2092</v>
      </c>
      <c r="I2215" s="2" t="s">
        <v>19</v>
      </c>
      <c r="P2215" s="2" t="s">
        <v>2093</v>
      </c>
      <c r="T2215" s="5">
        <v>1530.37</v>
      </c>
      <c r="V2215" s="49">
        <v>0</v>
      </c>
      <c r="W2215" s="50"/>
    </row>
    <row r="2216" spans="2:23" x14ac:dyDescent="0.2">
      <c r="B2216" s="22" t="s">
        <v>1896</v>
      </c>
      <c r="E2216" s="22" t="s">
        <v>1897</v>
      </c>
      <c r="S2216" s="51">
        <v>2132</v>
      </c>
      <c r="T2216" s="50"/>
      <c r="U2216" s="51">
        <v>0</v>
      </c>
      <c r="V2216" s="50"/>
      <c r="W2216" s="50"/>
    </row>
    <row r="2218" spans="2:23" ht="18" x14ac:dyDescent="0.2">
      <c r="B2218" s="1" t="s">
        <v>1</v>
      </c>
      <c r="S2218" s="55" t="s">
        <v>2020</v>
      </c>
      <c r="T2218" s="50"/>
      <c r="U2218" s="50"/>
      <c r="V2218" s="50"/>
      <c r="W2218" s="50"/>
    </row>
    <row r="2219" spans="2:23" ht="12.75" thickBot="1" x14ac:dyDescent="0.25">
      <c r="B2219" s="10" t="s">
        <v>3</v>
      </c>
      <c r="C2219" s="6"/>
      <c r="D2219" s="6"/>
      <c r="E2219" s="6"/>
      <c r="F2219" s="6"/>
      <c r="G2219" s="6"/>
      <c r="H2219" s="6"/>
      <c r="I2219" s="6"/>
      <c r="J2219" s="6"/>
      <c r="K2219" s="6" t="s">
        <v>5</v>
      </c>
      <c r="L2219" s="6"/>
      <c r="M2219" s="6"/>
      <c r="N2219" s="6"/>
      <c r="O2219" s="6"/>
      <c r="P2219" s="6" t="s">
        <v>4</v>
      </c>
      <c r="Q2219" s="6" t="s">
        <v>2730</v>
      </c>
      <c r="R2219" s="6"/>
      <c r="S2219" s="56" t="s">
        <v>6</v>
      </c>
      <c r="T2219" s="57"/>
      <c r="U2219" s="57"/>
      <c r="V2219" s="57"/>
      <c r="W2219" s="57"/>
    </row>
    <row r="2220" spans="2:23" ht="12.75" thickTop="1" x14ac:dyDescent="0.2"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</row>
    <row r="2222" spans="2:23" x14ac:dyDescent="0.2">
      <c r="B2222" s="22" t="s">
        <v>2094</v>
      </c>
      <c r="E2222" s="22" t="s">
        <v>2095</v>
      </c>
    </row>
    <row r="2223" spans="2:23" x14ac:dyDescent="0.2">
      <c r="C2223" s="2" t="s">
        <v>20</v>
      </c>
      <c r="E2223" s="2" t="s">
        <v>2096</v>
      </c>
      <c r="I2223" s="2" t="s">
        <v>19</v>
      </c>
      <c r="P2223" s="2" t="s">
        <v>2097</v>
      </c>
      <c r="T2223" s="5">
        <v>31559</v>
      </c>
      <c r="V2223" s="49">
        <v>0</v>
      </c>
      <c r="W2223" s="50"/>
    </row>
    <row r="2224" spans="2:23" x14ac:dyDescent="0.2">
      <c r="B2224" s="22" t="s">
        <v>2094</v>
      </c>
      <c r="E2224" s="22" t="s">
        <v>2095</v>
      </c>
      <c r="S2224" s="51">
        <v>31559</v>
      </c>
      <c r="T2224" s="50"/>
      <c r="U2224" s="51">
        <v>0</v>
      </c>
      <c r="V2224" s="50"/>
      <c r="W2224" s="50"/>
    </row>
    <row r="2225" spans="2:23" x14ac:dyDescent="0.2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8"/>
      <c r="M2225" s="8"/>
      <c r="N2225" s="8"/>
      <c r="O2225" s="8"/>
      <c r="P2225" s="8"/>
      <c r="Q2225" s="8"/>
      <c r="R2225" s="8"/>
      <c r="S2225" s="8"/>
      <c r="T2225" s="8"/>
      <c r="U2225" s="8"/>
      <c r="V2225" s="8"/>
      <c r="W2225" s="8"/>
    </row>
    <row r="2226" spans="2:23" x14ac:dyDescent="0.2">
      <c r="B2226" s="9"/>
      <c r="C2226" s="9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52">
        <v>287458.83999999997</v>
      </c>
      <c r="T2226" s="53"/>
      <c r="U2226" s="52">
        <v>0</v>
      </c>
      <c r="V2226" s="53"/>
      <c r="W2226" s="53"/>
    </row>
    <row r="2227" spans="2:23" x14ac:dyDescent="0.2">
      <c r="B2227" s="8"/>
      <c r="C2227" s="8"/>
      <c r="D2227" s="20" t="s">
        <v>81</v>
      </c>
      <c r="E2227" s="8"/>
      <c r="F2227" s="8"/>
      <c r="G2227" s="8"/>
      <c r="H2227" s="8"/>
      <c r="I2227" s="8"/>
      <c r="J2227" s="8"/>
      <c r="K2227" s="8"/>
      <c r="L2227" s="8"/>
      <c r="M2227" s="8"/>
      <c r="N2227" s="8"/>
      <c r="O2227" s="8"/>
      <c r="P2227" s="8"/>
      <c r="Q2227" s="8"/>
      <c r="R2227" s="11">
        <v>287458.83999999997</v>
      </c>
      <c r="S2227" s="8"/>
      <c r="T2227" s="8"/>
      <c r="U2227" s="8"/>
      <c r="V2227" s="8"/>
      <c r="W2227" s="8"/>
    </row>
    <row r="2228" spans="2:23" x14ac:dyDescent="0.2">
      <c r="B2228" s="9"/>
      <c r="C2228" s="9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9"/>
      <c r="U2228" s="9"/>
      <c r="V2228" s="9"/>
      <c r="W2228" s="9"/>
    </row>
    <row r="2230" spans="2:23" ht="15" x14ac:dyDescent="0.2">
      <c r="B2230" s="4" t="s">
        <v>82</v>
      </c>
    </row>
    <row r="2232" spans="2:23" x14ac:dyDescent="0.2">
      <c r="B2232" s="22" t="s">
        <v>2737</v>
      </c>
      <c r="E2232" s="22" t="s">
        <v>2738</v>
      </c>
    </row>
    <row r="2233" spans="2:23" x14ac:dyDescent="0.2">
      <c r="C2233" s="2" t="s">
        <v>25</v>
      </c>
      <c r="E2233" s="2" t="s">
        <v>2098</v>
      </c>
      <c r="I2233" s="2" t="s">
        <v>87</v>
      </c>
      <c r="L2233" s="2" t="s">
        <v>252</v>
      </c>
      <c r="P2233" s="2" t="s">
        <v>2099</v>
      </c>
      <c r="T2233" s="5">
        <v>0</v>
      </c>
      <c r="V2233" s="49">
        <v>1600</v>
      </c>
      <c r="W2233" s="50"/>
    </row>
    <row r="2234" spans="2:23" x14ac:dyDescent="0.2">
      <c r="C2234" s="2" t="s">
        <v>2102</v>
      </c>
      <c r="E2234" s="2" t="s">
        <v>2100</v>
      </c>
      <c r="I2234" s="2" t="s">
        <v>87</v>
      </c>
      <c r="L2234" s="2" t="s">
        <v>2101</v>
      </c>
      <c r="P2234" s="2" t="s">
        <v>2099</v>
      </c>
      <c r="T2234" s="5">
        <v>0</v>
      </c>
      <c r="V2234" s="49">
        <v>500</v>
      </c>
      <c r="W2234" s="50"/>
    </row>
    <row r="2235" spans="2:23" x14ac:dyDescent="0.2">
      <c r="C2235" s="2" t="s">
        <v>425</v>
      </c>
      <c r="E2235" s="2" t="s">
        <v>2103</v>
      </c>
      <c r="I2235" s="2" t="s">
        <v>87</v>
      </c>
      <c r="L2235" s="2" t="s">
        <v>242</v>
      </c>
      <c r="P2235" s="2" t="s">
        <v>2104</v>
      </c>
      <c r="T2235" s="5">
        <v>0</v>
      </c>
      <c r="V2235" s="49">
        <v>2400</v>
      </c>
      <c r="W2235" s="50"/>
    </row>
    <row r="2236" spans="2:23" x14ac:dyDescent="0.2">
      <c r="C2236" s="2" t="s">
        <v>2048</v>
      </c>
      <c r="E2236" s="2" t="s">
        <v>2105</v>
      </c>
      <c r="I2236" s="2" t="s">
        <v>87</v>
      </c>
      <c r="L2236" s="2" t="s">
        <v>2106</v>
      </c>
      <c r="P2236" s="2" t="s">
        <v>2107</v>
      </c>
      <c r="T2236" s="5">
        <v>0</v>
      </c>
      <c r="V2236" s="49">
        <v>2700</v>
      </c>
      <c r="W2236" s="50"/>
    </row>
    <row r="2237" spans="2:23" x14ac:dyDescent="0.2">
      <c r="C2237" s="2" t="s">
        <v>20</v>
      </c>
      <c r="E2237" s="2" t="s">
        <v>2108</v>
      </c>
      <c r="I2237" s="2" t="s">
        <v>87</v>
      </c>
      <c r="L2237" s="2" t="s">
        <v>242</v>
      </c>
      <c r="P2237" s="2" t="s">
        <v>2109</v>
      </c>
      <c r="T2237" s="5">
        <v>0</v>
      </c>
      <c r="V2237" s="49">
        <v>4200</v>
      </c>
      <c r="W2237" s="50"/>
    </row>
    <row r="2238" spans="2:23" x14ac:dyDescent="0.2">
      <c r="C2238" s="2" t="s">
        <v>20</v>
      </c>
      <c r="E2238" s="2" t="s">
        <v>2739</v>
      </c>
      <c r="I2238" s="2" t="s">
        <v>87</v>
      </c>
      <c r="L2238" s="2" t="s">
        <v>252</v>
      </c>
      <c r="P2238" s="2" t="s">
        <v>2740</v>
      </c>
      <c r="T2238" s="5">
        <v>0</v>
      </c>
      <c r="V2238" s="49">
        <v>12600</v>
      </c>
      <c r="W2238" s="50"/>
    </row>
    <row r="2239" spans="2:23" x14ac:dyDescent="0.2">
      <c r="B2239" s="22" t="s">
        <v>2737</v>
      </c>
      <c r="E2239" s="22" t="s">
        <v>2738</v>
      </c>
      <c r="S2239" s="51">
        <v>0</v>
      </c>
      <c r="T2239" s="50"/>
      <c r="U2239" s="51">
        <v>24000</v>
      </c>
      <c r="V2239" s="50"/>
      <c r="W2239" s="50"/>
    </row>
    <row r="2241" spans="2:23" x14ac:dyDescent="0.2">
      <c r="B2241" s="22" t="s">
        <v>83</v>
      </c>
      <c r="E2241" s="22" t="s">
        <v>84</v>
      </c>
    </row>
    <row r="2242" spans="2:23" x14ac:dyDescent="0.2">
      <c r="C2242" s="2" t="s">
        <v>92</v>
      </c>
      <c r="E2242" s="2" t="s">
        <v>2110</v>
      </c>
      <c r="I2242" s="2" t="s">
        <v>19</v>
      </c>
      <c r="P2242" s="2" t="s">
        <v>2111</v>
      </c>
      <c r="T2242" s="5">
        <v>0</v>
      </c>
      <c r="V2242" s="49">
        <v>396264.06</v>
      </c>
      <c r="W2242" s="50"/>
    </row>
    <row r="2243" spans="2:23" x14ac:dyDescent="0.2">
      <c r="C2243" s="2" t="s">
        <v>25</v>
      </c>
      <c r="E2243" s="2" t="s">
        <v>2112</v>
      </c>
      <c r="I2243" s="2" t="s">
        <v>19</v>
      </c>
      <c r="P2243" s="2" t="s">
        <v>2113</v>
      </c>
      <c r="T2243" s="5">
        <v>0</v>
      </c>
      <c r="V2243" s="49">
        <v>15000</v>
      </c>
      <c r="W2243" s="50"/>
    </row>
    <row r="2244" spans="2:23" x14ac:dyDescent="0.2">
      <c r="C2244" s="2" t="s">
        <v>1045</v>
      </c>
      <c r="E2244" s="2" t="s">
        <v>2114</v>
      </c>
      <c r="I2244" s="2" t="s">
        <v>87</v>
      </c>
      <c r="L2244" s="2" t="s">
        <v>2115</v>
      </c>
      <c r="P2244" s="2" t="s">
        <v>2116</v>
      </c>
      <c r="T2244" s="5">
        <v>0</v>
      </c>
      <c r="V2244" s="49">
        <v>49316</v>
      </c>
      <c r="W2244" s="50"/>
    </row>
    <row r="2245" spans="2:23" x14ac:dyDescent="0.2">
      <c r="C2245" s="2" t="s">
        <v>169</v>
      </c>
      <c r="E2245" s="2" t="s">
        <v>2117</v>
      </c>
      <c r="I2245" s="2" t="s">
        <v>209</v>
      </c>
      <c r="P2245" s="2" t="s">
        <v>2118</v>
      </c>
      <c r="T2245" s="5">
        <v>0</v>
      </c>
      <c r="V2245" s="49">
        <v>21739.129999999997</v>
      </c>
      <c r="W2245" s="50"/>
    </row>
    <row r="2246" spans="2:23" x14ac:dyDescent="0.2">
      <c r="C2246" s="2" t="s">
        <v>46</v>
      </c>
      <c r="E2246" s="2" t="s">
        <v>2119</v>
      </c>
      <c r="I2246" s="2" t="s">
        <v>87</v>
      </c>
      <c r="L2246" s="2" t="s">
        <v>2120</v>
      </c>
      <c r="P2246" s="2" t="s">
        <v>2121</v>
      </c>
      <c r="T2246" s="5">
        <v>0</v>
      </c>
      <c r="V2246" s="49">
        <v>33195.269999999997</v>
      </c>
      <c r="W2246" s="50"/>
    </row>
    <row r="2247" spans="2:23" x14ac:dyDescent="0.2">
      <c r="C2247" s="2" t="s">
        <v>46</v>
      </c>
      <c r="E2247" s="2" t="s">
        <v>85</v>
      </c>
      <c r="I2247" s="2" t="s">
        <v>87</v>
      </c>
      <c r="L2247" s="2" t="s">
        <v>86</v>
      </c>
      <c r="P2247" s="2" t="s">
        <v>88</v>
      </c>
      <c r="T2247" s="5">
        <v>0</v>
      </c>
      <c r="V2247" s="49">
        <v>20000</v>
      </c>
      <c r="W2247" s="50"/>
    </row>
    <row r="2248" spans="2:23" x14ac:dyDescent="0.2">
      <c r="C2248" s="2" t="s">
        <v>2124</v>
      </c>
      <c r="E2248" s="2" t="s">
        <v>2122</v>
      </c>
      <c r="I2248" s="2" t="s">
        <v>87</v>
      </c>
      <c r="L2248" s="2" t="s">
        <v>2123</v>
      </c>
      <c r="P2248" s="2" t="s">
        <v>2125</v>
      </c>
      <c r="T2248" s="5">
        <v>0</v>
      </c>
      <c r="V2248" s="49">
        <v>5000</v>
      </c>
      <c r="W2248" s="50"/>
    </row>
    <row r="2249" spans="2:23" x14ac:dyDescent="0.2">
      <c r="C2249" s="2" t="s">
        <v>2124</v>
      </c>
      <c r="E2249" s="2" t="s">
        <v>2126</v>
      </c>
      <c r="I2249" s="2" t="s">
        <v>87</v>
      </c>
      <c r="L2249" s="2" t="s">
        <v>2123</v>
      </c>
      <c r="P2249" s="2" t="s">
        <v>2127</v>
      </c>
      <c r="T2249" s="5">
        <v>0</v>
      </c>
      <c r="V2249" s="49">
        <v>10000</v>
      </c>
      <c r="W2249" s="50"/>
    </row>
    <row r="2250" spans="2:23" x14ac:dyDescent="0.2">
      <c r="C2250" s="2" t="s">
        <v>444</v>
      </c>
      <c r="E2250" s="2" t="s">
        <v>2128</v>
      </c>
      <c r="I2250" s="2" t="s">
        <v>87</v>
      </c>
      <c r="L2250" s="2" t="s">
        <v>2129</v>
      </c>
      <c r="P2250" s="2" t="s">
        <v>2130</v>
      </c>
      <c r="T2250" s="5">
        <v>0</v>
      </c>
      <c r="V2250" s="49">
        <v>6672.76</v>
      </c>
      <c r="W2250" s="50"/>
    </row>
    <row r="2251" spans="2:23" x14ac:dyDescent="0.2">
      <c r="C2251" s="2" t="s">
        <v>444</v>
      </c>
      <c r="E2251" s="2" t="s">
        <v>2131</v>
      </c>
      <c r="I2251" s="2" t="s">
        <v>87</v>
      </c>
      <c r="L2251" s="2" t="s">
        <v>2129</v>
      </c>
      <c r="P2251" s="2" t="s">
        <v>2132</v>
      </c>
      <c r="T2251" s="5">
        <v>0</v>
      </c>
      <c r="V2251" s="49">
        <v>8026.3200000000006</v>
      </c>
      <c r="W2251" s="50"/>
    </row>
    <row r="2252" spans="2:23" x14ac:dyDescent="0.2">
      <c r="C2252" s="2" t="s">
        <v>49</v>
      </c>
      <c r="E2252" s="2" t="s">
        <v>2133</v>
      </c>
      <c r="I2252" s="2" t="s">
        <v>19</v>
      </c>
      <c r="P2252" s="2" t="s">
        <v>2134</v>
      </c>
      <c r="T2252" s="5">
        <v>0</v>
      </c>
      <c r="V2252" s="49">
        <v>6335.1500000000005</v>
      </c>
      <c r="W2252" s="50"/>
    </row>
    <row r="2253" spans="2:23" x14ac:dyDescent="0.2">
      <c r="C2253" s="2" t="s">
        <v>296</v>
      </c>
      <c r="E2253" s="2" t="s">
        <v>2135</v>
      </c>
      <c r="I2253" s="2" t="s">
        <v>87</v>
      </c>
      <c r="L2253" s="2" t="s">
        <v>2136</v>
      </c>
      <c r="P2253" s="2" t="s">
        <v>2137</v>
      </c>
      <c r="T2253" s="5">
        <v>0</v>
      </c>
      <c r="V2253" s="49">
        <v>19242.97</v>
      </c>
      <c r="W2253" s="50"/>
    </row>
    <row r="2254" spans="2:23" x14ac:dyDescent="0.2">
      <c r="C2254" s="2" t="s">
        <v>20</v>
      </c>
      <c r="E2254" s="2" t="s">
        <v>2138</v>
      </c>
      <c r="I2254" s="2" t="s">
        <v>87</v>
      </c>
      <c r="L2254" s="2" t="s">
        <v>2139</v>
      </c>
      <c r="P2254" s="2" t="s">
        <v>2140</v>
      </c>
      <c r="T2254" s="5">
        <v>0</v>
      </c>
      <c r="V2254" s="49">
        <v>7368</v>
      </c>
      <c r="W2254" s="50"/>
    </row>
    <row r="2255" spans="2:23" x14ac:dyDescent="0.2">
      <c r="C2255" s="2" t="s">
        <v>20</v>
      </c>
      <c r="E2255" s="2" t="s">
        <v>2141</v>
      </c>
      <c r="I2255" s="2" t="s">
        <v>87</v>
      </c>
      <c r="L2255" s="2" t="s">
        <v>2142</v>
      </c>
      <c r="P2255" s="2" t="s">
        <v>2143</v>
      </c>
      <c r="T2255" s="5">
        <v>0</v>
      </c>
      <c r="V2255" s="49">
        <v>3666.67</v>
      </c>
      <c r="W2255" s="50"/>
    </row>
    <row r="2256" spans="2:23" x14ac:dyDescent="0.2">
      <c r="B2256" s="22" t="s">
        <v>83</v>
      </c>
      <c r="E2256" s="22" t="s">
        <v>84</v>
      </c>
      <c r="S2256" s="51">
        <v>0</v>
      </c>
      <c r="T2256" s="50"/>
      <c r="U2256" s="51">
        <v>601826.33000000007</v>
      </c>
      <c r="V2256" s="50"/>
      <c r="W2256" s="50"/>
    </row>
    <row r="2258" spans="2:23" x14ac:dyDescent="0.2">
      <c r="B2258" s="22" t="s">
        <v>2155</v>
      </c>
      <c r="E2258" s="22" t="s">
        <v>2156</v>
      </c>
    </row>
    <row r="2259" spans="2:23" x14ac:dyDescent="0.2">
      <c r="C2259" s="2" t="s">
        <v>2158</v>
      </c>
      <c r="E2259" s="2" t="s">
        <v>2157</v>
      </c>
      <c r="I2259" s="2" t="s">
        <v>64</v>
      </c>
      <c r="P2259" s="2" t="s">
        <v>95</v>
      </c>
      <c r="T2259" s="5">
        <v>0</v>
      </c>
      <c r="V2259" s="49">
        <v>170000</v>
      </c>
      <c r="W2259" s="50"/>
    </row>
    <row r="2260" spans="2:23" x14ac:dyDescent="0.2">
      <c r="C2260" s="2" t="s">
        <v>2160</v>
      </c>
      <c r="E2260" s="2" t="s">
        <v>2159</v>
      </c>
      <c r="I2260" s="2" t="s">
        <v>64</v>
      </c>
      <c r="P2260" s="2" t="s">
        <v>95</v>
      </c>
      <c r="T2260" s="5">
        <v>0</v>
      </c>
      <c r="V2260" s="49">
        <v>85000</v>
      </c>
      <c r="W2260" s="50"/>
    </row>
    <row r="2261" spans="2:23" x14ac:dyDescent="0.2">
      <c r="B2261" s="22" t="s">
        <v>2155</v>
      </c>
      <c r="E2261" s="22" t="s">
        <v>2156</v>
      </c>
      <c r="S2261" s="51">
        <v>0</v>
      </c>
      <c r="T2261" s="50"/>
      <c r="U2261" s="51">
        <v>255000</v>
      </c>
      <c r="V2261" s="50"/>
      <c r="W2261" s="50"/>
    </row>
    <row r="2263" spans="2:23" x14ac:dyDescent="0.2">
      <c r="B2263" s="22" t="s">
        <v>2161</v>
      </c>
      <c r="E2263" s="22" t="s">
        <v>2162</v>
      </c>
    </row>
    <row r="2264" spans="2:23" x14ac:dyDescent="0.2">
      <c r="C2264" s="2" t="s">
        <v>2164</v>
      </c>
      <c r="E2264" s="2" t="s">
        <v>2163</v>
      </c>
      <c r="I2264" s="2" t="s">
        <v>64</v>
      </c>
      <c r="P2264" s="2" t="s">
        <v>95</v>
      </c>
      <c r="T2264" s="5">
        <v>0</v>
      </c>
      <c r="V2264" s="49">
        <v>62000</v>
      </c>
      <c r="W2264" s="50"/>
    </row>
    <row r="2265" spans="2:23" x14ac:dyDescent="0.2">
      <c r="C2265" s="2" t="s">
        <v>2164</v>
      </c>
      <c r="E2265" s="2" t="s">
        <v>2165</v>
      </c>
      <c r="I2265" s="2" t="s">
        <v>64</v>
      </c>
      <c r="P2265" s="2" t="s">
        <v>95</v>
      </c>
      <c r="T2265" s="5">
        <v>0</v>
      </c>
      <c r="V2265" s="49">
        <v>60000</v>
      </c>
      <c r="W2265" s="50"/>
    </row>
    <row r="2266" spans="2:23" x14ac:dyDescent="0.2">
      <c r="B2266" s="22" t="s">
        <v>2161</v>
      </c>
      <c r="E2266" s="22" t="s">
        <v>2162</v>
      </c>
      <c r="S2266" s="51">
        <v>0</v>
      </c>
      <c r="T2266" s="50"/>
      <c r="U2266" s="51">
        <v>122000</v>
      </c>
      <c r="V2266" s="50"/>
      <c r="W2266" s="50"/>
    </row>
    <row r="2268" spans="2:23" x14ac:dyDescent="0.2">
      <c r="B2268" s="22" t="s">
        <v>2166</v>
      </c>
      <c r="E2268" s="22" t="s">
        <v>2167</v>
      </c>
    </row>
    <row r="2269" spans="2:23" x14ac:dyDescent="0.2">
      <c r="C2269" s="2" t="s">
        <v>2169</v>
      </c>
      <c r="E2269" s="2" t="s">
        <v>2168</v>
      </c>
      <c r="I2269" s="2" t="s">
        <v>64</v>
      </c>
      <c r="P2269" s="2" t="s">
        <v>2170</v>
      </c>
      <c r="T2269" s="5">
        <v>0</v>
      </c>
      <c r="V2269" s="49">
        <v>47700</v>
      </c>
      <c r="W2269" s="50"/>
    </row>
    <row r="2270" spans="2:23" x14ac:dyDescent="0.2">
      <c r="C2270" s="2" t="s">
        <v>2172</v>
      </c>
      <c r="E2270" s="2" t="s">
        <v>2171</v>
      </c>
      <c r="I2270" s="2" t="s">
        <v>64</v>
      </c>
      <c r="P2270" s="2" t="s">
        <v>2173</v>
      </c>
      <c r="T2270" s="5">
        <v>0</v>
      </c>
      <c r="V2270" s="49">
        <v>565248</v>
      </c>
      <c r="W2270" s="50"/>
    </row>
    <row r="2271" spans="2:23" x14ac:dyDescent="0.2">
      <c r="B2271" s="22" t="s">
        <v>2166</v>
      </c>
      <c r="E2271" s="22" t="s">
        <v>2167</v>
      </c>
      <c r="S2271" s="51">
        <v>0</v>
      </c>
      <c r="T2271" s="50"/>
      <c r="U2271" s="51">
        <v>612948</v>
      </c>
      <c r="V2271" s="50"/>
      <c r="W2271" s="50"/>
    </row>
    <row r="2272" spans="2:23" x14ac:dyDescent="0.2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8"/>
      <c r="M2272" s="8"/>
      <c r="N2272" s="8"/>
      <c r="O2272" s="8"/>
      <c r="P2272" s="8"/>
      <c r="Q2272" s="8"/>
      <c r="R2272" s="8"/>
      <c r="S2272" s="8"/>
      <c r="T2272" s="8"/>
      <c r="U2272" s="8"/>
      <c r="V2272" s="8"/>
      <c r="W2272" s="8"/>
    </row>
    <row r="2273" spans="2:23" x14ac:dyDescent="0.2">
      <c r="B2273" s="9"/>
      <c r="C2273" s="9"/>
      <c r="D2273" s="9"/>
      <c r="E2273" s="9"/>
      <c r="F2273" s="9"/>
      <c r="G2273" s="9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52">
        <v>0</v>
      </c>
      <c r="T2273" s="53"/>
      <c r="U2273" s="52">
        <v>1615774.33</v>
      </c>
      <c r="V2273" s="53"/>
      <c r="W2273" s="53"/>
    </row>
    <row r="2274" spans="2:23" x14ac:dyDescent="0.2">
      <c r="B2274" s="8"/>
      <c r="C2274" s="8"/>
      <c r="D2274" s="20" t="s">
        <v>96</v>
      </c>
      <c r="E2274" s="8"/>
      <c r="F2274" s="8"/>
      <c r="G2274" s="8"/>
      <c r="H2274" s="8"/>
      <c r="I2274" s="8"/>
      <c r="J2274" s="8"/>
      <c r="K2274" s="8"/>
      <c r="L2274" s="8"/>
      <c r="M2274" s="8"/>
      <c r="N2274" s="8"/>
      <c r="O2274" s="8"/>
      <c r="P2274" s="8"/>
      <c r="Q2274" s="8"/>
      <c r="R2274" s="11">
        <v>1615774.33</v>
      </c>
      <c r="S2274" s="8"/>
      <c r="T2274" s="8"/>
      <c r="U2274" s="8"/>
      <c r="V2274" s="8"/>
      <c r="W2274" s="8"/>
    </row>
    <row r="2275" spans="2:23" x14ac:dyDescent="0.2">
      <c r="B2275" s="9"/>
      <c r="C2275" s="9"/>
      <c r="D2275" s="9"/>
      <c r="E2275" s="9"/>
      <c r="F2275" s="9"/>
      <c r="G2275" s="9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9"/>
      <c r="U2275" s="9"/>
      <c r="V2275" s="9"/>
      <c r="W2275" s="9"/>
    </row>
    <row r="2276" spans="2:23" x14ac:dyDescent="0.2">
      <c r="B2276" s="22" t="s">
        <v>7</v>
      </c>
      <c r="D2276" s="22" t="s">
        <v>2021</v>
      </c>
      <c r="O2276" s="20" t="s">
        <v>97</v>
      </c>
      <c r="P2276" s="8"/>
      <c r="Q2276" s="8"/>
      <c r="R2276" s="11">
        <v>1328315.49</v>
      </c>
    </row>
    <row r="2277" spans="2:23" x14ac:dyDescent="0.2">
      <c r="O2277" s="9"/>
      <c r="P2277" s="9"/>
      <c r="Q2277" s="9"/>
      <c r="R2277" s="9"/>
    </row>
    <row r="2278" spans="2:23" x14ac:dyDescent="0.2">
      <c r="B2278" s="2" t="s">
        <v>98</v>
      </c>
    </row>
    <row r="2280" spans="2:23" ht="24" customHeight="1" x14ac:dyDescent="0.2">
      <c r="B2280" s="54" t="s">
        <v>0</v>
      </c>
      <c r="C2280" s="50"/>
      <c r="D2280" s="50"/>
      <c r="E2280" s="50"/>
      <c r="F2280" s="50"/>
      <c r="G2280" s="50"/>
      <c r="H2280" s="50"/>
      <c r="I2280" s="50"/>
      <c r="J2280" s="50"/>
      <c r="K2280" s="50"/>
      <c r="L2280" s="50"/>
      <c r="M2280" s="50"/>
      <c r="N2280" s="50"/>
      <c r="O2280" s="50"/>
      <c r="P2280" s="50"/>
      <c r="Q2280" s="50"/>
      <c r="R2280" s="50"/>
      <c r="S2280" s="50"/>
      <c r="T2280" s="50"/>
      <c r="U2280" s="50"/>
      <c r="V2280" s="50"/>
      <c r="W2280" s="50"/>
    </row>
    <row r="2281" spans="2:23" ht="18" x14ac:dyDescent="0.2">
      <c r="B2281" s="1" t="s">
        <v>1</v>
      </c>
      <c r="S2281" s="55" t="s">
        <v>2089</v>
      </c>
      <c r="T2281" s="50"/>
      <c r="U2281" s="50"/>
      <c r="V2281" s="50"/>
      <c r="W2281" s="50"/>
    </row>
    <row r="2282" spans="2:23" ht="12.75" thickBot="1" x14ac:dyDescent="0.25">
      <c r="B2282" s="10" t="s">
        <v>3</v>
      </c>
      <c r="C2282" s="6"/>
      <c r="D2282" s="6"/>
      <c r="E2282" s="6"/>
      <c r="F2282" s="6"/>
      <c r="G2282" s="6"/>
      <c r="H2282" s="6"/>
      <c r="I2282" s="6"/>
      <c r="J2282" s="6"/>
      <c r="K2282" s="6" t="s">
        <v>5</v>
      </c>
      <c r="L2282" s="6"/>
      <c r="M2282" s="6"/>
      <c r="N2282" s="6"/>
      <c r="O2282" s="6"/>
      <c r="P2282" s="6" t="s">
        <v>4</v>
      </c>
      <c r="Q2282" s="6" t="s">
        <v>2730</v>
      </c>
      <c r="R2282" s="6"/>
      <c r="S2282" s="56" t="s">
        <v>6</v>
      </c>
      <c r="T2282" s="57"/>
      <c r="U2282" s="57"/>
      <c r="V2282" s="57"/>
      <c r="W2282" s="57"/>
    </row>
    <row r="2283" spans="2:23" ht="12.75" thickTop="1" x14ac:dyDescent="0.2"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</row>
    <row r="2284" spans="2:23" ht="15.75" x14ac:dyDescent="0.2">
      <c r="B2284" s="3" t="s">
        <v>7</v>
      </c>
      <c r="F2284" s="3" t="s">
        <v>2176</v>
      </c>
    </row>
    <row r="2286" spans="2:23" x14ac:dyDescent="0.2">
      <c r="B2286" s="8"/>
      <c r="C2286" s="20" t="s">
        <v>8</v>
      </c>
      <c r="D2286" s="8"/>
      <c r="E2286" s="20" t="s">
        <v>9</v>
      </c>
      <c r="F2286" s="8"/>
      <c r="G2286" s="8"/>
      <c r="H2286" s="8"/>
      <c r="I2286" s="20" t="s">
        <v>13</v>
      </c>
      <c r="J2286" s="8"/>
      <c r="K2286" s="8"/>
      <c r="L2286" s="20" t="s">
        <v>12</v>
      </c>
      <c r="M2286" s="8"/>
      <c r="N2286" s="8"/>
      <c r="O2286" s="8"/>
      <c r="P2286" s="20" t="s">
        <v>14</v>
      </c>
      <c r="Q2286" s="8"/>
      <c r="R2286" s="8"/>
      <c r="S2286" s="8"/>
      <c r="T2286" s="21" t="s">
        <v>11</v>
      </c>
      <c r="U2286" s="8"/>
      <c r="V2286" s="58" t="s">
        <v>10</v>
      </c>
      <c r="W2286" s="59"/>
    </row>
    <row r="2287" spans="2:23" x14ac:dyDescent="0.2">
      <c r="B2287" s="9"/>
      <c r="C2287" s="9"/>
      <c r="D2287" s="9"/>
      <c r="E2287" s="9"/>
      <c r="F2287" s="9"/>
      <c r="G2287" s="9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9"/>
      <c r="U2287" s="9"/>
      <c r="V2287" s="9"/>
      <c r="W2287" s="9"/>
    </row>
    <row r="2288" spans="2:23" ht="15" x14ac:dyDescent="0.2">
      <c r="B2288" s="4" t="s">
        <v>15</v>
      </c>
    </row>
    <row r="2290" spans="2:23" x14ac:dyDescent="0.2">
      <c r="B2290" s="22" t="s">
        <v>1758</v>
      </c>
      <c r="E2290" s="22" t="s">
        <v>1759</v>
      </c>
    </row>
    <row r="2291" spans="2:23" x14ac:dyDescent="0.2">
      <c r="C2291" s="2" t="s">
        <v>444</v>
      </c>
      <c r="E2291" s="2" t="s">
        <v>2177</v>
      </c>
      <c r="I2291" s="2" t="s">
        <v>209</v>
      </c>
      <c r="P2291" s="2" t="s">
        <v>2178</v>
      </c>
      <c r="T2291" s="5">
        <v>400</v>
      </c>
      <c r="V2291" s="49">
        <v>0</v>
      </c>
      <c r="W2291" s="50"/>
    </row>
    <row r="2292" spans="2:23" x14ac:dyDescent="0.2">
      <c r="C2292" s="2" t="s">
        <v>199</v>
      </c>
      <c r="E2292" s="2" t="s">
        <v>2179</v>
      </c>
      <c r="I2292" s="2" t="s">
        <v>209</v>
      </c>
      <c r="P2292" s="2" t="s">
        <v>2180</v>
      </c>
      <c r="T2292" s="5">
        <v>689</v>
      </c>
      <c r="V2292" s="49">
        <v>0</v>
      </c>
      <c r="W2292" s="50"/>
    </row>
    <row r="2293" spans="2:23" x14ac:dyDescent="0.2">
      <c r="C2293" s="2" t="s">
        <v>199</v>
      </c>
      <c r="E2293" s="2" t="s">
        <v>2183</v>
      </c>
      <c r="I2293" s="2" t="s">
        <v>209</v>
      </c>
      <c r="P2293" s="2" t="s">
        <v>2184</v>
      </c>
      <c r="T2293" s="5">
        <v>320</v>
      </c>
      <c r="V2293" s="49">
        <v>0</v>
      </c>
      <c r="W2293" s="50"/>
    </row>
    <row r="2294" spans="2:23" x14ac:dyDescent="0.2">
      <c r="C2294" s="2" t="s">
        <v>1250</v>
      </c>
      <c r="E2294" s="2" t="s">
        <v>2181</v>
      </c>
      <c r="I2294" s="2" t="s">
        <v>209</v>
      </c>
      <c r="P2294" s="2" t="s">
        <v>2182</v>
      </c>
      <c r="T2294" s="5">
        <v>750</v>
      </c>
      <c r="V2294" s="49">
        <v>0</v>
      </c>
      <c r="W2294" s="50"/>
    </row>
    <row r="2295" spans="2:23" x14ac:dyDescent="0.2">
      <c r="C2295" s="2" t="s">
        <v>1323</v>
      </c>
      <c r="E2295" s="2" t="s">
        <v>2185</v>
      </c>
      <c r="I2295" s="2" t="s">
        <v>209</v>
      </c>
      <c r="P2295" s="2" t="s">
        <v>2184</v>
      </c>
      <c r="T2295" s="5">
        <v>330</v>
      </c>
      <c r="V2295" s="49">
        <v>0</v>
      </c>
      <c r="W2295" s="50"/>
    </row>
    <row r="2296" spans="2:23" x14ac:dyDescent="0.2">
      <c r="B2296" s="22" t="s">
        <v>1758</v>
      </c>
      <c r="E2296" s="22" t="s">
        <v>1759</v>
      </c>
      <c r="S2296" s="51">
        <v>2489</v>
      </c>
      <c r="T2296" s="50"/>
      <c r="U2296" s="51">
        <v>0</v>
      </c>
      <c r="V2296" s="50"/>
      <c r="W2296" s="50"/>
    </row>
    <row r="2298" spans="2:23" x14ac:dyDescent="0.2">
      <c r="B2298" s="22" t="s">
        <v>2058</v>
      </c>
      <c r="E2298" s="22" t="s">
        <v>2059</v>
      </c>
    </row>
    <row r="2299" spans="2:23" x14ac:dyDescent="0.2">
      <c r="C2299" s="2" t="s">
        <v>25</v>
      </c>
      <c r="E2299" s="2" t="s">
        <v>2186</v>
      </c>
      <c r="I2299" s="2" t="s">
        <v>106</v>
      </c>
      <c r="L2299" s="2" t="s">
        <v>2187</v>
      </c>
      <c r="P2299" s="2" t="s">
        <v>2188</v>
      </c>
      <c r="T2299" s="5">
        <v>3025</v>
      </c>
      <c r="V2299" s="49">
        <v>0</v>
      </c>
      <c r="W2299" s="50"/>
    </row>
    <row r="2300" spans="2:23" x14ac:dyDescent="0.2">
      <c r="C2300" s="2" t="s">
        <v>28</v>
      </c>
      <c r="E2300" s="2" t="s">
        <v>2189</v>
      </c>
      <c r="I2300" s="2" t="s">
        <v>106</v>
      </c>
      <c r="L2300" s="2" t="s">
        <v>2187</v>
      </c>
      <c r="P2300" s="2" t="s">
        <v>2190</v>
      </c>
      <c r="T2300" s="5">
        <v>3025</v>
      </c>
      <c r="V2300" s="49">
        <v>0</v>
      </c>
      <c r="W2300" s="50"/>
    </row>
    <row r="2301" spans="2:23" x14ac:dyDescent="0.2">
      <c r="C2301" s="2" t="s">
        <v>31</v>
      </c>
      <c r="E2301" s="2" t="s">
        <v>2191</v>
      </c>
      <c r="I2301" s="2" t="s">
        <v>106</v>
      </c>
      <c r="L2301" s="2" t="s">
        <v>2187</v>
      </c>
      <c r="P2301" s="2" t="s">
        <v>2192</v>
      </c>
      <c r="T2301" s="5">
        <v>3025</v>
      </c>
      <c r="V2301" s="49">
        <v>0</v>
      </c>
      <c r="W2301" s="50"/>
    </row>
    <row r="2302" spans="2:23" x14ac:dyDescent="0.2">
      <c r="C2302" s="2" t="s">
        <v>34</v>
      </c>
      <c r="E2302" s="2" t="s">
        <v>2193</v>
      </c>
      <c r="I2302" s="2" t="s">
        <v>106</v>
      </c>
      <c r="L2302" s="2" t="s">
        <v>2187</v>
      </c>
      <c r="P2302" s="2" t="s">
        <v>2194</v>
      </c>
      <c r="T2302" s="5">
        <v>3025</v>
      </c>
      <c r="V2302" s="49">
        <v>0</v>
      </c>
      <c r="W2302" s="50"/>
    </row>
    <row r="2303" spans="2:23" x14ac:dyDescent="0.2">
      <c r="C2303" s="2" t="s">
        <v>37</v>
      </c>
      <c r="E2303" s="2" t="s">
        <v>2195</v>
      </c>
      <c r="I2303" s="2" t="s">
        <v>106</v>
      </c>
      <c r="L2303" s="2" t="s">
        <v>2187</v>
      </c>
      <c r="P2303" s="2" t="s">
        <v>2196</v>
      </c>
      <c r="T2303" s="5">
        <v>3025</v>
      </c>
      <c r="V2303" s="49">
        <v>0</v>
      </c>
      <c r="W2303" s="50"/>
    </row>
    <row r="2304" spans="2:23" x14ac:dyDescent="0.2">
      <c r="C2304" s="2" t="s">
        <v>40</v>
      </c>
      <c r="E2304" s="2" t="s">
        <v>2197</v>
      </c>
      <c r="I2304" s="2" t="s">
        <v>106</v>
      </c>
      <c r="L2304" s="2" t="s">
        <v>2187</v>
      </c>
      <c r="P2304" s="2" t="s">
        <v>2198</v>
      </c>
      <c r="T2304" s="5">
        <v>3025</v>
      </c>
      <c r="V2304" s="49">
        <v>0</v>
      </c>
      <c r="W2304" s="50"/>
    </row>
    <row r="2305" spans="2:23" x14ac:dyDescent="0.2">
      <c r="C2305" s="2" t="s">
        <v>43</v>
      </c>
      <c r="E2305" s="2" t="s">
        <v>2199</v>
      </c>
      <c r="I2305" s="2" t="s">
        <v>106</v>
      </c>
      <c r="L2305" s="2" t="s">
        <v>2061</v>
      </c>
      <c r="P2305" s="2" t="s">
        <v>2200</v>
      </c>
      <c r="T2305" s="5">
        <v>3482.38</v>
      </c>
      <c r="V2305" s="49">
        <v>0</v>
      </c>
      <c r="W2305" s="50"/>
    </row>
    <row r="2306" spans="2:23" x14ac:dyDescent="0.2">
      <c r="C2306" s="2" t="s">
        <v>46</v>
      </c>
      <c r="E2306" s="2" t="s">
        <v>2201</v>
      </c>
      <c r="I2306" s="2" t="s">
        <v>106</v>
      </c>
      <c r="L2306" s="2" t="s">
        <v>2061</v>
      </c>
      <c r="P2306" s="2" t="s">
        <v>2202</v>
      </c>
      <c r="T2306" s="5">
        <v>3482.38</v>
      </c>
      <c r="V2306" s="49">
        <v>0</v>
      </c>
      <c r="W2306" s="50"/>
    </row>
    <row r="2307" spans="2:23" x14ac:dyDescent="0.2">
      <c r="C2307" s="2" t="s">
        <v>481</v>
      </c>
      <c r="E2307" s="2" t="s">
        <v>2203</v>
      </c>
      <c r="I2307" s="2" t="s">
        <v>106</v>
      </c>
      <c r="L2307" s="2" t="s">
        <v>2061</v>
      </c>
      <c r="P2307" s="2" t="s">
        <v>2204</v>
      </c>
      <c r="T2307" s="5">
        <v>3482.38</v>
      </c>
      <c r="V2307" s="49">
        <v>0</v>
      </c>
      <c r="W2307" s="50"/>
    </row>
    <row r="2308" spans="2:23" x14ac:dyDescent="0.2">
      <c r="C2308" s="2" t="s">
        <v>52</v>
      </c>
      <c r="E2308" s="2" t="s">
        <v>2205</v>
      </c>
      <c r="I2308" s="2" t="s">
        <v>106</v>
      </c>
      <c r="L2308" s="2" t="s">
        <v>2061</v>
      </c>
      <c r="P2308" s="2" t="s">
        <v>2206</v>
      </c>
      <c r="T2308" s="5">
        <v>3482.38</v>
      </c>
      <c r="V2308" s="49">
        <v>0</v>
      </c>
      <c r="W2308" s="50"/>
    </row>
    <row r="2309" spans="2:23" x14ac:dyDescent="0.2">
      <c r="C2309" s="2" t="s">
        <v>55</v>
      </c>
      <c r="E2309" s="2" t="s">
        <v>2207</v>
      </c>
      <c r="I2309" s="2" t="s">
        <v>106</v>
      </c>
      <c r="L2309" s="2" t="s">
        <v>2061</v>
      </c>
      <c r="P2309" s="2" t="s">
        <v>2208</v>
      </c>
      <c r="T2309" s="5">
        <v>3482.38</v>
      </c>
      <c r="V2309" s="49">
        <v>0</v>
      </c>
      <c r="W2309" s="50"/>
    </row>
    <row r="2310" spans="2:23" x14ac:dyDescent="0.2">
      <c r="C2310" s="2" t="s">
        <v>20</v>
      </c>
      <c r="E2310" s="2" t="s">
        <v>2209</v>
      </c>
      <c r="I2310" s="2" t="s">
        <v>106</v>
      </c>
      <c r="L2310" s="2" t="s">
        <v>2061</v>
      </c>
      <c r="P2310" s="2" t="s">
        <v>2210</v>
      </c>
      <c r="T2310" s="5">
        <v>3482.38</v>
      </c>
      <c r="V2310" s="49">
        <v>0</v>
      </c>
      <c r="W2310" s="50"/>
    </row>
    <row r="2311" spans="2:23" x14ac:dyDescent="0.2">
      <c r="B2311" s="22" t="s">
        <v>2058</v>
      </c>
      <c r="E2311" s="22" t="s">
        <v>2059</v>
      </c>
      <c r="S2311" s="51">
        <v>39044.28</v>
      </c>
      <c r="T2311" s="50"/>
      <c r="U2311" s="51">
        <v>0</v>
      </c>
      <c r="V2311" s="50"/>
      <c r="W2311" s="50"/>
    </row>
    <row r="2312" spans="2:23" x14ac:dyDescent="0.2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8"/>
      <c r="M2312" s="8"/>
      <c r="N2312" s="8"/>
      <c r="O2312" s="8"/>
      <c r="P2312" s="8"/>
      <c r="Q2312" s="8"/>
      <c r="R2312" s="8"/>
      <c r="S2312" s="8"/>
      <c r="T2312" s="8"/>
      <c r="U2312" s="8"/>
      <c r="V2312" s="8"/>
      <c r="W2312" s="8"/>
    </row>
    <row r="2313" spans="2:23" x14ac:dyDescent="0.2">
      <c r="B2313" s="9"/>
      <c r="C2313" s="9"/>
      <c r="D2313" s="9"/>
      <c r="E2313" s="9"/>
      <c r="F2313" s="9"/>
      <c r="G2313" s="9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52">
        <v>41533.279999999999</v>
      </c>
      <c r="T2313" s="53"/>
      <c r="U2313" s="52">
        <v>0</v>
      </c>
      <c r="V2313" s="53"/>
      <c r="W2313" s="53"/>
    </row>
    <row r="2314" spans="2:23" x14ac:dyDescent="0.2">
      <c r="B2314" s="8"/>
      <c r="C2314" s="8"/>
      <c r="D2314" s="20" t="s">
        <v>81</v>
      </c>
      <c r="E2314" s="8"/>
      <c r="F2314" s="8"/>
      <c r="G2314" s="8"/>
      <c r="H2314" s="8"/>
      <c r="I2314" s="8"/>
      <c r="J2314" s="8"/>
      <c r="K2314" s="8"/>
      <c r="L2314" s="8"/>
      <c r="M2314" s="8"/>
      <c r="N2314" s="8"/>
      <c r="O2314" s="8"/>
      <c r="P2314" s="8"/>
      <c r="Q2314" s="8"/>
      <c r="R2314" s="11">
        <v>41533.279999999999</v>
      </c>
      <c r="S2314" s="8"/>
      <c r="T2314" s="8"/>
      <c r="U2314" s="8"/>
      <c r="V2314" s="8"/>
      <c r="W2314" s="8"/>
    </row>
    <row r="2315" spans="2:23" x14ac:dyDescent="0.2">
      <c r="B2315" s="9"/>
      <c r="C2315" s="9"/>
      <c r="D2315" s="9"/>
      <c r="E2315" s="9"/>
      <c r="F2315" s="9"/>
      <c r="G2315" s="9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9"/>
      <c r="U2315" s="9"/>
      <c r="V2315" s="9"/>
      <c r="W2315" s="9"/>
    </row>
    <row r="2316" spans="2:23" x14ac:dyDescent="0.2">
      <c r="B2316" s="22" t="s">
        <v>7</v>
      </c>
      <c r="D2316" s="22" t="s">
        <v>2176</v>
      </c>
      <c r="O2316" s="20" t="s">
        <v>97</v>
      </c>
      <c r="P2316" s="8"/>
      <c r="Q2316" s="8"/>
      <c r="R2316" s="11">
        <v>-41533.279999999999</v>
      </c>
    </row>
    <row r="2317" spans="2:23" x14ac:dyDescent="0.2">
      <c r="O2317" s="9"/>
      <c r="P2317" s="9"/>
      <c r="Q2317" s="9"/>
      <c r="R2317" s="9"/>
    </row>
    <row r="2318" spans="2:23" x14ac:dyDescent="0.2">
      <c r="B2318" s="2" t="s">
        <v>98</v>
      </c>
    </row>
    <row r="2320" spans="2:23" ht="24" customHeight="1" x14ac:dyDescent="0.2">
      <c r="B2320" s="54" t="s">
        <v>0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  <c r="R2320" s="50"/>
      <c r="S2320" s="50"/>
      <c r="T2320" s="50"/>
      <c r="U2320" s="50"/>
      <c r="V2320" s="50"/>
      <c r="W2320" s="50"/>
    </row>
    <row r="2321" spans="2:23" ht="18" x14ac:dyDescent="0.2">
      <c r="B2321" s="1" t="s">
        <v>1</v>
      </c>
      <c r="S2321" s="55" t="s">
        <v>2174</v>
      </c>
      <c r="T2321" s="50"/>
      <c r="U2321" s="50"/>
      <c r="V2321" s="50"/>
      <c r="W2321" s="50"/>
    </row>
    <row r="2322" spans="2:23" ht="12.75" thickBot="1" x14ac:dyDescent="0.25">
      <c r="B2322" s="10" t="s">
        <v>3</v>
      </c>
      <c r="C2322" s="6"/>
      <c r="D2322" s="6"/>
      <c r="E2322" s="6"/>
      <c r="F2322" s="6"/>
      <c r="G2322" s="6"/>
      <c r="H2322" s="6"/>
      <c r="I2322" s="6"/>
      <c r="J2322" s="6"/>
      <c r="K2322" s="6" t="s">
        <v>5</v>
      </c>
      <c r="L2322" s="6"/>
      <c r="M2322" s="6"/>
      <c r="N2322" s="6"/>
      <c r="O2322" s="6"/>
      <c r="P2322" s="6" t="s">
        <v>4</v>
      </c>
      <c r="Q2322" s="6" t="s">
        <v>2730</v>
      </c>
      <c r="R2322" s="6"/>
      <c r="S2322" s="56" t="s">
        <v>6</v>
      </c>
      <c r="T2322" s="57"/>
      <c r="U2322" s="57"/>
      <c r="V2322" s="57"/>
      <c r="W2322" s="57"/>
    </row>
    <row r="2323" spans="2:23" ht="12.75" thickTop="1" x14ac:dyDescent="0.2"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</row>
    <row r="2324" spans="2:23" ht="15.75" x14ac:dyDescent="0.2">
      <c r="B2324" s="3" t="s">
        <v>7</v>
      </c>
      <c r="F2324" s="3" t="s">
        <v>2212</v>
      </c>
    </row>
    <row r="2326" spans="2:23" x14ac:dyDescent="0.2">
      <c r="B2326" s="8"/>
      <c r="C2326" s="20" t="s">
        <v>8</v>
      </c>
      <c r="D2326" s="8"/>
      <c r="E2326" s="20" t="s">
        <v>9</v>
      </c>
      <c r="F2326" s="8"/>
      <c r="G2326" s="8"/>
      <c r="H2326" s="8"/>
      <c r="I2326" s="20" t="s">
        <v>13</v>
      </c>
      <c r="J2326" s="8"/>
      <c r="K2326" s="8"/>
      <c r="L2326" s="20" t="s">
        <v>12</v>
      </c>
      <c r="M2326" s="8"/>
      <c r="N2326" s="8"/>
      <c r="O2326" s="8"/>
      <c r="P2326" s="20" t="s">
        <v>14</v>
      </c>
      <c r="Q2326" s="8"/>
      <c r="R2326" s="8"/>
      <c r="S2326" s="8"/>
      <c r="T2326" s="21" t="s">
        <v>11</v>
      </c>
      <c r="U2326" s="8"/>
      <c r="V2326" s="58" t="s">
        <v>10</v>
      </c>
      <c r="W2326" s="59"/>
    </row>
    <row r="2327" spans="2:23" x14ac:dyDescent="0.2">
      <c r="B2327" s="9"/>
      <c r="C2327" s="9"/>
      <c r="D2327" s="9"/>
      <c r="E2327" s="9"/>
      <c r="F2327" s="9"/>
      <c r="G2327" s="9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9"/>
      <c r="U2327" s="9"/>
      <c r="V2327" s="9"/>
      <c r="W2327" s="9"/>
    </row>
    <row r="2328" spans="2:23" ht="15" x14ac:dyDescent="0.2">
      <c r="B2328" s="4" t="s">
        <v>15</v>
      </c>
    </row>
    <row r="2330" spans="2:23" x14ac:dyDescent="0.2">
      <c r="B2330" s="22" t="s">
        <v>147</v>
      </c>
      <c r="E2330" s="22" t="s">
        <v>148</v>
      </c>
    </row>
    <row r="2331" spans="2:23" x14ac:dyDescent="0.2">
      <c r="C2331" s="2" t="s">
        <v>376</v>
      </c>
      <c r="E2331" s="2" t="s">
        <v>2213</v>
      </c>
      <c r="I2331" s="2" t="s">
        <v>106</v>
      </c>
      <c r="L2331" s="2" t="s">
        <v>2214</v>
      </c>
      <c r="P2331" s="2" t="s">
        <v>235</v>
      </c>
      <c r="T2331" s="5">
        <v>1500</v>
      </c>
      <c r="V2331" s="49">
        <v>0</v>
      </c>
      <c r="W2331" s="50"/>
    </row>
    <row r="2332" spans="2:23" x14ac:dyDescent="0.2">
      <c r="B2332" s="22" t="s">
        <v>147</v>
      </c>
      <c r="E2332" s="22" t="s">
        <v>148</v>
      </c>
      <c r="S2332" s="51">
        <v>1500</v>
      </c>
      <c r="T2332" s="50"/>
      <c r="U2332" s="51">
        <v>0</v>
      </c>
      <c r="V2332" s="50"/>
      <c r="W2332" s="50"/>
    </row>
    <row r="2333" spans="2:23" x14ac:dyDescent="0.2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8"/>
      <c r="M2333" s="8"/>
      <c r="N2333" s="8"/>
      <c r="O2333" s="8"/>
      <c r="P2333" s="8"/>
      <c r="Q2333" s="8"/>
      <c r="R2333" s="8"/>
      <c r="S2333" s="8"/>
      <c r="T2333" s="8"/>
      <c r="U2333" s="8"/>
      <c r="V2333" s="8"/>
      <c r="W2333" s="8"/>
    </row>
    <row r="2334" spans="2:23" x14ac:dyDescent="0.2">
      <c r="B2334" s="9"/>
      <c r="C2334" s="9"/>
      <c r="D2334" s="9"/>
      <c r="E2334" s="9"/>
      <c r="F2334" s="9"/>
      <c r="G2334" s="9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52">
        <v>1500</v>
      </c>
      <c r="T2334" s="53"/>
      <c r="U2334" s="52">
        <v>0</v>
      </c>
      <c r="V2334" s="53"/>
      <c r="W2334" s="53"/>
    </row>
    <row r="2335" spans="2:23" x14ac:dyDescent="0.2">
      <c r="B2335" s="8"/>
      <c r="C2335" s="8"/>
      <c r="D2335" s="20" t="s">
        <v>81</v>
      </c>
      <c r="E2335" s="8"/>
      <c r="F2335" s="8"/>
      <c r="G2335" s="8"/>
      <c r="H2335" s="8"/>
      <c r="I2335" s="8"/>
      <c r="J2335" s="8"/>
      <c r="K2335" s="8"/>
      <c r="L2335" s="8"/>
      <c r="M2335" s="8"/>
      <c r="N2335" s="8"/>
      <c r="O2335" s="8"/>
      <c r="P2335" s="8"/>
      <c r="Q2335" s="8"/>
      <c r="R2335" s="11">
        <v>1500</v>
      </c>
      <c r="S2335" s="8"/>
      <c r="T2335" s="8"/>
      <c r="U2335" s="8"/>
      <c r="V2335" s="8"/>
      <c r="W2335" s="8"/>
    </row>
    <row r="2336" spans="2:23" x14ac:dyDescent="0.2">
      <c r="B2336" s="9"/>
      <c r="C2336" s="9"/>
      <c r="D2336" s="9"/>
      <c r="E2336" s="9"/>
      <c r="F2336" s="9"/>
      <c r="G2336" s="9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9"/>
      <c r="U2336" s="9"/>
      <c r="V2336" s="9"/>
      <c r="W2336" s="9"/>
    </row>
    <row r="2337" spans="2:23" x14ac:dyDescent="0.2">
      <c r="B2337" s="22" t="s">
        <v>7</v>
      </c>
      <c r="D2337" s="22" t="s">
        <v>2212</v>
      </c>
      <c r="O2337" s="20" t="s">
        <v>97</v>
      </c>
      <c r="P2337" s="8"/>
      <c r="Q2337" s="8"/>
      <c r="R2337" s="11">
        <v>-1500</v>
      </c>
    </row>
    <row r="2338" spans="2:23" x14ac:dyDescent="0.2">
      <c r="O2338" s="9"/>
      <c r="P2338" s="9"/>
      <c r="Q2338" s="9"/>
      <c r="R2338" s="9"/>
    </row>
    <row r="2339" spans="2:23" x14ac:dyDescent="0.2">
      <c r="B2339" s="2" t="s">
        <v>98</v>
      </c>
    </row>
    <row r="2341" spans="2:23" ht="24" customHeight="1" x14ac:dyDescent="0.2">
      <c r="B2341" s="54" t="s">
        <v>0</v>
      </c>
      <c r="C2341" s="50"/>
      <c r="D2341" s="50"/>
      <c r="E2341" s="50"/>
      <c r="F2341" s="50"/>
      <c r="G2341" s="50"/>
      <c r="H2341" s="50"/>
      <c r="I2341" s="50"/>
      <c r="J2341" s="50"/>
      <c r="K2341" s="50"/>
      <c r="L2341" s="50"/>
      <c r="M2341" s="50"/>
      <c r="N2341" s="50"/>
      <c r="O2341" s="50"/>
      <c r="P2341" s="50"/>
      <c r="Q2341" s="50"/>
      <c r="R2341" s="50"/>
      <c r="S2341" s="50"/>
      <c r="T2341" s="50"/>
      <c r="U2341" s="50"/>
      <c r="V2341" s="50"/>
      <c r="W2341" s="50"/>
    </row>
    <row r="2342" spans="2:23" ht="18" x14ac:dyDescent="0.2">
      <c r="B2342" s="1" t="s">
        <v>1</v>
      </c>
      <c r="S2342" s="55" t="s">
        <v>2175</v>
      </c>
      <c r="T2342" s="50"/>
      <c r="U2342" s="50"/>
      <c r="V2342" s="50"/>
      <c r="W2342" s="50"/>
    </row>
    <row r="2343" spans="2:23" ht="12.75" thickBot="1" x14ac:dyDescent="0.25">
      <c r="B2343" s="10" t="s">
        <v>3</v>
      </c>
      <c r="C2343" s="6"/>
      <c r="D2343" s="6"/>
      <c r="E2343" s="6"/>
      <c r="F2343" s="6"/>
      <c r="G2343" s="6"/>
      <c r="H2343" s="6"/>
      <c r="I2343" s="6"/>
      <c r="J2343" s="6"/>
      <c r="K2343" s="6" t="s">
        <v>5</v>
      </c>
      <c r="L2343" s="6"/>
      <c r="M2343" s="6"/>
      <c r="N2343" s="6"/>
      <c r="O2343" s="6"/>
      <c r="P2343" s="6" t="s">
        <v>4</v>
      </c>
      <c r="Q2343" s="6" t="s">
        <v>2730</v>
      </c>
      <c r="R2343" s="6"/>
      <c r="S2343" s="56" t="s">
        <v>6</v>
      </c>
      <c r="T2343" s="57"/>
      <c r="U2343" s="57"/>
      <c r="V2343" s="57"/>
      <c r="W2343" s="57"/>
    </row>
    <row r="2344" spans="2:23" ht="12.75" thickTop="1" x14ac:dyDescent="0.2"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</row>
    <row r="2345" spans="2:23" ht="15.75" x14ac:dyDescent="0.2">
      <c r="B2345" s="3" t="s">
        <v>7</v>
      </c>
      <c r="F2345" s="3" t="s">
        <v>2216</v>
      </c>
    </row>
    <row r="2347" spans="2:23" x14ac:dyDescent="0.2">
      <c r="B2347" s="8"/>
      <c r="C2347" s="20" t="s">
        <v>8</v>
      </c>
      <c r="D2347" s="8"/>
      <c r="E2347" s="20" t="s">
        <v>9</v>
      </c>
      <c r="F2347" s="8"/>
      <c r="G2347" s="8"/>
      <c r="H2347" s="8"/>
      <c r="I2347" s="20" t="s">
        <v>13</v>
      </c>
      <c r="J2347" s="8"/>
      <c r="K2347" s="8"/>
      <c r="L2347" s="20" t="s">
        <v>12</v>
      </c>
      <c r="M2347" s="8"/>
      <c r="N2347" s="8"/>
      <c r="O2347" s="8"/>
      <c r="P2347" s="20" t="s">
        <v>14</v>
      </c>
      <c r="Q2347" s="8"/>
      <c r="R2347" s="8"/>
      <c r="S2347" s="8"/>
      <c r="T2347" s="21" t="s">
        <v>11</v>
      </c>
      <c r="U2347" s="8"/>
      <c r="V2347" s="58" t="s">
        <v>10</v>
      </c>
      <c r="W2347" s="59"/>
    </row>
    <row r="2348" spans="2:23" x14ac:dyDescent="0.2">
      <c r="B2348" s="9"/>
      <c r="C2348" s="9"/>
      <c r="D2348" s="9"/>
      <c r="E2348" s="9"/>
      <c r="F2348" s="9"/>
      <c r="G2348" s="9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9"/>
      <c r="U2348" s="9"/>
      <c r="V2348" s="9"/>
      <c r="W2348" s="9"/>
    </row>
    <row r="2349" spans="2:23" ht="15" x14ac:dyDescent="0.2">
      <c r="B2349" s="4" t="s">
        <v>15</v>
      </c>
    </row>
    <row r="2351" spans="2:23" x14ac:dyDescent="0.2">
      <c r="B2351" s="22" t="s">
        <v>1758</v>
      </c>
      <c r="E2351" s="22" t="s">
        <v>1759</v>
      </c>
    </row>
    <row r="2352" spans="2:23" x14ac:dyDescent="0.2">
      <c r="C2352" s="2" t="s">
        <v>55</v>
      </c>
      <c r="E2352" s="2" t="s">
        <v>2217</v>
      </c>
      <c r="I2352" s="2" t="s">
        <v>106</v>
      </c>
      <c r="L2352" s="2" t="s">
        <v>2218</v>
      </c>
      <c r="P2352" s="2" t="s">
        <v>2219</v>
      </c>
      <c r="T2352" s="5">
        <v>990</v>
      </c>
      <c r="V2352" s="49">
        <v>0</v>
      </c>
      <c r="W2352" s="50"/>
    </row>
    <row r="2353" spans="2:23" x14ac:dyDescent="0.2">
      <c r="B2353" s="22" t="s">
        <v>1758</v>
      </c>
      <c r="E2353" s="22" t="s">
        <v>1759</v>
      </c>
      <c r="S2353" s="51">
        <v>990</v>
      </c>
      <c r="T2353" s="50"/>
      <c r="U2353" s="51">
        <v>0</v>
      </c>
      <c r="V2353" s="50"/>
      <c r="W2353" s="50"/>
    </row>
    <row r="2355" spans="2:23" x14ac:dyDescent="0.2">
      <c r="B2355" s="22" t="s">
        <v>147</v>
      </c>
      <c r="E2355" s="22" t="s">
        <v>148</v>
      </c>
    </row>
    <row r="2356" spans="2:23" x14ac:dyDescent="0.2">
      <c r="C2356" s="2" t="s">
        <v>2224</v>
      </c>
      <c r="E2356" s="2" t="s">
        <v>2223</v>
      </c>
      <c r="I2356" s="2" t="s">
        <v>106</v>
      </c>
      <c r="L2356" s="2" t="s">
        <v>1981</v>
      </c>
      <c r="P2356" s="2" t="s">
        <v>2225</v>
      </c>
      <c r="T2356" s="5">
        <v>135800</v>
      </c>
      <c r="V2356" s="49">
        <v>0</v>
      </c>
      <c r="W2356" s="50"/>
    </row>
    <row r="2357" spans="2:23" x14ac:dyDescent="0.2">
      <c r="C2357" s="2" t="s">
        <v>1836</v>
      </c>
      <c r="E2357" s="2" t="s">
        <v>2226</v>
      </c>
      <c r="I2357" s="2" t="s">
        <v>106</v>
      </c>
      <c r="L2357" s="2" t="s">
        <v>1981</v>
      </c>
      <c r="P2357" s="2" t="s">
        <v>2225</v>
      </c>
      <c r="T2357" s="5">
        <v>55000</v>
      </c>
      <c r="V2357" s="49">
        <v>0</v>
      </c>
      <c r="W2357" s="50"/>
    </row>
    <row r="2358" spans="2:23" x14ac:dyDescent="0.2">
      <c r="C2358" s="2" t="s">
        <v>2291</v>
      </c>
      <c r="E2358" s="2" t="s">
        <v>2741</v>
      </c>
      <c r="I2358" s="2" t="s">
        <v>106</v>
      </c>
      <c r="L2358" s="2" t="s">
        <v>1981</v>
      </c>
      <c r="P2358" s="2" t="s">
        <v>2225</v>
      </c>
      <c r="T2358" s="5">
        <v>1000</v>
      </c>
      <c r="V2358" s="49">
        <v>0</v>
      </c>
      <c r="W2358" s="50"/>
    </row>
    <row r="2359" spans="2:23" x14ac:dyDescent="0.2">
      <c r="B2359" s="22" t="s">
        <v>147</v>
      </c>
      <c r="E2359" s="22" t="s">
        <v>148</v>
      </c>
      <c r="S2359" s="51">
        <v>191800</v>
      </c>
      <c r="T2359" s="50"/>
      <c r="U2359" s="51">
        <v>0</v>
      </c>
      <c r="V2359" s="50"/>
      <c r="W2359" s="50"/>
    </row>
    <row r="2361" spans="2:23" x14ac:dyDescent="0.2">
      <c r="B2361" s="22" t="s">
        <v>2227</v>
      </c>
      <c r="E2361" s="22" t="s">
        <v>2742</v>
      </c>
    </row>
    <row r="2362" spans="2:23" x14ac:dyDescent="0.2">
      <c r="C2362" s="2" t="s">
        <v>1307</v>
      </c>
      <c r="E2362" s="2" t="s">
        <v>2228</v>
      </c>
      <c r="I2362" s="2" t="s">
        <v>64</v>
      </c>
      <c r="P2362" s="2" t="s">
        <v>2229</v>
      </c>
      <c r="T2362" s="5">
        <v>300</v>
      </c>
      <c r="V2362" s="49">
        <v>0</v>
      </c>
      <c r="W2362" s="50"/>
    </row>
    <row r="2363" spans="2:23" x14ac:dyDescent="0.2">
      <c r="C2363" s="2" t="s">
        <v>399</v>
      </c>
      <c r="E2363" s="2" t="s">
        <v>2230</v>
      </c>
      <c r="I2363" s="2" t="s">
        <v>64</v>
      </c>
      <c r="P2363" s="2" t="s">
        <v>2229</v>
      </c>
      <c r="T2363" s="5">
        <v>300</v>
      </c>
      <c r="V2363" s="49">
        <v>0</v>
      </c>
      <c r="W2363" s="50"/>
    </row>
    <row r="2364" spans="2:23" x14ac:dyDescent="0.2">
      <c r="C2364" s="2" t="s">
        <v>784</v>
      </c>
      <c r="E2364" s="2" t="s">
        <v>2231</v>
      </c>
      <c r="I2364" s="2" t="s">
        <v>64</v>
      </c>
      <c r="P2364" s="2" t="s">
        <v>162</v>
      </c>
      <c r="T2364" s="5">
        <v>250</v>
      </c>
      <c r="V2364" s="49">
        <v>0</v>
      </c>
      <c r="W2364" s="50"/>
    </row>
    <row r="2365" spans="2:23" x14ac:dyDescent="0.2">
      <c r="C2365" s="2" t="s">
        <v>784</v>
      </c>
      <c r="E2365" s="2" t="s">
        <v>2232</v>
      </c>
      <c r="I2365" s="2" t="s">
        <v>64</v>
      </c>
      <c r="P2365" s="2" t="s">
        <v>2233</v>
      </c>
      <c r="T2365" s="5">
        <v>750</v>
      </c>
      <c r="V2365" s="49">
        <v>0</v>
      </c>
      <c r="W2365" s="50"/>
    </row>
    <row r="2366" spans="2:23" x14ac:dyDescent="0.2">
      <c r="C2366" s="2" t="s">
        <v>811</v>
      </c>
      <c r="E2366" s="2" t="s">
        <v>2234</v>
      </c>
      <c r="I2366" s="2" t="s">
        <v>64</v>
      </c>
      <c r="P2366" s="2" t="s">
        <v>2235</v>
      </c>
      <c r="T2366" s="5">
        <v>250</v>
      </c>
      <c r="V2366" s="49">
        <v>0</v>
      </c>
      <c r="W2366" s="50"/>
    </row>
    <row r="2367" spans="2:23" x14ac:dyDescent="0.2">
      <c r="C2367" s="2" t="s">
        <v>1525</v>
      </c>
      <c r="E2367" s="2" t="s">
        <v>2236</v>
      </c>
      <c r="I2367" s="2" t="s">
        <v>64</v>
      </c>
      <c r="P2367" s="2" t="s">
        <v>2237</v>
      </c>
      <c r="T2367" s="5">
        <v>200</v>
      </c>
      <c r="V2367" s="49">
        <v>0</v>
      </c>
      <c r="W2367" s="50"/>
    </row>
    <row r="2368" spans="2:23" x14ac:dyDescent="0.2">
      <c r="C2368" s="2" t="s">
        <v>2239</v>
      </c>
      <c r="E2368" s="2" t="s">
        <v>2238</v>
      </c>
      <c r="I2368" s="2" t="s">
        <v>64</v>
      </c>
      <c r="P2368" s="2" t="s">
        <v>2240</v>
      </c>
      <c r="T2368" s="5">
        <v>300</v>
      </c>
      <c r="V2368" s="49">
        <v>0</v>
      </c>
      <c r="W2368" s="50"/>
    </row>
    <row r="2369" spans="3:23" x14ac:dyDescent="0.2">
      <c r="C2369" s="2" t="s">
        <v>2242</v>
      </c>
      <c r="E2369" s="2" t="s">
        <v>2241</v>
      </c>
      <c r="I2369" s="2" t="s">
        <v>64</v>
      </c>
      <c r="P2369" s="2" t="s">
        <v>2243</v>
      </c>
      <c r="T2369" s="5">
        <v>200</v>
      </c>
      <c r="V2369" s="49">
        <v>0</v>
      </c>
      <c r="W2369" s="50"/>
    </row>
    <row r="2370" spans="3:23" x14ac:dyDescent="0.2">
      <c r="C2370" s="2" t="s">
        <v>2245</v>
      </c>
      <c r="E2370" s="2" t="s">
        <v>2244</v>
      </c>
      <c r="I2370" s="2" t="s">
        <v>64</v>
      </c>
      <c r="P2370" s="2" t="s">
        <v>2229</v>
      </c>
      <c r="T2370" s="5">
        <v>150</v>
      </c>
      <c r="V2370" s="49">
        <v>0</v>
      </c>
      <c r="W2370" s="50"/>
    </row>
    <row r="2371" spans="3:23" x14ac:dyDescent="0.2">
      <c r="C2371" s="2" t="s">
        <v>2247</v>
      </c>
      <c r="E2371" s="2" t="s">
        <v>2246</v>
      </c>
      <c r="I2371" s="2" t="s">
        <v>64</v>
      </c>
      <c r="P2371" s="2" t="s">
        <v>2248</v>
      </c>
      <c r="T2371" s="5">
        <v>400</v>
      </c>
      <c r="V2371" s="49">
        <v>0</v>
      </c>
      <c r="W2371" s="50"/>
    </row>
    <row r="2372" spans="3:23" x14ac:dyDescent="0.2">
      <c r="C2372" s="2" t="s">
        <v>2250</v>
      </c>
      <c r="E2372" s="2" t="s">
        <v>2249</v>
      </c>
      <c r="I2372" s="2" t="s">
        <v>64</v>
      </c>
      <c r="P2372" s="2" t="s">
        <v>2251</v>
      </c>
      <c r="T2372" s="5">
        <v>500</v>
      </c>
      <c r="V2372" s="49">
        <v>0</v>
      </c>
      <c r="W2372" s="50"/>
    </row>
    <row r="2373" spans="3:23" x14ac:dyDescent="0.2">
      <c r="C2373" s="2" t="s">
        <v>2253</v>
      </c>
      <c r="E2373" s="2" t="s">
        <v>2252</v>
      </c>
      <c r="I2373" s="2" t="s">
        <v>64</v>
      </c>
      <c r="P2373" s="2" t="s">
        <v>2254</v>
      </c>
      <c r="T2373" s="5">
        <v>400</v>
      </c>
      <c r="V2373" s="49">
        <v>0</v>
      </c>
      <c r="W2373" s="50"/>
    </row>
    <row r="2374" spans="3:23" x14ac:dyDescent="0.2">
      <c r="C2374" s="2" t="s">
        <v>1836</v>
      </c>
      <c r="E2374" s="2" t="s">
        <v>2255</v>
      </c>
      <c r="I2374" s="2" t="s">
        <v>64</v>
      </c>
      <c r="P2374" s="2" t="s">
        <v>2256</v>
      </c>
      <c r="T2374" s="5">
        <v>650</v>
      </c>
      <c r="V2374" s="49">
        <v>0</v>
      </c>
      <c r="W2374" s="50"/>
    </row>
    <row r="2375" spans="3:23" x14ac:dyDescent="0.2">
      <c r="C2375" s="2" t="s">
        <v>1850</v>
      </c>
      <c r="E2375" s="2" t="s">
        <v>2257</v>
      </c>
      <c r="I2375" s="2" t="s">
        <v>64</v>
      </c>
      <c r="P2375" s="2" t="s">
        <v>2229</v>
      </c>
      <c r="T2375" s="5">
        <v>150</v>
      </c>
      <c r="V2375" s="49">
        <v>0</v>
      </c>
      <c r="W2375" s="50"/>
    </row>
    <row r="2376" spans="3:23" x14ac:dyDescent="0.2">
      <c r="C2376" s="2" t="s">
        <v>2259</v>
      </c>
      <c r="E2376" s="2" t="s">
        <v>2258</v>
      </c>
      <c r="I2376" s="2" t="s">
        <v>64</v>
      </c>
      <c r="P2376" s="2" t="s">
        <v>2260</v>
      </c>
      <c r="T2376" s="5">
        <v>1800</v>
      </c>
      <c r="V2376" s="49">
        <v>0</v>
      </c>
      <c r="W2376" s="50"/>
    </row>
    <row r="2377" spans="3:23" x14ac:dyDescent="0.2">
      <c r="C2377" s="2" t="s">
        <v>2262</v>
      </c>
      <c r="E2377" s="2" t="s">
        <v>2261</v>
      </c>
      <c r="I2377" s="2" t="s">
        <v>64</v>
      </c>
      <c r="P2377" s="2" t="s">
        <v>2263</v>
      </c>
      <c r="T2377" s="5">
        <v>7500</v>
      </c>
      <c r="V2377" s="49">
        <v>0</v>
      </c>
      <c r="W2377" s="50"/>
    </row>
    <row r="2378" spans="3:23" x14ac:dyDescent="0.2">
      <c r="C2378" s="2" t="s">
        <v>1342</v>
      </c>
      <c r="E2378" s="2" t="s">
        <v>2264</v>
      </c>
      <c r="I2378" s="2" t="s">
        <v>64</v>
      </c>
      <c r="P2378" s="2" t="s">
        <v>2265</v>
      </c>
      <c r="T2378" s="5">
        <v>500</v>
      </c>
      <c r="V2378" s="49">
        <v>0</v>
      </c>
      <c r="W2378" s="50"/>
    </row>
    <row r="2379" spans="3:23" x14ac:dyDescent="0.2">
      <c r="C2379" s="2" t="s">
        <v>2160</v>
      </c>
      <c r="E2379" s="2" t="s">
        <v>2266</v>
      </c>
      <c r="I2379" s="2" t="s">
        <v>64</v>
      </c>
      <c r="P2379" s="2" t="s">
        <v>2267</v>
      </c>
      <c r="T2379" s="5">
        <v>9750</v>
      </c>
      <c r="V2379" s="49">
        <v>0</v>
      </c>
      <c r="W2379" s="50"/>
    </row>
    <row r="2380" spans="3:23" x14ac:dyDescent="0.2">
      <c r="C2380" s="2" t="s">
        <v>2269</v>
      </c>
      <c r="E2380" s="2" t="s">
        <v>2268</v>
      </c>
      <c r="I2380" s="2" t="s">
        <v>64</v>
      </c>
      <c r="P2380" s="2" t="s">
        <v>2270</v>
      </c>
      <c r="T2380" s="5">
        <v>250</v>
      </c>
      <c r="V2380" s="49">
        <v>0</v>
      </c>
      <c r="W2380" s="50"/>
    </row>
    <row r="2381" spans="3:23" x14ac:dyDescent="0.2">
      <c r="C2381" s="2" t="s">
        <v>253</v>
      </c>
      <c r="E2381" s="2" t="s">
        <v>2271</v>
      </c>
      <c r="I2381" s="2" t="s">
        <v>64</v>
      </c>
      <c r="P2381" s="2" t="s">
        <v>2272</v>
      </c>
      <c r="T2381" s="5">
        <v>2000</v>
      </c>
      <c r="V2381" s="49">
        <v>0</v>
      </c>
      <c r="W2381" s="50"/>
    </row>
    <row r="2382" spans="3:23" x14ac:dyDescent="0.2">
      <c r="C2382" s="2" t="s">
        <v>1291</v>
      </c>
      <c r="E2382" s="2" t="s">
        <v>2273</v>
      </c>
      <c r="I2382" s="2" t="s">
        <v>64</v>
      </c>
      <c r="P2382" s="2" t="s">
        <v>2274</v>
      </c>
      <c r="T2382" s="5">
        <v>2850</v>
      </c>
      <c r="V2382" s="49">
        <v>0</v>
      </c>
      <c r="W2382" s="50"/>
    </row>
    <row r="2383" spans="3:23" x14ac:dyDescent="0.2">
      <c r="C2383" s="2" t="s">
        <v>1769</v>
      </c>
      <c r="E2383" s="2" t="s">
        <v>2275</v>
      </c>
      <c r="I2383" s="2" t="s">
        <v>64</v>
      </c>
      <c r="P2383" s="2" t="s">
        <v>2276</v>
      </c>
      <c r="T2383" s="5">
        <v>750</v>
      </c>
      <c r="V2383" s="49">
        <v>0</v>
      </c>
      <c r="W2383" s="50"/>
    </row>
    <row r="2384" spans="3:23" x14ac:dyDescent="0.2">
      <c r="C2384" s="2" t="s">
        <v>2278</v>
      </c>
      <c r="E2384" s="2" t="s">
        <v>2277</v>
      </c>
      <c r="I2384" s="2" t="s">
        <v>64</v>
      </c>
      <c r="P2384" s="2" t="s">
        <v>2279</v>
      </c>
      <c r="T2384" s="5">
        <v>15000</v>
      </c>
      <c r="V2384" s="49">
        <v>0</v>
      </c>
      <c r="W2384" s="50"/>
    </row>
    <row r="2385" spans="3:23" x14ac:dyDescent="0.2">
      <c r="C2385" s="2" t="s">
        <v>2278</v>
      </c>
      <c r="E2385" s="2" t="s">
        <v>2280</v>
      </c>
      <c r="I2385" s="2" t="s">
        <v>64</v>
      </c>
      <c r="P2385" s="2" t="s">
        <v>2237</v>
      </c>
      <c r="T2385" s="5">
        <v>13500</v>
      </c>
      <c r="V2385" s="49">
        <v>0</v>
      </c>
      <c r="W2385" s="50"/>
    </row>
    <row r="2386" spans="3:23" x14ac:dyDescent="0.2">
      <c r="C2386" s="2" t="s">
        <v>1813</v>
      </c>
      <c r="E2386" s="2" t="s">
        <v>2281</v>
      </c>
      <c r="I2386" s="2" t="s">
        <v>64</v>
      </c>
      <c r="P2386" s="2" t="s">
        <v>2265</v>
      </c>
      <c r="T2386" s="5">
        <v>500</v>
      </c>
      <c r="V2386" s="49">
        <v>0</v>
      </c>
      <c r="W2386" s="50"/>
    </row>
    <row r="2387" spans="3:23" x14ac:dyDescent="0.2">
      <c r="C2387" s="2" t="s">
        <v>2283</v>
      </c>
      <c r="E2387" s="2" t="s">
        <v>2282</v>
      </c>
      <c r="I2387" s="2" t="s">
        <v>64</v>
      </c>
      <c r="P2387" s="2" t="s">
        <v>2270</v>
      </c>
      <c r="T2387" s="5">
        <v>300</v>
      </c>
      <c r="V2387" s="49">
        <v>0</v>
      </c>
      <c r="W2387" s="50"/>
    </row>
    <row r="2388" spans="3:23" x14ac:dyDescent="0.2">
      <c r="C2388" s="2" t="s">
        <v>2283</v>
      </c>
      <c r="E2388" s="2" t="s">
        <v>2284</v>
      </c>
      <c r="I2388" s="2" t="s">
        <v>64</v>
      </c>
      <c r="P2388" s="2" t="s">
        <v>2279</v>
      </c>
      <c r="T2388" s="5">
        <v>3000</v>
      </c>
      <c r="V2388" s="49">
        <v>0</v>
      </c>
      <c r="W2388" s="50"/>
    </row>
    <row r="2389" spans="3:23" x14ac:dyDescent="0.2">
      <c r="C2389" s="2" t="s">
        <v>2286</v>
      </c>
      <c r="E2389" s="2" t="s">
        <v>2285</v>
      </c>
      <c r="I2389" s="2" t="s">
        <v>64</v>
      </c>
      <c r="P2389" s="2" t="s">
        <v>2287</v>
      </c>
      <c r="T2389" s="5">
        <v>2250</v>
      </c>
      <c r="V2389" s="49">
        <v>0</v>
      </c>
      <c r="W2389" s="50"/>
    </row>
    <row r="2390" spans="3:23" x14ac:dyDescent="0.2">
      <c r="C2390" s="2" t="s">
        <v>2286</v>
      </c>
      <c r="E2390" s="2" t="s">
        <v>2288</v>
      </c>
      <c r="I2390" s="2" t="s">
        <v>64</v>
      </c>
      <c r="P2390" s="2" t="s">
        <v>2289</v>
      </c>
      <c r="T2390" s="5">
        <v>1300</v>
      </c>
      <c r="V2390" s="49">
        <v>0</v>
      </c>
      <c r="W2390" s="50"/>
    </row>
    <row r="2391" spans="3:23" x14ac:dyDescent="0.2">
      <c r="C2391" s="2" t="s">
        <v>2291</v>
      </c>
      <c r="E2391" s="2" t="s">
        <v>2290</v>
      </c>
      <c r="I2391" s="2" t="s">
        <v>64</v>
      </c>
      <c r="P2391" s="2" t="s">
        <v>2237</v>
      </c>
      <c r="T2391" s="5">
        <v>9300</v>
      </c>
      <c r="V2391" s="49">
        <v>0</v>
      </c>
      <c r="W2391" s="50"/>
    </row>
    <row r="2392" spans="3:23" x14ac:dyDescent="0.2">
      <c r="C2392" s="2" t="s">
        <v>2291</v>
      </c>
      <c r="E2392" s="2" t="s">
        <v>2292</v>
      </c>
      <c r="I2392" s="2" t="s">
        <v>64</v>
      </c>
      <c r="P2392" s="2" t="s">
        <v>2279</v>
      </c>
      <c r="T2392" s="5">
        <v>1000</v>
      </c>
      <c r="V2392" s="49">
        <v>0</v>
      </c>
      <c r="W2392" s="50"/>
    </row>
    <row r="2393" spans="3:23" x14ac:dyDescent="0.2">
      <c r="C2393" s="2" t="s">
        <v>2291</v>
      </c>
      <c r="E2393" s="2" t="s">
        <v>2293</v>
      </c>
      <c r="I2393" s="2" t="s">
        <v>64</v>
      </c>
      <c r="P2393" s="2" t="s">
        <v>2270</v>
      </c>
      <c r="T2393" s="5">
        <v>250</v>
      </c>
      <c r="V2393" s="49">
        <v>0</v>
      </c>
      <c r="W2393" s="50"/>
    </row>
    <row r="2394" spans="3:23" x14ac:dyDescent="0.2">
      <c r="C2394" s="2" t="s">
        <v>2295</v>
      </c>
      <c r="E2394" s="2" t="s">
        <v>2294</v>
      </c>
      <c r="I2394" s="2" t="s">
        <v>64</v>
      </c>
      <c r="P2394" s="2" t="s">
        <v>2235</v>
      </c>
      <c r="T2394" s="5">
        <v>250</v>
      </c>
      <c r="V2394" s="49">
        <v>0</v>
      </c>
      <c r="W2394" s="50"/>
    </row>
    <row r="2395" spans="3:23" x14ac:dyDescent="0.2">
      <c r="C2395" s="2" t="s">
        <v>1416</v>
      </c>
      <c r="E2395" s="2" t="s">
        <v>2296</v>
      </c>
      <c r="I2395" s="2" t="s">
        <v>64</v>
      </c>
      <c r="P2395" s="2" t="s">
        <v>2237</v>
      </c>
      <c r="T2395" s="5">
        <v>1500</v>
      </c>
      <c r="V2395" s="49">
        <v>0</v>
      </c>
      <c r="W2395" s="50"/>
    </row>
    <row r="2396" spans="3:23" x14ac:dyDescent="0.2">
      <c r="C2396" s="2" t="s">
        <v>2221</v>
      </c>
      <c r="E2396" s="2" t="s">
        <v>2220</v>
      </c>
      <c r="I2396" s="2" t="s">
        <v>106</v>
      </c>
      <c r="L2396" s="2" t="s">
        <v>2218</v>
      </c>
      <c r="P2396" s="2" t="s">
        <v>2222</v>
      </c>
      <c r="T2396" s="5">
        <v>5000</v>
      </c>
      <c r="V2396" s="49">
        <v>0</v>
      </c>
      <c r="W2396" s="50"/>
    </row>
    <row r="2397" spans="3:23" x14ac:dyDescent="0.2">
      <c r="C2397" s="2" t="s">
        <v>531</v>
      </c>
      <c r="E2397" s="2" t="s">
        <v>2297</v>
      </c>
      <c r="I2397" s="2" t="s">
        <v>64</v>
      </c>
      <c r="P2397" s="2" t="s">
        <v>2298</v>
      </c>
      <c r="T2397" s="5">
        <v>900</v>
      </c>
      <c r="V2397" s="49">
        <v>0</v>
      </c>
      <c r="W2397" s="50"/>
    </row>
    <row r="2398" spans="3:23" x14ac:dyDescent="0.2">
      <c r="C2398" s="2" t="s">
        <v>544</v>
      </c>
      <c r="E2398" s="2" t="s">
        <v>2299</v>
      </c>
      <c r="I2398" s="2" t="s">
        <v>64</v>
      </c>
      <c r="P2398" s="2" t="s">
        <v>2300</v>
      </c>
      <c r="T2398" s="5">
        <v>900</v>
      </c>
      <c r="V2398" s="49">
        <v>0</v>
      </c>
      <c r="W2398" s="50"/>
    </row>
    <row r="2399" spans="3:23" x14ac:dyDescent="0.2">
      <c r="C2399" s="2" t="s">
        <v>433</v>
      </c>
      <c r="E2399" s="2" t="s">
        <v>2301</v>
      </c>
      <c r="I2399" s="2" t="s">
        <v>64</v>
      </c>
      <c r="P2399" s="2" t="s">
        <v>2300</v>
      </c>
      <c r="T2399" s="5">
        <v>2500</v>
      </c>
      <c r="V2399" s="49">
        <v>0</v>
      </c>
      <c r="W2399" s="50"/>
    </row>
    <row r="2400" spans="3:23" x14ac:dyDescent="0.2">
      <c r="C2400" s="2" t="s">
        <v>267</v>
      </c>
      <c r="E2400" s="2" t="s">
        <v>2302</v>
      </c>
      <c r="I2400" s="2" t="s">
        <v>64</v>
      </c>
      <c r="P2400" s="2" t="s">
        <v>2235</v>
      </c>
      <c r="T2400" s="5">
        <v>250</v>
      </c>
      <c r="V2400" s="49">
        <v>0</v>
      </c>
      <c r="W2400" s="50"/>
    </row>
    <row r="2401" spans="2:23" x14ac:dyDescent="0.2">
      <c r="C2401" s="2" t="s">
        <v>49</v>
      </c>
      <c r="E2401" s="2" t="s">
        <v>2303</v>
      </c>
      <c r="I2401" s="2" t="s">
        <v>64</v>
      </c>
      <c r="P2401" s="2" t="s">
        <v>2274</v>
      </c>
      <c r="T2401" s="5">
        <v>800</v>
      </c>
      <c r="V2401" s="49">
        <v>0</v>
      </c>
      <c r="W2401" s="50"/>
    </row>
    <row r="2402" spans="2:23" x14ac:dyDescent="0.2">
      <c r="C2402" s="2" t="s">
        <v>176</v>
      </c>
      <c r="E2402" s="2" t="s">
        <v>2304</v>
      </c>
      <c r="I2402" s="2" t="s">
        <v>64</v>
      </c>
      <c r="P2402" s="2" t="s">
        <v>2276</v>
      </c>
      <c r="T2402" s="5">
        <v>1250</v>
      </c>
      <c r="V2402" s="49">
        <v>0</v>
      </c>
      <c r="W2402" s="50"/>
    </row>
    <row r="2403" spans="2:23" x14ac:dyDescent="0.2">
      <c r="C2403" s="2" t="s">
        <v>352</v>
      </c>
      <c r="E2403" s="2" t="s">
        <v>2305</v>
      </c>
      <c r="I2403" s="2" t="s">
        <v>64</v>
      </c>
      <c r="P2403" s="2" t="s">
        <v>2306</v>
      </c>
      <c r="T2403" s="5">
        <v>150</v>
      </c>
      <c r="V2403" s="49">
        <v>0</v>
      </c>
      <c r="W2403" s="50"/>
    </row>
    <row r="2404" spans="2:23" x14ac:dyDescent="0.2">
      <c r="C2404" s="2" t="s">
        <v>792</v>
      </c>
      <c r="E2404" s="2" t="s">
        <v>2307</v>
      </c>
      <c r="I2404" s="2" t="s">
        <v>64</v>
      </c>
      <c r="P2404" s="2" t="s">
        <v>2276</v>
      </c>
      <c r="T2404" s="5">
        <v>1250</v>
      </c>
      <c r="V2404" s="49">
        <v>0</v>
      </c>
      <c r="W2404" s="50"/>
    </row>
    <row r="2405" spans="2:23" x14ac:dyDescent="0.2">
      <c r="C2405" s="2" t="s">
        <v>451</v>
      </c>
      <c r="E2405" s="2" t="s">
        <v>2308</v>
      </c>
      <c r="I2405" s="2" t="s">
        <v>64</v>
      </c>
      <c r="P2405" s="2" t="s">
        <v>2265</v>
      </c>
      <c r="T2405" s="5">
        <v>250</v>
      </c>
      <c r="V2405" s="49">
        <v>0</v>
      </c>
      <c r="W2405" s="50"/>
    </row>
    <row r="2406" spans="2:23" x14ac:dyDescent="0.2">
      <c r="C2406" s="2" t="s">
        <v>277</v>
      </c>
      <c r="E2406" s="2" t="s">
        <v>2309</v>
      </c>
      <c r="I2406" s="2" t="s">
        <v>64</v>
      </c>
      <c r="T2406" s="5">
        <v>300</v>
      </c>
      <c r="V2406" s="49">
        <v>0</v>
      </c>
      <c r="W2406" s="50"/>
    </row>
    <row r="2407" spans="2:23" x14ac:dyDescent="0.2">
      <c r="C2407" s="2" t="s">
        <v>1323</v>
      </c>
      <c r="E2407" s="2" t="s">
        <v>2310</v>
      </c>
      <c r="I2407" s="2" t="s">
        <v>64</v>
      </c>
      <c r="P2407" s="2" t="s">
        <v>2263</v>
      </c>
      <c r="T2407" s="5">
        <v>500</v>
      </c>
      <c r="V2407" s="49">
        <v>0</v>
      </c>
      <c r="W2407" s="50"/>
    </row>
    <row r="2408" spans="2:23" x14ac:dyDescent="0.2">
      <c r="C2408" s="2" t="s">
        <v>2311</v>
      </c>
      <c r="E2408" s="2" t="s">
        <v>331</v>
      </c>
      <c r="I2408" s="2" t="s">
        <v>64</v>
      </c>
      <c r="P2408" s="2" t="s">
        <v>2229</v>
      </c>
      <c r="T2408" s="5">
        <v>300</v>
      </c>
      <c r="V2408" s="49">
        <v>0</v>
      </c>
      <c r="W2408" s="50"/>
    </row>
    <row r="2409" spans="2:23" x14ac:dyDescent="0.2">
      <c r="C2409" s="2" t="s">
        <v>2038</v>
      </c>
      <c r="E2409" s="2" t="s">
        <v>75</v>
      </c>
      <c r="I2409" s="2" t="s">
        <v>64</v>
      </c>
      <c r="P2409" s="2" t="s">
        <v>2233</v>
      </c>
      <c r="T2409" s="5">
        <v>750</v>
      </c>
      <c r="V2409" s="49">
        <v>0</v>
      </c>
      <c r="W2409" s="50"/>
    </row>
    <row r="2410" spans="2:23" x14ac:dyDescent="0.2">
      <c r="C2410" s="2" t="s">
        <v>1339</v>
      </c>
      <c r="E2410" s="2" t="s">
        <v>2312</v>
      </c>
      <c r="I2410" s="2" t="s">
        <v>64</v>
      </c>
      <c r="P2410" s="2" t="s">
        <v>2229</v>
      </c>
      <c r="T2410" s="5">
        <v>150</v>
      </c>
      <c r="V2410" s="49">
        <v>0</v>
      </c>
      <c r="W2410" s="50"/>
    </row>
    <row r="2411" spans="2:23" x14ac:dyDescent="0.2">
      <c r="C2411" s="2" t="s">
        <v>459</v>
      </c>
      <c r="E2411" s="2" t="s">
        <v>2314</v>
      </c>
      <c r="I2411" s="2" t="s">
        <v>64</v>
      </c>
      <c r="P2411" s="2" t="s">
        <v>2233</v>
      </c>
      <c r="T2411" s="5">
        <v>750</v>
      </c>
      <c r="V2411" s="49">
        <v>0</v>
      </c>
      <c r="W2411" s="50"/>
    </row>
    <row r="2412" spans="2:23" x14ac:dyDescent="0.2">
      <c r="C2412" s="2" t="s">
        <v>2087</v>
      </c>
      <c r="E2412" s="2" t="s">
        <v>2315</v>
      </c>
      <c r="I2412" s="2" t="s">
        <v>64</v>
      </c>
      <c r="P2412" s="2" t="s">
        <v>2316</v>
      </c>
      <c r="T2412" s="5">
        <v>250</v>
      </c>
      <c r="V2412" s="49">
        <v>0</v>
      </c>
      <c r="W2412" s="50"/>
    </row>
    <row r="2413" spans="2:23" x14ac:dyDescent="0.2">
      <c r="C2413" s="2" t="s">
        <v>2318</v>
      </c>
      <c r="E2413" s="2" t="s">
        <v>2317</v>
      </c>
      <c r="I2413" s="2" t="s">
        <v>64</v>
      </c>
      <c r="P2413" s="2" t="s">
        <v>2276</v>
      </c>
      <c r="T2413" s="5">
        <v>750</v>
      </c>
      <c r="V2413" s="49">
        <v>0</v>
      </c>
      <c r="W2413" s="50"/>
    </row>
    <row r="2414" spans="2:23" ht="18" x14ac:dyDescent="0.2">
      <c r="B2414" s="1" t="s">
        <v>1</v>
      </c>
      <c r="S2414" s="55" t="s">
        <v>2211</v>
      </c>
      <c r="T2414" s="50"/>
      <c r="U2414" s="50"/>
      <c r="V2414" s="50"/>
      <c r="W2414" s="50"/>
    </row>
    <row r="2415" spans="2:23" ht="12.75" thickBot="1" x14ac:dyDescent="0.25">
      <c r="B2415" s="10" t="s">
        <v>3</v>
      </c>
      <c r="C2415" s="6"/>
      <c r="D2415" s="6"/>
      <c r="E2415" s="6"/>
      <c r="F2415" s="6"/>
      <c r="G2415" s="6"/>
      <c r="H2415" s="6"/>
      <c r="I2415" s="6"/>
      <c r="J2415" s="6"/>
      <c r="K2415" s="6" t="s">
        <v>5</v>
      </c>
      <c r="L2415" s="6"/>
      <c r="M2415" s="6"/>
      <c r="N2415" s="6"/>
      <c r="O2415" s="6"/>
      <c r="P2415" s="6" t="s">
        <v>4</v>
      </c>
      <c r="Q2415" s="6" t="s">
        <v>2730</v>
      </c>
      <c r="R2415" s="6"/>
      <c r="S2415" s="56" t="s">
        <v>6</v>
      </c>
      <c r="T2415" s="57"/>
      <c r="U2415" s="57"/>
      <c r="V2415" s="57"/>
      <c r="W2415" s="57"/>
    </row>
    <row r="2416" spans="2:23" ht="12.75" thickTop="1" x14ac:dyDescent="0.2"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</row>
    <row r="2417" spans="2:23" x14ac:dyDescent="0.2">
      <c r="C2417" s="2" t="s">
        <v>2320</v>
      </c>
      <c r="E2417" s="2" t="s">
        <v>2319</v>
      </c>
      <c r="I2417" s="2" t="s">
        <v>64</v>
      </c>
      <c r="P2417" s="2" t="s">
        <v>95</v>
      </c>
      <c r="T2417" s="5">
        <v>250</v>
      </c>
      <c r="V2417" s="49">
        <v>0</v>
      </c>
      <c r="W2417" s="50"/>
    </row>
    <row r="2418" spans="2:23" x14ac:dyDescent="0.2">
      <c r="C2418" s="2" t="s">
        <v>2322</v>
      </c>
      <c r="E2418" s="2" t="s">
        <v>2321</v>
      </c>
      <c r="I2418" s="2" t="s">
        <v>64</v>
      </c>
      <c r="P2418" s="2" t="s">
        <v>95</v>
      </c>
      <c r="T2418" s="5">
        <v>750</v>
      </c>
      <c r="V2418" s="49">
        <v>0</v>
      </c>
      <c r="W2418" s="50"/>
    </row>
    <row r="2419" spans="2:23" x14ac:dyDescent="0.2">
      <c r="B2419" s="22" t="s">
        <v>2227</v>
      </c>
      <c r="E2419" s="22" t="s">
        <v>2742</v>
      </c>
      <c r="S2419" s="51">
        <v>96350</v>
      </c>
      <c r="T2419" s="50"/>
      <c r="U2419" s="51">
        <v>0</v>
      </c>
      <c r="V2419" s="50"/>
      <c r="W2419" s="50"/>
    </row>
    <row r="2420" spans="2:23" x14ac:dyDescent="0.2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8"/>
      <c r="M2420" s="8"/>
      <c r="N2420" s="8"/>
      <c r="O2420" s="8"/>
      <c r="P2420" s="8"/>
      <c r="Q2420" s="8"/>
      <c r="R2420" s="8"/>
      <c r="S2420" s="8"/>
      <c r="T2420" s="8"/>
      <c r="U2420" s="8"/>
      <c r="V2420" s="8"/>
      <c r="W2420" s="8"/>
    </row>
    <row r="2421" spans="2:23" x14ac:dyDescent="0.2">
      <c r="B2421" s="9"/>
      <c r="C2421" s="9"/>
      <c r="D2421" s="9"/>
      <c r="E2421" s="9"/>
      <c r="F2421" s="9"/>
      <c r="G2421" s="9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52">
        <v>289140</v>
      </c>
      <c r="T2421" s="53"/>
      <c r="U2421" s="52">
        <v>0</v>
      </c>
      <c r="V2421" s="53"/>
      <c r="W2421" s="53"/>
    </row>
    <row r="2422" spans="2:23" x14ac:dyDescent="0.2">
      <c r="B2422" s="8"/>
      <c r="C2422" s="8"/>
      <c r="D2422" s="20" t="s">
        <v>81</v>
      </c>
      <c r="E2422" s="8"/>
      <c r="F2422" s="8"/>
      <c r="G2422" s="8"/>
      <c r="H2422" s="8"/>
      <c r="I2422" s="8"/>
      <c r="J2422" s="8"/>
      <c r="K2422" s="8"/>
      <c r="L2422" s="8"/>
      <c r="M2422" s="8"/>
      <c r="N2422" s="8"/>
      <c r="O2422" s="8"/>
      <c r="P2422" s="8"/>
      <c r="Q2422" s="8"/>
      <c r="R2422" s="11">
        <v>289140</v>
      </c>
      <c r="S2422" s="8"/>
      <c r="T2422" s="8"/>
      <c r="U2422" s="8"/>
      <c r="V2422" s="8"/>
      <c r="W2422" s="8"/>
    </row>
    <row r="2423" spans="2:23" x14ac:dyDescent="0.2">
      <c r="B2423" s="9"/>
      <c r="C2423" s="9"/>
      <c r="D2423" s="9"/>
      <c r="E2423" s="9"/>
      <c r="F2423" s="9"/>
      <c r="G2423" s="9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9"/>
      <c r="U2423" s="9"/>
      <c r="V2423" s="9"/>
      <c r="W2423" s="9"/>
    </row>
    <row r="2424" spans="2:23" x14ac:dyDescent="0.2">
      <c r="B2424" s="22" t="s">
        <v>7</v>
      </c>
      <c r="D2424" s="22" t="s">
        <v>2216</v>
      </c>
      <c r="O2424" s="20" t="s">
        <v>97</v>
      </c>
      <c r="P2424" s="8"/>
      <c r="Q2424" s="8"/>
      <c r="R2424" s="11">
        <v>-289140</v>
      </c>
    </row>
    <row r="2425" spans="2:23" x14ac:dyDescent="0.2">
      <c r="O2425" s="9"/>
      <c r="P2425" s="9"/>
      <c r="Q2425" s="9"/>
      <c r="R2425" s="9"/>
    </row>
    <row r="2426" spans="2:23" x14ac:dyDescent="0.2">
      <c r="B2426" s="2" t="s">
        <v>98</v>
      </c>
    </row>
    <row r="2428" spans="2:23" ht="24" customHeight="1" x14ac:dyDescent="0.2">
      <c r="B2428" s="54" t="s">
        <v>0</v>
      </c>
      <c r="C2428" s="50"/>
      <c r="D2428" s="50"/>
      <c r="E2428" s="50"/>
      <c r="F2428" s="50"/>
      <c r="G2428" s="50"/>
      <c r="H2428" s="50"/>
      <c r="I2428" s="50"/>
      <c r="J2428" s="50"/>
      <c r="K2428" s="50"/>
      <c r="L2428" s="50"/>
      <c r="M2428" s="50"/>
      <c r="N2428" s="50"/>
      <c r="O2428" s="50"/>
      <c r="P2428" s="50"/>
      <c r="Q2428" s="50"/>
      <c r="R2428" s="50"/>
      <c r="S2428" s="50"/>
      <c r="T2428" s="50"/>
      <c r="U2428" s="50"/>
      <c r="V2428" s="50"/>
      <c r="W2428" s="50"/>
    </row>
    <row r="2429" spans="2:23" ht="18" x14ac:dyDescent="0.2">
      <c r="B2429" s="1" t="s">
        <v>1</v>
      </c>
      <c r="S2429" s="55" t="s">
        <v>2215</v>
      </c>
      <c r="T2429" s="50"/>
      <c r="U2429" s="50"/>
      <c r="V2429" s="50"/>
      <c r="W2429" s="50"/>
    </row>
    <row r="2430" spans="2:23" ht="12.75" thickBot="1" x14ac:dyDescent="0.25">
      <c r="B2430" s="10" t="s">
        <v>3</v>
      </c>
      <c r="C2430" s="6"/>
      <c r="D2430" s="6"/>
      <c r="E2430" s="6"/>
      <c r="F2430" s="6"/>
      <c r="G2430" s="6"/>
      <c r="H2430" s="6"/>
      <c r="I2430" s="6"/>
      <c r="J2430" s="6"/>
      <c r="K2430" s="6" t="s">
        <v>5</v>
      </c>
      <c r="L2430" s="6"/>
      <c r="M2430" s="6"/>
      <c r="N2430" s="6"/>
      <c r="O2430" s="6"/>
      <c r="P2430" s="6" t="s">
        <v>4</v>
      </c>
      <c r="Q2430" s="6" t="s">
        <v>2730</v>
      </c>
      <c r="R2430" s="6"/>
      <c r="S2430" s="56" t="s">
        <v>6</v>
      </c>
      <c r="T2430" s="57"/>
      <c r="U2430" s="57"/>
      <c r="V2430" s="57"/>
      <c r="W2430" s="57"/>
    </row>
    <row r="2431" spans="2:23" ht="12.75" thickTop="1" x14ac:dyDescent="0.2"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</row>
    <row r="2432" spans="2:23" ht="15.75" x14ac:dyDescent="0.2">
      <c r="B2432" s="3" t="s">
        <v>7</v>
      </c>
      <c r="F2432" s="3" t="s">
        <v>2324</v>
      </c>
    </row>
    <row r="2434" spans="2:23" x14ac:dyDescent="0.2">
      <c r="B2434" s="8"/>
      <c r="C2434" s="20" t="s">
        <v>8</v>
      </c>
      <c r="D2434" s="8"/>
      <c r="E2434" s="20" t="s">
        <v>9</v>
      </c>
      <c r="F2434" s="8"/>
      <c r="G2434" s="8"/>
      <c r="H2434" s="8"/>
      <c r="I2434" s="20" t="s">
        <v>13</v>
      </c>
      <c r="J2434" s="8"/>
      <c r="K2434" s="8"/>
      <c r="L2434" s="20" t="s">
        <v>12</v>
      </c>
      <c r="M2434" s="8"/>
      <c r="N2434" s="8"/>
      <c r="O2434" s="8"/>
      <c r="P2434" s="20" t="s">
        <v>14</v>
      </c>
      <c r="Q2434" s="8"/>
      <c r="R2434" s="8"/>
      <c r="S2434" s="8"/>
      <c r="T2434" s="21" t="s">
        <v>11</v>
      </c>
      <c r="U2434" s="8"/>
      <c r="V2434" s="58" t="s">
        <v>10</v>
      </c>
      <c r="W2434" s="59"/>
    </row>
    <row r="2435" spans="2:23" x14ac:dyDescent="0.2">
      <c r="B2435" s="9"/>
      <c r="C2435" s="9"/>
      <c r="D2435" s="9"/>
      <c r="E2435" s="9"/>
      <c r="F2435" s="9"/>
      <c r="G2435" s="9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9"/>
      <c r="U2435" s="9"/>
      <c r="V2435" s="9"/>
      <c r="W2435" s="9"/>
    </row>
    <row r="2436" spans="2:23" ht="15" x14ac:dyDescent="0.2">
      <c r="B2436" s="4" t="s">
        <v>15</v>
      </c>
    </row>
    <row r="2438" spans="2:23" x14ac:dyDescent="0.2">
      <c r="B2438" s="22" t="s">
        <v>1965</v>
      </c>
      <c r="E2438" s="22" t="s">
        <v>1966</v>
      </c>
    </row>
    <row r="2439" spans="2:23" x14ac:dyDescent="0.2">
      <c r="C2439" s="2" t="s">
        <v>92</v>
      </c>
      <c r="E2439" s="2" t="s">
        <v>2328</v>
      </c>
      <c r="I2439" s="2" t="s">
        <v>19</v>
      </c>
      <c r="P2439" s="2" t="s">
        <v>2329</v>
      </c>
      <c r="T2439" s="5">
        <v>37956.880000000005</v>
      </c>
      <c r="V2439" s="49">
        <v>0</v>
      </c>
      <c r="W2439" s="50"/>
    </row>
    <row r="2440" spans="2:23" x14ac:dyDescent="0.2">
      <c r="C2440" s="2" t="s">
        <v>92</v>
      </c>
      <c r="E2440" s="2" t="s">
        <v>2330</v>
      </c>
      <c r="I2440" s="2" t="s">
        <v>106</v>
      </c>
      <c r="L2440" s="2" t="s">
        <v>2326</v>
      </c>
      <c r="P2440" s="2" t="s">
        <v>2331</v>
      </c>
      <c r="T2440" s="5">
        <v>938.55</v>
      </c>
      <c r="V2440" s="49">
        <v>0</v>
      </c>
      <c r="W2440" s="50"/>
    </row>
    <row r="2441" spans="2:23" x14ac:dyDescent="0.2">
      <c r="C2441" s="2" t="s">
        <v>1307</v>
      </c>
      <c r="E2441" s="2" t="s">
        <v>2325</v>
      </c>
      <c r="I2441" s="2" t="s">
        <v>106</v>
      </c>
      <c r="L2441" s="2" t="s">
        <v>2326</v>
      </c>
      <c r="P2441" s="2" t="s">
        <v>2327</v>
      </c>
      <c r="T2441" s="5">
        <v>4788</v>
      </c>
      <c r="V2441" s="49">
        <v>0</v>
      </c>
      <c r="W2441" s="50"/>
    </row>
    <row r="2442" spans="2:23" x14ac:dyDescent="0.2">
      <c r="C2442" s="2" t="s">
        <v>967</v>
      </c>
      <c r="E2442" s="2" t="s">
        <v>2332</v>
      </c>
      <c r="I2442" s="2" t="s">
        <v>106</v>
      </c>
      <c r="L2442" s="2" t="s">
        <v>2333</v>
      </c>
      <c r="P2442" s="2" t="s">
        <v>2334</v>
      </c>
      <c r="T2442" s="5">
        <v>3812.7799999999997</v>
      </c>
      <c r="V2442" s="49">
        <v>0</v>
      </c>
      <c r="W2442" s="50"/>
    </row>
    <row r="2443" spans="2:23" x14ac:dyDescent="0.2">
      <c r="C2443" s="2" t="s">
        <v>46</v>
      </c>
      <c r="E2443" s="2" t="s">
        <v>2335</v>
      </c>
      <c r="I2443" s="2" t="s">
        <v>106</v>
      </c>
      <c r="L2443" s="2" t="s">
        <v>2333</v>
      </c>
      <c r="P2443" s="2" t="s">
        <v>2334</v>
      </c>
      <c r="T2443" s="5">
        <v>8349</v>
      </c>
      <c r="V2443" s="49">
        <v>0</v>
      </c>
      <c r="W2443" s="50"/>
    </row>
    <row r="2444" spans="2:23" x14ac:dyDescent="0.2">
      <c r="B2444" s="22" t="s">
        <v>1965</v>
      </c>
      <c r="E2444" s="22" t="s">
        <v>1966</v>
      </c>
      <c r="S2444" s="51">
        <v>55845.21</v>
      </c>
      <c r="T2444" s="50"/>
      <c r="U2444" s="51">
        <v>0</v>
      </c>
      <c r="V2444" s="50"/>
      <c r="W2444" s="50"/>
    </row>
    <row r="2445" spans="2:23" x14ac:dyDescent="0.2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8"/>
      <c r="M2445" s="8"/>
      <c r="N2445" s="8"/>
      <c r="O2445" s="8"/>
      <c r="P2445" s="8"/>
      <c r="Q2445" s="8"/>
      <c r="R2445" s="8"/>
      <c r="S2445" s="8"/>
      <c r="T2445" s="8"/>
      <c r="U2445" s="8"/>
      <c r="V2445" s="8"/>
      <c r="W2445" s="8"/>
    </row>
    <row r="2446" spans="2:23" x14ac:dyDescent="0.2">
      <c r="B2446" s="9"/>
      <c r="C2446" s="9"/>
      <c r="D2446" s="9"/>
      <c r="E2446" s="9"/>
      <c r="F2446" s="9"/>
      <c r="G2446" s="9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52">
        <v>55845.21</v>
      </c>
      <c r="T2446" s="53"/>
      <c r="U2446" s="52">
        <v>0</v>
      </c>
      <c r="V2446" s="53"/>
      <c r="W2446" s="53"/>
    </row>
    <row r="2447" spans="2:23" x14ac:dyDescent="0.2">
      <c r="B2447" s="8"/>
      <c r="C2447" s="8"/>
      <c r="D2447" s="20" t="s">
        <v>81</v>
      </c>
      <c r="E2447" s="8"/>
      <c r="F2447" s="8"/>
      <c r="G2447" s="8"/>
      <c r="H2447" s="8"/>
      <c r="I2447" s="8"/>
      <c r="J2447" s="8"/>
      <c r="K2447" s="8"/>
      <c r="L2447" s="8"/>
      <c r="M2447" s="8"/>
      <c r="N2447" s="8"/>
      <c r="O2447" s="8"/>
      <c r="P2447" s="8"/>
      <c r="Q2447" s="8"/>
      <c r="R2447" s="11">
        <v>55845.21</v>
      </c>
      <c r="S2447" s="8"/>
      <c r="T2447" s="8"/>
      <c r="U2447" s="8"/>
      <c r="V2447" s="8"/>
      <c r="W2447" s="8"/>
    </row>
    <row r="2448" spans="2:23" x14ac:dyDescent="0.2">
      <c r="B2448" s="9"/>
      <c r="C2448" s="9"/>
      <c r="D2448" s="9"/>
      <c r="E2448" s="9"/>
      <c r="F2448" s="9"/>
      <c r="G2448" s="9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9"/>
      <c r="U2448" s="9"/>
      <c r="V2448" s="9"/>
      <c r="W2448" s="9"/>
    </row>
    <row r="2449" spans="2:23" x14ac:dyDescent="0.2">
      <c r="B2449" s="22" t="s">
        <v>7</v>
      </c>
      <c r="D2449" s="22" t="s">
        <v>2324</v>
      </c>
      <c r="O2449" s="20" t="s">
        <v>97</v>
      </c>
      <c r="P2449" s="8"/>
      <c r="Q2449" s="8"/>
      <c r="R2449" s="11">
        <v>-55845.21</v>
      </c>
    </row>
    <row r="2450" spans="2:23" x14ac:dyDescent="0.2">
      <c r="O2450" s="9"/>
      <c r="P2450" s="9"/>
      <c r="Q2450" s="9"/>
      <c r="R2450" s="9"/>
    </row>
    <row r="2451" spans="2:23" x14ac:dyDescent="0.2">
      <c r="B2451" s="2" t="s">
        <v>98</v>
      </c>
    </row>
    <row r="2453" spans="2:23" ht="24" customHeight="1" x14ac:dyDescent="0.2">
      <c r="B2453" s="54" t="s">
        <v>0</v>
      </c>
      <c r="C2453" s="50"/>
      <c r="D2453" s="50"/>
      <c r="E2453" s="50"/>
      <c r="F2453" s="50"/>
      <c r="G2453" s="50"/>
      <c r="H2453" s="50"/>
      <c r="I2453" s="50"/>
      <c r="J2453" s="50"/>
      <c r="K2453" s="50"/>
      <c r="L2453" s="50"/>
      <c r="M2453" s="50"/>
      <c r="N2453" s="50"/>
      <c r="O2453" s="50"/>
      <c r="P2453" s="50"/>
      <c r="Q2453" s="50"/>
      <c r="R2453" s="50"/>
      <c r="S2453" s="50"/>
      <c r="T2453" s="50"/>
      <c r="U2453" s="50"/>
      <c r="V2453" s="50"/>
      <c r="W2453" s="50"/>
    </row>
    <row r="2454" spans="2:23" ht="18" x14ac:dyDescent="0.2">
      <c r="B2454" s="1" t="s">
        <v>1</v>
      </c>
      <c r="S2454" s="55" t="s">
        <v>2313</v>
      </c>
      <c r="T2454" s="50"/>
      <c r="U2454" s="50"/>
      <c r="V2454" s="50"/>
      <c r="W2454" s="50"/>
    </row>
    <row r="2455" spans="2:23" ht="12.75" thickBot="1" x14ac:dyDescent="0.25">
      <c r="B2455" s="10" t="s">
        <v>3</v>
      </c>
      <c r="C2455" s="6"/>
      <c r="D2455" s="6"/>
      <c r="E2455" s="6"/>
      <c r="F2455" s="6"/>
      <c r="G2455" s="6"/>
      <c r="H2455" s="6"/>
      <c r="I2455" s="6"/>
      <c r="J2455" s="6"/>
      <c r="K2455" s="6" t="s">
        <v>5</v>
      </c>
      <c r="L2455" s="6"/>
      <c r="M2455" s="6"/>
      <c r="N2455" s="6"/>
      <c r="O2455" s="6"/>
      <c r="P2455" s="6" t="s">
        <v>4</v>
      </c>
      <c r="Q2455" s="6" t="s">
        <v>2730</v>
      </c>
      <c r="R2455" s="6"/>
      <c r="S2455" s="56" t="s">
        <v>6</v>
      </c>
      <c r="T2455" s="57"/>
      <c r="U2455" s="57"/>
      <c r="V2455" s="57"/>
      <c r="W2455" s="57"/>
    </row>
    <row r="2456" spans="2:23" ht="12.75" thickTop="1" x14ac:dyDescent="0.2"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</row>
    <row r="2457" spans="2:23" ht="15.75" x14ac:dyDescent="0.2">
      <c r="B2457" s="3" t="s">
        <v>7</v>
      </c>
      <c r="F2457" s="3" t="s">
        <v>2337</v>
      </c>
    </row>
    <row r="2459" spans="2:23" x14ac:dyDescent="0.2">
      <c r="B2459" s="8"/>
      <c r="C2459" s="20" t="s">
        <v>8</v>
      </c>
      <c r="D2459" s="8"/>
      <c r="E2459" s="20" t="s">
        <v>9</v>
      </c>
      <c r="F2459" s="8"/>
      <c r="G2459" s="8"/>
      <c r="H2459" s="8"/>
      <c r="I2459" s="20" t="s">
        <v>13</v>
      </c>
      <c r="J2459" s="8"/>
      <c r="K2459" s="8"/>
      <c r="L2459" s="20" t="s">
        <v>12</v>
      </c>
      <c r="M2459" s="8"/>
      <c r="N2459" s="8"/>
      <c r="O2459" s="8"/>
      <c r="P2459" s="20" t="s">
        <v>14</v>
      </c>
      <c r="Q2459" s="8"/>
      <c r="R2459" s="8"/>
      <c r="S2459" s="8"/>
      <c r="T2459" s="21" t="s">
        <v>11</v>
      </c>
      <c r="U2459" s="8"/>
      <c r="V2459" s="58" t="s">
        <v>10</v>
      </c>
      <c r="W2459" s="59"/>
    </row>
    <row r="2460" spans="2:23" x14ac:dyDescent="0.2">
      <c r="B2460" s="9"/>
      <c r="C2460" s="9"/>
      <c r="D2460" s="9"/>
      <c r="E2460" s="9"/>
      <c r="F2460" s="9"/>
      <c r="G2460" s="9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9"/>
      <c r="U2460" s="9"/>
      <c r="V2460" s="9"/>
      <c r="W2460" s="9"/>
    </row>
    <row r="2461" spans="2:23" ht="15" x14ac:dyDescent="0.2">
      <c r="B2461" s="4" t="s">
        <v>15</v>
      </c>
    </row>
    <row r="2463" spans="2:23" x14ac:dyDescent="0.2">
      <c r="B2463" s="22" t="s">
        <v>1758</v>
      </c>
      <c r="E2463" s="22" t="s">
        <v>1759</v>
      </c>
    </row>
    <row r="2464" spans="2:23" x14ac:dyDescent="0.2">
      <c r="C2464" s="2" t="s">
        <v>958</v>
      </c>
      <c r="E2464" s="2" t="s">
        <v>2338</v>
      </c>
      <c r="I2464" s="2" t="s">
        <v>209</v>
      </c>
      <c r="P2464" s="2" t="s">
        <v>2184</v>
      </c>
      <c r="T2464" s="5">
        <v>288</v>
      </c>
      <c r="V2464" s="49">
        <v>0</v>
      </c>
      <c r="W2464" s="50"/>
    </row>
    <row r="2465" spans="2:23" x14ac:dyDescent="0.2">
      <c r="B2465" s="22" t="s">
        <v>1758</v>
      </c>
      <c r="E2465" s="22" t="s">
        <v>1759</v>
      </c>
      <c r="S2465" s="51">
        <v>288</v>
      </c>
      <c r="T2465" s="50"/>
      <c r="U2465" s="51">
        <v>0</v>
      </c>
      <c r="V2465" s="50"/>
      <c r="W2465" s="50"/>
    </row>
    <row r="2467" spans="2:23" x14ac:dyDescent="0.2">
      <c r="B2467" s="22" t="s">
        <v>747</v>
      </c>
      <c r="E2467" s="22" t="s">
        <v>748</v>
      </c>
    </row>
    <row r="2468" spans="2:23" x14ac:dyDescent="0.2">
      <c r="C2468" s="2" t="s">
        <v>2340</v>
      </c>
      <c r="E2468" s="2" t="s">
        <v>2339</v>
      </c>
      <c r="I2468" s="2" t="s">
        <v>106</v>
      </c>
      <c r="L2468" s="2" t="s">
        <v>2187</v>
      </c>
      <c r="P2468" s="2" t="s">
        <v>2341</v>
      </c>
      <c r="T2468" s="5">
        <v>1460</v>
      </c>
      <c r="V2468" s="49">
        <v>0</v>
      </c>
      <c r="W2468" s="50"/>
    </row>
    <row r="2469" spans="2:23" x14ac:dyDescent="0.2">
      <c r="B2469" s="22" t="s">
        <v>747</v>
      </c>
      <c r="E2469" s="22" t="s">
        <v>748</v>
      </c>
      <c r="S2469" s="51">
        <v>1460</v>
      </c>
      <c r="T2469" s="50"/>
      <c r="U2469" s="51">
        <v>0</v>
      </c>
      <c r="V2469" s="50"/>
      <c r="W2469" s="50"/>
    </row>
    <row r="2471" spans="2:23" x14ac:dyDescent="0.2">
      <c r="B2471" s="22" t="s">
        <v>16</v>
      </c>
      <c r="E2471" s="22" t="s">
        <v>17</v>
      </c>
    </row>
    <row r="2472" spans="2:23" x14ac:dyDescent="0.2">
      <c r="C2472" s="2" t="s">
        <v>25</v>
      </c>
      <c r="E2472" s="2" t="s">
        <v>2342</v>
      </c>
      <c r="I2472" s="2" t="s">
        <v>106</v>
      </c>
      <c r="L2472" s="2" t="s">
        <v>2061</v>
      </c>
      <c r="P2472" s="2" t="s">
        <v>2343</v>
      </c>
      <c r="T2472" s="5">
        <v>46875</v>
      </c>
      <c r="V2472" s="49">
        <v>0</v>
      </c>
      <c r="W2472" s="50"/>
    </row>
    <row r="2473" spans="2:23" x14ac:dyDescent="0.2">
      <c r="C2473" s="2" t="s">
        <v>25</v>
      </c>
      <c r="E2473" s="2" t="s">
        <v>2344</v>
      </c>
      <c r="I2473" s="2" t="s">
        <v>106</v>
      </c>
      <c r="L2473" s="2" t="s">
        <v>2345</v>
      </c>
      <c r="P2473" s="2" t="s">
        <v>2346</v>
      </c>
      <c r="T2473" s="5">
        <v>14880</v>
      </c>
      <c r="V2473" s="49">
        <v>0</v>
      </c>
      <c r="W2473" s="50"/>
    </row>
    <row r="2474" spans="2:23" x14ac:dyDescent="0.2">
      <c r="C2474" s="2" t="s">
        <v>25</v>
      </c>
      <c r="E2474" s="2" t="s">
        <v>2347</v>
      </c>
      <c r="I2474" s="2" t="s">
        <v>106</v>
      </c>
      <c r="L2474" s="2" t="s">
        <v>2348</v>
      </c>
      <c r="P2474" s="2" t="s">
        <v>2346</v>
      </c>
      <c r="T2474" s="5">
        <v>3500</v>
      </c>
      <c r="V2474" s="49">
        <v>0</v>
      </c>
      <c r="W2474" s="50"/>
    </row>
    <row r="2475" spans="2:23" x14ac:dyDescent="0.2">
      <c r="C2475" s="2" t="s">
        <v>25</v>
      </c>
      <c r="E2475" s="2" t="s">
        <v>2349</v>
      </c>
      <c r="I2475" s="2" t="s">
        <v>106</v>
      </c>
      <c r="L2475" s="2" t="s">
        <v>2350</v>
      </c>
      <c r="P2475" s="2" t="s">
        <v>2351</v>
      </c>
      <c r="T2475" s="5">
        <v>25025</v>
      </c>
      <c r="V2475" s="49">
        <v>0</v>
      </c>
      <c r="W2475" s="50"/>
    </row>
    <row r="2476" spans="2:23" x14ac:dyDescent="0.2">
      <c r="C2476" s="2" t="s">
        <v>25</v>
      </c>
      <c r="E2476" s="2" t="s">
        <v>2352</v>
      </c>
      <c r="I2476" s="2" t="s">
        <v>106</v>
      </c>
      <c r="L2476" s="2" t="s">
        <v>2353</v>
      </c>
      <c r="P2476" s="2" t="s">
        <v>2346</v>
      </c>
      <c r="T2476" s="5">
        <v>8400</v>
      </c>
      <c r="V2476" s="49">
        <v>0</v>
      </c>
      <c r="W2476" s="50"/>
    </row>
    <row r="2477" spans="2:23" x14ac:dyDescent="0.2">
      <c r="C2477" s="2" t="s">
        <v>25</v>
      </c>
      <c r="E2477" s="2" t="s">
        <v>2354</v>
      </c>
      <c r="I2477" s="2" t="s">
        <v>106</v>
      </c>
      <c r="L2477" s="2" t="s">
        <v>2355</v>
      </c>
      <c r="P2477" s="2" t="s">
        <v>2356</v>
      </c>
      <c r="T2477" s="5">
        <v>61400</v>
      </c>
      <c r="V2477" s="49">
        <v>0</v>
      </c>
      <c r="W2477" s="50"/>
    </row>
    <row r="2478" spans="2:23" x14ac:dyDescent="0.2">
      <c r="C2478" s="2" t="s">
        <v>2358</v>
      </c>
      <c r="E2478" s="2" t="s">
        <v>2357</v>
      </c>
      <c r="I2478" s="2" t="s">
        <v>106</v>
      </c>
      <c r="L2478" s="2" t="s">
        <v>2345</v>
      </c>
      <c r="P2478" s="2" t="s">
        <v>2359</v>
      </c>
      <c r="T2478" s="5">
        <v>13440</v>
      </c>
      <c r="V2478" s="49">
        <v>0</v>
      </c>
      <c r="W2478" s="50"/>
    </row>
    <row r="2479" spans="2:23" x14ac:dyDescent="0.2">
      <c r="C2479" s="2" t="s">
        <v>28</v>
      </c>
      <c r="E2479" s="2" t="s">
        <v>2360</v>
      </c>
      <c r="I2479" s="2" t="s">
        <v>106</v>
      </c>
      <c r="L2479" s="2" t="s">
        <v>2348</v>
      </c>
      <c r="P2479" s="2" t="s">
        <v>2359</v>
      </c>
      <c r="T2479" s="5">
        <v>2625</v>
      </c>
      <c r="V2479" s="49">
        <v>0</v>
      </c>
      <c r="W2479" s="50"/>
    </row>
    <row r="2480" spans="2:23" x14ac:dyDescent="0.2">
      <c r="C2480" s="2" t="s">
        <v>28</v>
      </c>
      <c r="E2480" s="2" t="s">
        <v>2361</v>
      </c>
      <c r="I2480" s="2" t="s">
        <v>106</v>
      </c>
      <c r="L2480" s="2" t="s">
        <v>2061</v>
      </c>
      <c r="P2480" s="2" t="s">
        <v>2362</v>
      </c>
      <c r="T2480" s="5">
        <v>51375</v>
      </c>
      <c r="V2480" s="49">
        <v>0</v>
      </c>
      <c r="W2480" s="50"/>
    </row>
    <row r="2481" spans="3:23" x14ac:dyDescent="0.2">
      <c r="C2481" s="2" t="s">
        <v>28</v>
      </c>
      <c r="E2481" s="2" t="s">
        <v>2363</v>
      </c>
      <c r="I2481" s="2" t="s">
        <v>106</v>
      </c>
      <c r="L2481" s="2" t="s">
        <v>2353</v>
      </c>
      <c r="P2481" s="2" t="s">
        <v>2359</v>
      </c>
      <c r="T2481" s="5">
        <v>7200</v>
      </c>
      <c r="V2481" s="49">
        <v>0</v>
      </c>
      <c r="W2481" s="50"/>
    </row>
    <row r="2482" spans="3:23" x14ac:dyDescent="0.2">
      <c r="C2482" s="2" t="s">
        <v>28</v>
      </c>
      <c r="E2482" s="2" t="s">
        <v>2364</v>
      </c>
      <c r="I2482" s="2" t="s">
        <v>106</v>
      </c>
      <c r="L2482" s="2" t="s">
        <v>2355</v>
      </c>
      <c r="P2482" s="2" t="s">
        <v>2365</v>
      </c>
      <c r="T2482" s="5">
        <v>47200</v>
      </c>
      <c r="V2482" s="49">
        <v>0</v>
      </c>
      <c r="W2482" s="50"/>
    </row>
    <row r="2483" spans="3:23" x14ac:dyDescent="0.2">
      <c r="C2483" s="2" t="s">
        <v>28</v>
      </c>
      <c r="E2483" s="2" t="s">
        <v>2366</v>
      </c>
      <c r="I2483" s="2" t="s">
        <v>106</v>
      </c>
      <c r="L2483" s="2" t="s">
        <v>2350</v>
      </c>
      <c r="P2483" s="2" t="s">
        <v>2367</v>
      </c>
      <c r="T2483" s="5">
        <v>19987.5</v>
      </c>
      <c r="V2483" s="49">
        <v>0</v>
      </c>
      <c r="W2483" s="50"/>
    </row>
    <row r="2484" spans="3:23" x14ac:dyDescent="0.2">
      <c r="C2484" s="2" t="s">
        <v>31</v>
      </c>
      <c r="E2484" s="2" t="s">
        <v>2368</v>
      </c>
      <c r="I2484" s="2" t="s">
        <v>106</v>
      </c>
      <c r="L2484" s="2" t="s">
        <v>2348</v>
      </c>
      <c r="P2484" s="2" t="s">
        <v>2369</v>
      </c>
      <c r="T2484" s="5">
        <v>3500</v>
      </c>
      <c r="V2484" s="49">
        <v>0</v>
      </c>
      <c r="W2484" s="50"/>
    </row>
    <row r="2485" spans="3:23" x14ac:dyDescent="0.2">
      <c r="C2485" s="2" t="s">
        <v>31</v>
      </c>
      <c r="E2485" s="2" t="s">
        <v>2370</v>
      </c>
      <c r="I2485" s="2" t="s">
        <v>106</v>
      </c>
      <c r="L2485" s="2" t="s">
        <v>2355</v>
      </c>
      <c r="P2485" s="2" t="s">
        <v>2371</v>
      </c>
      <c r="T2485" s="5">
        <v>51900</v>
      </c>
      <c r="V2485" s="49">
        <v>0</v>
      </c>
      <c r="W2485" s="50"/>
    </row>
    <row r="2486" spans="3:23" x14ac:dyDescent="0.2">
      <c r="C2486" s="2" t="s">
        <v>31</v>
      </c>
      <c r="E2486" s="2" t="s">
        <v>2372</v>
      </c>
      <c r="I2486" s="2" t="s">
        <v>106</v>
      </c>
      <c r="L2486" s="2" t="s">
        <v>2353</v>
      </c>
      <c r="P2486" s="2" t="s">
        <v>2369</v>
      </c>
      <c r="T2486" s="5">
        <v>8400</v>
      </c>
      <c r="V2486" s="49">
        <v>0</v>
      </c>
      <c r="W2486" s="50"/>
    </row>
    <row r="2487" spans="3:23" x14ac:dyDescent="0.2">
      <c r="C2487" s="2" t="s">
        <v>31</v>
      </c>
      <c r="E2487" s="2" t="s">
        <v>2373</v>
      </c>
      <c r="I2487" s="2" t="s">
        <v>106</v>
      </c>
      <c r="L2487" s="2" t="s">
        <v>2345</v>
      </c>
      <c r="P2487" s="2" t="s">
        <v>2369</v>
      </c>
      <c r="T2487" s="5">
        <v>15360</v>
      </c>
      <c r="V2487" s="49">
        <v>0</v>
      </c>
      <c r="W2487" s="50"/>
    </row>
    <row r="2488" spans="3:23" x14ac:dyDescent="0.2">
      <c r="C2488" s="2" t="s">
        <v>31</v>
      </c>
      <c r="E2488" s="2" t="s">
        <v>2374</v>
      </c>
      <c r="I2488" s="2" t="s">
        <v>106</v>
      </c>
      <c r="L2488" s="2" t="s">
        <v>2350</v>
      </c>
      <c r="P2488" s="2" t="s">
        <v>2375</v>
      </c>
      <c r="T2488" s="5">
        <v>24050</v>
      </c>
      <c r="V2488" s="49">
        <v>0</v>
      </c>
      <c r="W2488" s="50"/>
    </row>
    <row r="2489" spans="3:23" x14ac:dyDescent="0.2">
      <c r="C2489" s="2" t="s">
        <v>31</v>
      </c>
      <c r="E2489" s="2" t="s">
        <v>2376</v>
      </c>
      <c r="I2489" s="2" t="s">
        <v>106</v>
      </c>
      <c r="L2489" s="2" t="s">
        <v>2061</v>
      </c>
      <c r="P2489" s="2" t="s">
        <v>2377</v>
      </c>
      <c r="T2489" s="5">
        <v>37500</v>
      </c>
      <c r="V2489" s="49">
        <v>0</v>
      </c>
      <c r="W2489" s="50"/>
    </row>
    <row r="2490" spans="3:23" x14ac:dyDescent="0.2">
      <c r="C2490" s="2" t="s">
        <v>601</v>
      </c>
      <c r="E2490" s="2" t="s">
        <v>2378</v>
      </c>
      <c r="I2490" s="2" t="s">
        <v>106</v>
      </c>
      <c r="L2490" s="2" t="s">
        <v>2350</v>
      </c>
      <c r="P2490" s="2" t="s">
        <v>2379</v>
      </c>
      <c r="T2490" s="5">
        <v>17062.5</v>
      </c>
      <c r="V2490" s="49">
        <v>0</v>
      </c>
      <c r="W2490" s="50"/>
    </row>
    <row r="2491" spans="3:23" x14ac:dyDescent="0.2">
      <c r="C2491" s="2" t="s">
        <v>601</v>
      </c>
      <c r="E2491" s="2" t="s">
        <v>2380</v>
      </c>
      <c r="I2491" s="2" t="s">
        <v>106</v>
      </c>
      <c r="L2491" s="2" t="s">
        <v>2345</v>
      </c>
      <c r="P2491" s="2" t="s">
        <v>2381</v>
      </c>
      <c r="T2491" s="5">
        <v>11040</v>
      </c>
      <c r="V2491" s="49">
        <v>0</v>
      </c>
      <c r="W2491" s="50"/>
    </row>
    <row r="2492" spans="3:23" x14ac:dyDescent="0.2">
      <c r="C2492" s="2" t="s">
        <v>34</v>
      </c>
      <c r="E2492" s="2" t="s">
        <v>2382</v>
      </c>
      <c r="I2492" s="2" t="s">
        <v>106</v>
      </c>
      <c r="L2492" s="2" t="s">
        <v>2353</v>
      </c>
      <c r="P2492" s="2" t="s">
        <v>2381</v>
      </c>
      <c r="T2492" s="5">
        <v>7400</v>
      </c>
      <c r="V2492" s="49">
        <v>0</v>
      </c>
      <c r="W2492" s="50"/>
    </row>
    <row r="2493" spans="3:23" x14ac:dyDescent="0.2">
      <c r="C2493" s="2" t="s">
        <v>34</v>
      </c>
      <c r="E2493" s="2" t="s">
        <v>2383</v>
      </c>
      <c r="I2493" s="2" t="s">
        <v>106</v>
      </c>
      <c r="L2493" s="2" t="s">
        <v>2061</v>
      </c>
      <c r="P2493" s="2" t="s">
        <v>2384</v>
      </c>
      <c r="T2493" s="5">
        <v>55875</v>
      </c>
      <c r="V2493" s="49">
        <v>0</v>
      </c>
      <c r="W2493" s="50"/>
    </row>
    <row r="2494" spans="3:23" x14ac:dyDescent="0.2">
      <c r="C2494" s="2" t="s">
        <v>34</v>
      </c>
      <c r="E2494" s="2" t="s">
        <v>2385</v>
      </c>
      <c r="I2494" s="2" t="s">
        <v>106</v>
      </c>
      <c r="L2494" s="2" t="s">
        <v>2348</v>
      </c>
      <c r="P2494" s="2" t="s">
        <v>2381</v>
      </c>
      <c r="T2494" s="5">
        <v>2625</v>
      </c>
      <c r="V2494" s="49">
        <v>0</v>
      </c>
      <c r="W2494" s="50"/>
    </row>
    <row r="2495" spans="3:23" x14ac:dyDescent="0.2">
      <c r="C2495" s="2" t="s">
        <v>34</v>
      </c>
      <c r="E2495" s="2" t="s">
        <v>2386</v>
      </c>
      <c r="I2495" s="2" t="s">
        <v>106</v>
      </c>
      <c r="L2495" s="2" t="s">
        <v>2355</v>
      </c>
      <c r="P2495" s="2" t="s">
        <v>2387</v>
      </c>
      <c r="T2495" s="5">
        <v>9000</v>
      </c>
      <c r="V2495" s="49">
        <v>0</v>
      </c>
      <c r="W2495" s="50"/>
    </row>
    <row r="2496" spans="3:23" x14ac:dyDescent="0.2">
      <c r="C2496" s="2" t="s">
        <v>1167</v>
      </c>
      <c r="E2496" s="2" t="s">
        <v>2388</v>
      </c>
      <c r="I2496" s="2" t="s">
        <v>106</v>
      </c>
      <c r="L2496" s="2" t="s">
        <v>2345</v>
      </c>
      <c r="P2496" s="2" t="s">
        <v>2389</v>
      </c>
      <c r="T2496" s="5">
        <v>10080</v>
      </c>
      <c r="V2496" s="49">
        <v>0</v>
      </c>
      <c r="W2496" s="50"/>
    </row>
    <row r="2497" spans="3:23" x14ac:dyDescent="0.2">
      <c r="C2497" s="2" t="s">
        <v>37</v>
      </c>
      <c r="E2497" s="2" t="s">
        <v>2390</v>
      </c>
      <c r="I2497" s="2" t="s">
        <v>106</v>
      </c>
      <c r="L2497" s="2" t="s">
        <v>2353</v>
      </c>
      <c r="P2497" s="2" t="s">
        <v>2389</v>
      </c>
      <c r="T2497" s="5">
        <v>6600</v>
      </c>
      <c r="V2497" s="49">
        <v>0</v>
      </c>
      <c r="W2497" s="50"/>
    </row>
    <row r="2498" spans="3:23" x14ac:dyDescent="0.2">
      <c r="C2498" s="2" t="s">
        <v>37</v>
      </c>
      <c r="E2498" s="2" t="s">
        <v>2391</v>
      </c>
      <c r="I2498" s="2" t="s">
        <v>106</v>
      </c>
      <c r="L2498" s="2" t="s">
        <v>2355</v>
      </c>
      <c r="P2498" s="2" t="s">
        <v>2392</v>
      </c>
      <c r="T2498" s="5">
        <v>15575</v>
      </c>
      <c r="V2498" s="49">
        <v>0</v>
      </c>
      <c r="W2498" s="50"/>
    </row>
    <row r="2499" spans="3:23" x14ac:dyDescent="0.2">
      <c r="C2499" s="2" t="s">
        <v>37</v>
      </c>
      <c r="E2499" s="2" t="s">
        <v>2393</v>
      </c>
      <c r="I2499" s="2" t="s">
        <v>106</v>
      </c>
      <c r="L2499" s="2" t="s">
        <v>2061</v>
      </c>
      <c r="P2499" s="2" t="s">
        <v>2394</v>
      </c>
      <c r="T2499" s="5">
        <v>16875</v>
      </c>
      <c r="V2499" s="49">
        <v>0</v>
      </c>
      <c r="W2499" s="50"/>
    </row>
    <row r="2500" spans="3:23" x14ac:dyDescent="0.2">
      <c r="C2500" s="2" t="s">
        <v>2224</v>
      </c>
      <c r="E2500" s="2" t="s">
        <v>2395</v>
      </c>
      <c r="I2500" s="2" t="s">
        <v>106</v>
      </c>
      <c r="L2500" s="2" t="s">
        <v>2345</v>
      </c>
      <c r="P2500" s="2" t="s">
        <v>2396</v>
      </c>
      <c r="T2500" s="5">
        <v>5760</v>
      </c>
      <c r="V2500" s="49">
        <v>0</v>
      </c>
      <c r="W2500" s="50"/>
    </row>
    <row r="2501" spans="3:23" x14ac:dyDescent="0.2">
      <c r="C2501" s="2" t="s">
        <v>40</v>
      </c>
      <c r="E2501" s="2" t="s">
        <v>2397</v>
      </c>
      <c r="I2501" s="2" t="s">
        <v>106</v>
      </c>
      <c r="L2501" s="2" t="s">
        <v>2355</v>
      </c>
      <c r="P2501" s="2" t="s">
        <v>2398</v>
      </c>
      <c r="T2501" s="5">
        <v>12000</v>
      </c>
      <c r="V2501" s="49">
        <v>0</v>
      </c>
      <c r="W2501" s="50"/>
    </row>
    <row r="2502" spans="3:23" x14ac:dyDescent="0.2">
      <c r="C2502" s="2" t="s">
        <v>40</v>
      </c>
      <c r="E2502" s="2" t="s">
        <v>2399</v>
      </c>
      <c r="I2502" s="2" t="s">
        <v>106</v>
      </c>
      <c r="L2502" s="2" t="s">
        <v>2061</v>
      </c>
      <c r="P2502" s="2" t="s">
        <v>2400</v>
      </c>
      <c r="T2502" s="5">
        <v>18000</v>
      </c>
      <c r="V2502" s="49">
        <v>0</v>
      </c>
      <c r="W2502" s="50"/>
    </row>
    <row r="2503" spans="3:23" x14ac:dyDescent="0.2">
      <c r="C2503" s="2" t="s">
        <v>40</v>
      </c>
      <c r="E2503" s="2" t="s">
        <v>2401</v>
      </c>
      <c r="I2503" s="2" t="s">
        <v>106</v>
      </c>
      <c r="L2503" s="2" t="s">
        <v>2353</v>
      </c>
      <c r="P2503" s="2" t="s">
        <v>2396</v>
      </c>
      <c r="T2503" s="5">
        <v>3600</v>
      </c>
      <c r="V2503" s="49">
        <v>0</v>
      </c>
      <c r="W2503" s="50"/>
    </row>
    <row r="2504" spans="3:23" x14ac:dyDescent="0.2">
      <c r="C2504" s="2" t="s">
        <v>46</v>
      </c>
      <c r="E2504" s="2" t="s">
        <v>2402</v>
      </c>
      <c r="I2504" s="2" t="s">
        <v>106</v>
      </c>
      <c r="L2504" s="2" t="s">
        <v>2355</v>
      </c>
      <c r="P2504" s="2" t="s">
        <v>2403</v>
      </c>
      <c r="T2504" s="5">
        <v>16500</v>
      </c>
      <c r="V2504" s="49">
        <v>0</v>
      </c>
      <c r="W2504" s="50"/>
    </row>
    <row r="2505" spans="3:23" x14ac:dyDescent="0.2">
      <c r="C2505" s="2" t="s">
        <v>46</v>
      </c>
      <c r="E2505" s="2" t="s">
        <v>2404</v>
      </c>
      <c r="I2505" s="2" t="s">
        <v>106</v>
      </c>
      <c r="L2505" s="2" t="s">
        <v>2355</v>
      </c>
      <c r="P2505" s="2" t="s">
        <v>2405</v>
      </c>
      <c r="T2505" s="5">
        <v>9000</v>
      </c>
      <c r="V2505" s="49">
        <v>0</v>
      </c>
      <c r="W2505" s="50"/>
    </row>
    <row r="2506" spans="3:23" x14ac:dyDescent="0.2">
      <c r="C2506" s="2" t="s">
        <v>481</v>
      </c>
      <c r="E2506" s="2" t="s">
        <v>2406</v>
      </c>
      <c r="I2506" s="2" t="s">
        <v>106</v>
      </c>
      <c r="L2506" s="2" t="s">
        <v>2350</v>
      </c>
      <c r="P2506" s="2" t="s">
        <v>2407</v>
      </c>
      <c r="T2506" s="5">
        <v>35425</v>
      </c>
      <c r="V2506" s="49">
        <v>0</v>
      </c>
      <c r="W2506" s="50"/>
    </row>
    <row r="2507" spans="3:23" x14ac:dyDescent="0.2">
      <c r="C2507" s="2" t="s">
        <v>49</v>
      </c>
      <c r="E2507" s="2" t="s">
        <v>2408</v>
      </c>
      <c r="I2507" s="2" t="s">
        <v>106</v>
      </c>
      <c r="L2507" s="2" t="s">
        <v>2345</v>
      </c>
      <c r="P2507" s="2" t="s">
        <v>2409</v>
      </c>
      <c r="T2507" s="5">
        <v>8640</v>
      </c>
      <c r="V2507" s="49">
        <v>0</v>
      </c>
      <c r="W2507" s="50"/>
    </row>
    <row r="2508" spans="3:23" x14ac:dyDescent="0.2">
      <c r="C2508" s="2" t="s">
        <v>49</v>
      </c>
      <c r="E2508" s="2" t="s">
        <v>2410</v>
      </c>
      <c r="I2508" s="2" t="s">
        <v>106</v>
      </c>
      <c r="L2508" s="2" t="s">
        <v>2353</v>
      </c>
      <c r="P2508" s="2" t="s">
        <v>2409</v>
      </c>
      <c r="T2508" s="5">
        <v>6720</v>
      </c>
      <c r="V2508" s="49">
        <v>0</v>
      </c>
      <c r="W2508" s="50"/>
    </row>
    <row r="2509" spans="3:23" x14ac:dyDescent="0.2">
      <c r="C2509" s="2" t="s">
        <v>49</v>
      </c>
      <c r="E2509" s="2" t="s">
        <v>2411</v>
      </c>
      <c r="I2509" s="2" t="s">
        <v>106</v>
      </c>
      <c r="L2509" s="2" t="s">
        <v>2061</v>
      </c>
      <c r="P2509" s="2" t="s">
        <v>2412</v>
      </c>
      <c r="T2509" s="5">
        <v>62250</v>
      </c>
      <c r="V2509" s="49">
        <v>0</v>
      </c>
      <c r="W2509" s="50"/>
    </row>
    <row r="2510" spans="3:23" x14ac:dyDescent="0.2">
      <c r="C2510" s="2" t="s">
        <v>49</v>
      </c>
      <c r="E2510" s="2" t="s">
        <v>2413</v>
      </c>
      <c r="I2510" s="2" t="s">
        <v>106</v>
      </c>
      <c r="L2510" s="2" t="s">
        <v>2355</v>
      </c>
      <c r="P2510" s="2" t="s">
        <v>2414</v>
      </c>
      <c r="T2510" s="5">
        <v>47700</v>
      </c>
      <c r="V2510" s="49">
        <v>0</v>
      </c>
      <c r="W2510" s="50"/>
    </row>
    <row r="2511" spans="3:23" x14ac:dyDescent="0.2">
      <c r="C2511" s="2" t="s">
        <v>49</v>
      </c>
      <c r="E2511" s="2" t="s">
        <v>2415</v>
      </c>
      <c r="I2511" s="2" t="s">
        <v>106</v>
      </c>
      <c r="L2511" s="2" t="s">
        <v>2348</v>
      </c>
      <c r="P2511" s="2" t="s">
        <v>2409</v>
      </c>
      <c r="T2511" s="5">
        <v>6425</v>
      </c>
      <c r="V2511" s="49">
        <v>0</v>
      </c>
      <c r="W2511" s="50"/>
    </row>
    <row r="2512" spans="3:23" x14ac:dyDescent="0.2">
      <c r="C2512" s="2" t="s">
        <v>52</v>
      </c>
      <c r="E2512" s="2" t="s">
        <v>2416</v>
      </c>
      <c r="I2512" s="2" t="s">
        <v>106</v>
      </c>
      <c r="L2512" s="2" t="s">
        <v>2350</v>
      </c>
      <c r="P2512" s="2" t="s">
        <v>2417</v>
      </c>
      <c r="T2512" s="5">
        <v>35587.5</v>
      </c>
      <c r="V2512" s="49">
        <v>0</v>
      </c>
      <c r="W2512" s="50"/>
    </row>
    <row r="2513" spans="2:23" x14ac:dyDescent="0.2">
      <c r="C2513" s="2" t="s">
        <v>52</v>
      </c>
      <c r="E2513" s="2" t="s">
        <v>2418</v>
      </c>
      <c r="I2513" s="2" t="s">
        <v>106</v>
      </c>
      <c r="L2513" s="2" t="s">
        <v>2345</v>
      </c>
      <c r="P2513" s="2" t="s">
        <v>2419</v>
      </c>
      <c r="T2513" s="5">
        <v>10560</v>
      </c>
      <c r="V2513" s="49">
        <v>0</v>
      </c>
      <c r="W2513" s="50"/>
    </row>
    <row r="2514" spans="2:23" x14ac:dyDescent="0.2">
      <c r="C2514" s="2" t="s">
        <v>52</v>
      </c>
      <c r="E2514" s="2" t="s">
        <v>2420</v>
      </c>
      <c r="I2514" s="2" t="s">
        <v>106</v>
      </c>
      <c r="L2514" s="2" t="s">
        <v>2061</v>
      </c>
      <c r="P2514" s="2" t="s">
        <v>2421</v>
      </c>
      <c r="T2514" s="5">
        <v>48750</v>
      </c>
      <c r="V2514" s="49">
        <v>0</v>
      </c>
      <c r="W2514" s="50"/>
    </row>
    <row r="2515" spans="2:23" x14ac:dyDescent="0.2">
      <c r="C2515" s="2" t="s">
        <v>52</v>
      </c>
      <c r="E2515" s="2" t="s">
        <v>2422</v>
      </c>
      <c r="I2515" s="2" t="s">
        <v>106</v>
      </c>
      <c r="L2515" s="2" t="s">
        <v>2353</v>
      </c>
      <c r="P2515" s="2" t="s">
        <v>2419</v>
      </c>
      <c r="T2515" s="5">
        <v>7350</v>
      </c>
      <c r="V2515" s="49">
        <v>0</v>
      </c>
      <c r="W2515" s="50"/>
    </row>
    <row r="2516" spans="2:23" x14ac:dyDescent="0.2">
      <c r="C2516" s="2" t="s">
        <v>52</v>
      </c>
      <c r="E2516" s="2" t="s">
        <v>2423</v>
      </c>
      <c r="I2516" s="2" t="s">
        <v>106</v>
      </c>
      <c r="L2516" s="2" t="s">
        <v>2348</v>
      </c>
      <c r="P2516" s="2" t="s">
        <v>2419</v>
      </c>
      <c r="T2516" s="5">
        <v>6625</v>
      </c>
      <c r="V2516" s="49">
        <v>0</v>
      </c>
      <c r="W2516" s="50"/>
    </row>
    <row r="2517" spans="2:23" x14ac:dyDescent="0.2">
      <c r="C2517" s="2" t="s">
        <v>52</v>
      </c>
      <c r="E2517" s="2" t="s">
        <v>2424</v>
      </c>
      <c r="I2517" s="2" t="s">
        <v>106</v>
      </c>
      <c r="L2517" s="2" t="s">
        <v>2355</v>
      </c>
      <c r="P2517" s="2" t="s">
        <v>2425</v>
      </c>
      <c r="T2517" s="5">
        <v>43500</v>
      </c>
      <c r="V2517" s="49">
        <v>0</v>
      </c>
      <c r="W2517" s="50"/>
    </row>
    <row r="2518" spans="2:23" x14ac:dyDescent="0.2">
      <c r="C2518" s="2" t="s">
        <v>55</v>
      </c>
      <c r="E2518" s="2" t="s">
        <v>2426</v>
      </c>
      <c r="I2518" s="2" t="s">
        <v>106</v>
      </c>
      <c r="L2518" s="2" t="s">
        <v>2061</v>
      </c>
      <c r="P2518" s="2" t="s">
        <v>2427</v>
      </c>
      <c r="T2518" s="5">
        <v>42750</v>
      </c>
      <c r="V2518" s="49">
        <v>0</v>
      </c>
      <c r="W2518" s="50"/>
    </row>
    <row r="2519" spans="2:23" x14ac:dyDescent="0.2">
      <c r="C2519" s="2" t="s">
        <v>55</v>
      </c>
      <c r="E2519" s="2" t="s">
        <v>2428</v>
      </c>
      <c r="I2519" s="2" t="s">
        <v>106</v>
      </c>
      <c r="L2519" s="2" t="s">
        <v>2348</v>
      </c>
      <c r="P2519" s="2" t="s">
        <v>2429</v>
      </c>
      <c r="T2519" s="5">
        <v>2250</v>
      </c>
      <c r="V2519" s="49">
        <v>0</v>
      </c>
      <c r="W2519" s="50"/>
    </row>
    <row r="2520" spans="2:23" x14ac:dyDescent="0.2">
      <c r="C2520" s="2" t="s">
        <v>55</v>
      </c>
      <c r="E2520" s="2" t="s">
        <v>2430</v>
      </c>
      <c r="I2520" s="2" t="s">
        <v>106</v>
      </c>
      <c r="L2520" s="2" t="s">
        <v>2353</v>
      </c>
      <c r="P2520" s="2" t="s">
        <v>2429</v>
      </c>
      <c r="T2520" s="5">
        <v>7770</v>
      </c>
      <c r="V2520" s="49">
        <v>0</v>
      </c>
      <c r="W2520" s="50"/>
    </row>
    <row r="2521" spans="2:23" x14ac:dyDescent="0.2">
      <c r="C2521" s="2" t="s">
        <v>55</v>
      </c>
      <c r="E2521" s="2" t="s">
        <v>2431</v>
      </c>
      <c r="I2521" s="2" t="s">
        <v>106</v>
      </c>
      <c r="L2521" s="2" t="s">
        <v>2350</v>
      </c>
      <c r="P2521" s="2" t="s">
        <v>2432</v>
      </c>
      <c r="T2521" s="5">
        <v>36562.5</v>
      </c>
      <c r="V2521" s="49">
        <v>0</v>
      </c>
      <c r="W2521" s="50"/>
    </row>
    <row r="2522" spans="2:23" x14ac:dyDescent="0.2">
      <c r="C2522" s="2" t="s">
        <v>55</v>
      </c>
      <c r="E2522" s="2" t="s">
        <v>2433</v>
      </c>
      <c r="I2522" s="2" t="s">
        <v>106</v>
      </c>
      <c r="L2522" s="2" t="s">
        <v>2345</v>
      </c>
      <c r="P2522" s="2" t="s">
        <v>2429</v>
      </c>
      <c r="T2522" s="5">
        <v>10080</v>
      </c>
      <c r="V2522" s="49">
        <v>0</v>
      </c>
      <c r="W2522" s="50"/>
    </row>
    <row r="2523" spans="2:23" x14ac:dyDescent="0.2">
      <c r="C2523" s="2" t="s">
        <v>55</v>
      </c>
      <c r="E2523" s="2" t="s">
        <v>2434</v>
      </c>
      <c r="I2523" s="2" t="s">
        <v>106</v>
      </c>
      <c r="L2523" s="2" t="s">
        <v>2355</v>
      </c>
      <c r="P2523" s="2" t="s">
        <v>2435</v>
      </c>
      <c r="T2523" s="5">
        <v>63600</v>
      </c>
      <c r="V2523" s="49">
        <v>0</v>
      </c>
      <c r="W2523" s="50"/>
    </row>
    <row r="2524" spans="2:23" x14ac:dyDescent="0.2">
      <c r="C2524" s="2" t="s">
        <v>2437</v>
      </c>
      <c r="E2524" s="2" t="s">
        <v>2436</v>
      </c>
      <c r="I2524" s="2" t="s">
        <v>106</v>
      </c>
      <c r="L2524" s="2" t="s">
        <v>2350</v>
      </c>
      <c r="P2524" s="2" t="s">
        <v>2438</v>
      </c>
      <c r="T2524" s="5">
        <v>24212.5</v>
      </c>
      <c r="V2524" s="49">
        <v>0</v>
      </c>
      <c r="W2524" s="50"/>
    </row>
    <row r="2525" spans="2:23" x14ac:dyDescent="0.2">
      <c r="C2525" s="2" t="s">
        <v>2440</v>
      </c>
      <c r="E2525" s="2" t="s">
        <v>2439</v>
      </c>
      <c r="I2525" s="2" t="s">
        <v>106</v>
      </c>
      <c r="L2525" s="2" t="s">
        <v>2345</v>
      </c>
      <c r="P2525" s="2" t="s">
        <v>2441</v>
      </c>
      <c r="T2525" s="5">
        <v>7680</v>
      </c>
      <c r="V2525" s="49">
        <v>0</v>
      </c>
      <c r="W2525" s="50"/>
    </row>
    <row r="2526" spans="2:23" ht="18" x14ac:dyDescent="0.2">
      <c r="B2526" s="1" t="s">
        <v>1</v>
      </c>
      <c r="S2526" s="55" t="s">
        <v>2323</v>
      </c>
      <c r="T2526" s="50"/>
      <c r="U2526" s="50"/>
      <c r="V2526" s="50"/>
      <c r="W2526" s="50"/>
    </row>
    <row r="2527" spans="2:23" ht="12.75" thickBot="1" x14ac:dyDescent="0.25">
      <c r="B2527" s="10" t="s">
        <v>3</v>
      </c>
      <c r="C2527" s="6"/>
      <c r="D2527" s="6"/>
      <c r="E2527" s="6"/>
      <c r="F2527" s="6"/>
      <c r="G2527" s="6"/>
      <c r="H2527" s="6"/>
      <c r="I2527" s="6"/>
      <c r="J2527" s="6"/>
      <c r="K2527" s="6" t="s">
        <v>5</v>
      </c>
      <c r="L2527" s="6"/>
      <c r="M2527" s="6"/>
      <c r="N2527" s="6"/>
      <c r="O2527" s="6"/>
      <c r="P2527" s="6" t="s">
        <v>4</v>
      </c>
      <c r="Q2527" s="6" t="s">
        <v>2730</v>
      </c>
      <c r="R2527" s="6"/>
      <c r="S2527" s="56" t="s">
        <v>6</v>
      </c>
      <c r="T2527" s="57"/>
      <c r="U2527" s="57"/>
      <c r="V2527" s="57"/>
      <c r="W2527" s="57"/>
    </row>
    <row r="2528" spans="2:23" ht="12.75" thickTop="1" x14ac:dyDescent="0.2"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</row>
    <row r="2529" spans="2:23" x14ac:dyDescent="0.2">
      <c r="C2529" s="2" t="s">
        <v>2444</v>
      </c>
      <c r="E2529" s="2" t="s">
        <v>2443</v>
      </c>
      <c r="I2529" s="2" t="s">
        <v>106</v>
      </c>
      <c r="L2529" s="2" t="s">
        <v>2353</v>
      </c>
      <c r="P2529" s="2" t="s">
        <v>2441</v>
      </c>
      <c r="T2529" s="5">
        <v>5040</v>
      </c>
      <c r="V2529" s="49">
        <v>0</v>
      </c>
      <c r="W2529" s="50"/>
    </row>
    <row r="2530" spans="2:23" x14ac:dyDescent="0.2">
      <c r="C2530" s="2" t="s">
        <v>20</v>
      </c>
      <c r="E2530" s="2" t="s">
        <v>18</v>
      </c>
      <c r="I2530" s="2" t="s">
        <v>19</v>
      </c>
      <c r="P2530" s="2" t="s">
        <v>21</v>
      </c>
      <c r="T2530" s="5">
        <v>-1274962.53</v>
      </c>
      <c r="V2530" s="49">
        <v>0</v>
      </c>
      <c r="W2530" s="50"/>
    </row>
    <row r="2531" spans="2:23" x14ac:dyDescent="0.2">
      <c r="C2531" s="2" t="s">
        <v>20</v>
      </c>
      <c r="E2531" s="2" t="s">
        <v>2445</v>
      </c>
      <c r="I2531" s="2" t="s">
        <v>106</v>
      </c>
      <c r="L2531" s="2" t="s">
        <v>2348</v>
      </c>
      <c r="P2531" s="2" t="s">
        <v>2441</v>
      </c>
      <c r="T2531" s="5">
        <v>2250</v>
      </c>
      <c r="V2531" s="49">
        <v>0</v>
      </c>
      <c r="W2531" s="50"/>
    </row>
    <row r="2532" spans="2:23" x14ac:dyDescent="0.2">
      <c r="C2532" s="2" t="s">
        <v>20</v>
      </c>
      <c r="E2532" s="2" t="s">
        <v>2446</v>
      </c>
      <c r="I2532" s="2" t="s">
        <v>106</v>
      </c>
      <c r="L2532" s="2" t="s">
        <v>2355</v>
      </c>
      <c r="P2532" s="2" t="s">
        <v>2447</v>
      </c>
      <c r="T2532" s="5">
        <v>30600</v>
      </c>
      <c r="V2532" s="49">
        <v>0</v>
      </c>
      <c r="W2532" s="50"/>
    </row>
    <row r="2533" spans="2:23" x14ac:dyDescent="0.2">
      <c r="C2533" s="2" t="s">
        <v>20</v>
      </c>
      <c r="E2533" s="2" t="s">
        <v>2448</v>
      </c>
      <c r="I2533" s="2" t="s">
        <v>106</v>
      </c>
      <c r="L2533" s="2" t="s">
        <v>2061</v>
      </c>
      <c r="P2533" s="2" t="s">
        <v>2449</v>
      </c>
      <c r="T2533" s="5">
        <v>34125</v>
      </c>
      <c r="V2533" s="49">
        <v>0</v>
      </c>
      <c r="W2533" s="50"/>
    </row>
    <row r="2534" spans="2:23" x14ac:dyDescent="0.2">
      <c r="B2534" s="22" t="s">
        <v>16</v>
      </c>
      <c r="E2534" s="22" t="s">
        <v>17</v>
      </c>
      <c r="S2534" s="51">
        <v>-28900.03</v>
      </c>
      <c r="T2534" s="50"/>
      <c r="U2534" s="51">
        <v>0</v>
      </c>
      <c r="V2534" s="50"/>
      <c r="W2534" s="50"/>
    </row>
    <row r="2536" spans="2:23" x14ac:dyDescent="0.2">
      <c r="B2536" s="22" t="s">
        <v>2058</v>
      </c>
      <c r="E2536" s="22" t="s">
        <v>2059</v>
      </c>
    </row>
    <row r="2537" spans="2:23" x14ac:dyDescent="0.2">
      <c r="C2537" s="2" t="s">
        <v>944</v>
      </c>
      <c r="E2537" s="2" t="s">
        <v>2450</v>
      </c>
      <c r="I2537" s="2" t="s">
        <v>106</v>
      </c>
      <c r="L2537" s="2" t="s">
        <v>2061</v>
      </c>
      <c r="P2537" s="2" t="s">
        <v>2451</v>
      </c>
      <c r="T2537" s="5">
        <v>1480</v>
      </c>
      <c r="V2537" s="49">
        <v>0</v>
      </c>
      <c r="W2537" s="50"/>
    </row>
    <row r="2538" spans="2:23" x14ac:dyDescent="0.2">
      <c r="B2538" s="22" t="s">
        <v>2058</v>
      </c>
      <c r="E2538" s="22" t="s">
        <v>2059</v>
      </c>
      <c r="S2538" s="51">
        <v>1480</v>
      </c>
      <c r="T2538" s="50"/>
      <c r="U2538" s="51">
        <v>0</v>
      </c>
      <c r="V2538" s="50"/>
      <c r="W2538" s="50"/>
    </row>
    <row r="2539" spans="2:23" x14ac:dyDescent="0.2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8"/>
      <c r="M2539" s="8"/>
      <c r="N2539" s="8"/>
      <c r="O2539" s="8"/>
      <c r="P2539" s="8"/>
      <c r="Q2539" s="8"/>
      <c r="R2539" s="8"/>
      <c r="S2539" s="8"/>
      <c r="T2539" s="8"/>
      <c r="U2539" s="8"/>
      <c r="V2539" s="8"/>
      <c r="W2539" s="8"/>
    </row>
    <row r="2540" spans="2:23" x14ac:dyDescent="0.2">
      <c r="B2540" s="9"/>
      <c r="C2540" s="9"/>
      <c r="D2540" s="9"/>
      <c r="E2540" s="9"/>
      <c r="F2540" s="9"/>
      <c r="G2540" s="9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52">
        <v>-25672.03</v>
      </c>
      <c r="T2540" s="53"/>
      <c r="U2540" s="52">
        <v>0</v>
      </c>
      <c r="V2540" s="53"/>
      <c r="W2540" s="53"/>
    </row>
    <row r="2541" spans="2:23" x14ac:dyDescent="0.2">
      <c r="B2541" s="8"/>
      <c r="C2541" s="8"/>
      <c r="D2541" s="20" t="s">
        <v>81</v>
      </c>
      <c r="E2541" s="8"/>
      <c r="F2541" s="8"/>
      <c r="G2541" s="8"/>
      <c r="H2541" s="8"/>
      <c r="I2541" s="8"/>
      <c r="J2541" s="8"/>
      <c r="K2541" s="8"/>
      <c r="L2541" s="8"/>
      <c r="M2541" s="8"/>
      <c r="N2541" s="8"/>
      <c r="O2541" s="8"/>
      <c r="P2541" s="8"/>
      <c r="Q2541" s="8"/>
      <c r="R2541" s="11">
        <v>-25672.03</v>
      </c>
      <c r="S2541" s="8"/>
      <c r="T2541" s="8"/>
      <c r="U2541" s="8"/>
      <c r="V2541" s="8"/>
      <c r="W2541" s="8"/>
    </row>
    <row r="2542" spans="2:23" x14ac:dyDescent="0.2">
      <c r="B2542" s="9"/>
      <c r="C2542" s="9"/>
      <c r="D2542" s="9"/>
      <c r="E2542" s="9"/>
      <c r="F2542" s="9"/>
      <c r="G2542" s="9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9"/>
      <c r="U2542" s="9"/>
      <c r="V2542" s="9"/>
      <c r="W2542" s="9"/>
    </row>
    <row r="2543" spans="2:23" x14ac:dyDescent="0.2">
      <c r="B2543" s="22" t="s">
        <v>7</v>
      </c>
      <c r="D2543" s="22" t="s">
        <v>2337</v>
      </c>
      <c r="O2543" s="20" t="s">
        <v>97</v>
      </c>
      <c r="P2543" s="8"/>
      <c r="Q2543" s="8"/>
      <c r="R2543" s="11">
        <v>25672.03</v>
      </c>
    </row>
    <row r="2544" spans="2:23" x14ac:dyDescent="0.2">
      <c r="O2544" s="9"/>
      <c r="P2544" s="9"/>
      <c r="Q2544" s="9"/>
      <c r="R2544" s="9"/>
    </row>
    <row r="2545" spans="2:23" x14ac:dyDescent="0.2">
      <c r="B2545" s="2" t="s">
        <v>98</v>
      </c>
    </row>
    <row r="2547" spans="2:23" ht="24" customHeight="1" x14ac:dyDescent="0.2">
      <c r="B2547" s="54" t="s">
        <v>0</v>
      </c>
      <c r="C2547" s="50"/>
      <c r="D2547" s="50"/>
      <c r="E2547" s="50"/>
      <c r="F2547" s="50"/>
      <c r="G2547" s="50"/>
      <c r="H2547" s="50"/>
      <c r="I2547" s="50"/>
      <c r="J2547" s="50"/>
      <c r="K2547" s="50"/>
      <c r="L2547" s="50"/>
      <c r="M2547" s="50"/>
      <c r="N2547" s="50"/>
      <c r="O2547" s="50"/>
      <c r="P2547" s="50"/>
      <c r="Q2547" s="50"/>
      <c r="R2547" s="50"/>
      <c r="S2547" s="50"/>
      <c r="T2547" s="50"/>
      <c r="U2547" s="50"/>
      <c r="V2547" s="50"/>
      <c r="W2547" s="50"/>
    </row>
    <row r="2548" spans="2:23" ht="18" x14ac:dyDescent="0.2">
      <c r="B2548" s="1" t="s">
        <v>1</v>
      </c>
      <c r="S2548" s="55" t="s">
        <v>2336</v>
      </c>
      <c r="T2548" s="50"/>
      <c r="U2548" s="50"/>
      <c r="V2548" s="50"/>
      <c r="W2548" s="50"/>
    </row>
    <row r="2549" spans="2:23" ht="12.75" thickBot="1" x14ac:dyDescent="0.25">
      <c r="B2549" s="10" t="s">
        <v>3</v>
      </c>
      <c r="C2549" s="6"/>
      <c r="D2549" s="6"/>
      <c r="E2549" s="6"/>
      <c r="F2549" s="6"/>
      <c r="G2549" s="6"/>
      <c r="H2549" s="6"/>
      <c r="I2549" s="6"/>
      <c r="J2549" s="6"/>
      <c r="K2549" s="6" t="s">
        <v>5</v>
      </c>
      <c r="L2549" s="6"/>
      <c r="M2549" s="6"/>
      <c r="N2549" s="6"/>
      <c r="O2549" s="6"/>
      <c r="P2549" s="6" t="s">
        <v>4</v>
      </c>
      <c r="Q2549" s="6" t="s">
        <v>2730</v>
      </c>
      <c r="R2549" s="6"/>
      <c r="S2549" s="56" t="s">
        <v>6</v>
      </c>
      <c r="T2549" s="57"/>
      <c r="U2549" s="57"/>
      <c r="V2549" s="57"/>
      <c r="W2549" s="57"/>
    </row>
    <row r="2550" spans="2:23" ht="12.75" thickTop="1" x14ac:dyDescent="0.2"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</row>
    <row r="2551" spans="2:23" ht="15.75" x14ac:dyDescent="0.2">
      <c r="B2551" s="3" t="s">
        <v>7</v>
      </c>
      <c r="F2551" s="3" t="s">
        <v>2453</v>
      </c>
    </row>
    <row r="2553" spans="2:23" x14ac:dyDescent="0.2">
      <c r="B2553" s="8"/>
      <c r="C2553" s="20" t="s">
        <v>8</v>
      </c>
      <c r="D2553" s="8"/>
      <c r="E2553" s="20" t="s">
        <v>9</v>
      </c>
      <c r="F2553" s="8"/>
      <c r="G2553" s="8"/>
      <c r="H2553" s="8"/>
      <c r="I2553" s="20" t="s">
        <v>13</v>
      </c>
      <c r="J2553" s="8"/>
      <c r="K2553" s="8"/>
      <c r="L2553" s="20" t="s">
        <v>12</v>
      </c>
      <c r="M2553" s="8"/>
      <c r="N2553" s="8"/>
      <c r="O2553" s="8"/>
      <c r="P2553" s="20" t="s">
        <v>14</v>
      </c>
      <c r="Q2553" s="8"/>
      <c r="R2553" s="8"/>
      <c r="S2553" s="8"/>
      <c r="T2553" s="21" t="s">
        <v>11</v>
      </c>
      <c r="U2553" s="8"/>
      <c r="V2553" s="58" t="s">
        <v>10</v>
      </c>
      <c r="W2553" s="59"/>
    </row>
    <row r="2554" spans="2:23" x14ac:dyDescent="0.2">
      <c r="B2554" s="9"/>
      <c r="C2554" s="9"/>
      <c r="D2554" s="9"/>
      <c r="E2554" s="9"/>
      <c r="F2554" s="9"/>
      <c r="G2554" s="9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9"/>
      <c r="U2554" s="9"/>
      <c r="V2554" s="9"/>
      <c r="W2554" s="9"/>
    </row>
    <row r="2555" spans="2:23" ht="15" x14ac:dyDescent="0.2">
      <c r="B2555" s="4" t="s">
        <v>82</v>
      </c>
    </row>
    <row r="2557" spans="2:23" x14ac:dyDescent="0.2">
      <c r="B2557" s="22" t="s">
        <v>225</v>
      </c>
      <c r="E2557" s="22" t="s">
        <v>226</v>
      </c>
    </row>
    <row r="2558" spans="2:23" x14ac:dyDescent="0.2">
      <c r="C2558" s="2" t="s">
        <v>951</v>
      </c>
      <c r="E2558" s="2" t="s">
        <v>2454</v>
      </c>
      <c r="I2558" s="2" t="s">
        <v>87</v>
      </c>
      <c r="L2558" s="2" t="s">
        <v>2455</v>
      </c>
      <c r="P2558" s="2" t="s">
        <v>2456</v>
      </c>
      <c r="T2558" s="5">
        <v>0</v>
      </c>
      <c r="V2558" s="49">
        <v>49000</v>
      </c>
      <c r="W2558" s="50"/>
    </row>
    <row r="2559" spans="2:23" x14ac:dyDescent="0.2">
      <c r="B2559" s="22" t="s">
        <v>225</v>
      </c>
      <c r="E2559" s="22" t="s">
        <v>226</v>
      </c>
      <c r="S2559" s="51">
        <v>0</v>
      </c>
      <c r="T2559" s="50"/>
      <c r="U2559" s="51">
        <v>49000</v>
      </c>
      <c r="V2559" s="50"/>
      <c r="W2559" s="50"/>
    </row>
    <row r="2561" spans="2:23" x14ac:dyDescent="0.2">
      <c r="B2561" s="22" t="s">
        <v>1979</v>
      </c>
      <c r="E2561" s="22" t="s">
        <v>2734</v>
      </c>
    </row>
    <row r="2562" spans="2:23" x14ac:dyDescent="0.2">
      <c r="C2562" s="2" t="s">
        <v>614</v>
      </c>
      <c r="E2562" s="2" t="s">
        <v>2457</v>
      </c>
      <c r="I2562" s="2" t="s">
        <v>87</v>
      </c>
      <c r="L2562" s="2" t="s">
        <v>1981</v>
      </c>
      <c r="P2562" s="2" t="s">
        <v>2458</v>
      </c>
      <c r="T2562" s="5">
        <v>0</v>
      </c>
      <c r="V2562" s="49">
        <v>5000</v>
      </c>
      <c r="W2562" s="50"/>
    </row>
    <row r="2563" spans="2:23" x14ac:dyDescent="0.2">
      <c r="C2563" s="2" t="s">
        <v>1484</v>
      </c>
      <c r="E2563" s="2" t="s">
        <v>2459</v>
      </c>
      <c r="I2563" s="2" t="s">
        <v>87</v>
      </c>
      <c r="L2563" s="2" t="s">
        <v>1981</v>
      </c>
      <c r="P2563" s="2" t="s">
        <v>2460</v>
      </c>
      <c r="T2563" s="5">
        <v>0</v>
      </c>
      <c r="V2563" s="49">
        <v>12000</v>
      </c>
      <c r="W2563" s="50"/>
    </row>
    <row r="2564" spans="2:23" x14ac:dyDescent="0.2">
      <c r="C2564" s="2" t="s">
        <v>2462</v>
      </c>
      <c r="E2564" s="2" t="s">
        <v>2461</v>
      </c>
      <c r="I2564" s="2" t="s">
        <v>87</v>
      </c>
      <c r="L2564" s="2" t="s">
        <v>1981</v>
      </c>
      <c r="P2564" s="2" t="s">
        <v>2463</v>
      </c>
      <c r="T2564" s="5">
        <v>0</v>
      </c>
      <c r="V2564" s="49">
        <v>10000</v>
      </c>
      <c r="W2564" s="50"/>
    </row>
    <row r="2565" spans="2:23" x14ac:dyDescent="0.2">
      <c r="C2565" s="2" t="s">
        <v>299</v>
      </c>
      <c r="E2565" s="2" t="s">
        <v>2464</v>
      </c>
      <c r="I2565" s="2" t="s">
        <v>87</v>
      </c>
      <c r="L2565" s="2" t="s">
        <v>1981</v>
      </c>
      <c r="P2565" s="2" t="s">
        <v>2465</v>
      </c>
      <c r="T2565" s="5">
        <v>0</v>
      </c>
      <c r="V2565" s="49">
        <v>62500</v>
      </c>
      <c r="W2565" s="50"/>
    </row>
    <row r="2566" spans="2:23" x14ac:dyDescent="0.2">
      <c r="C2566" s="2" t="s">
        <v>2069</v>
      </c>
      <c r="E2566" s="2" t="s">
        <v>2466</v>
      </c>
      <c r="I2566" s="2" t="s">
        <v>87</v>
      </c>
      <c r="L2566" s="2" t="s">
        <v>1981</v>
      </c>
      <c r="P2566" s="2" t="s">
        <v>2467</v>
      </c>
      <c r="T2566" s="5">
        <v>0</v>
      </c>
      <c r="V2566" s="49">
        <v>250</v>
      </c>
      <c r="W2566" s="50"/>
    </row>
    <row r="2567" spans="2:23" x14ac:dyDescent="0.2">
      <c r="C2567" s="2" t="s">
        <v>2469</v>
      </c>
      <c r="E2567" s="2" t="s">
        <v>2468</v>
      </c>
      <c r="I2567" s="2" t="s">
        <v>87</v>
      </c>
      <c r="L2567" s="2" t="s">
        <v>1981</v>
      </c>
      <c r="P2567" s="2" t="s">
        <v>2470</v>
      </c>
      <c r="T2567" s="5">
        <v>0</v>
      </c>
      <c r="V2567" s="49">
        <v>11000</v>
      </c>
      <c r="W2567" s="50"/>
    </row>
    <row r="2568" spans="2:23" x14ac:dyDescent="0.2">
      <c r="C2568" s="2" t="s">
        <v>232</v>
      </c>
      <c r="E2568" s="2" t="s">
        <v>2471</v>
      </c>
      <c r="I2568" s="2" t="s">
        <v>87</v>
      </c>
      <c r="L2568" s="2" t="s">
        <v>1981</v>
      </c>
      <c r="P2568" s="2" t="s">
        <v>2472</v>
      </c>
      <c r="T2568" s="5">
        <v>0</v>
      </c>
      <c r="V2568" s="49">
        <v>13000</v>
      </c>
      <c r="W2568" s="50"/>
    </row>
    <row r="2569" spans="2:23" x14ac:dyDescent="0.2">
      <c r="C2569" s="2" t="s">
        <v>20</v>
      </c>
      <c r="E2569" s="2" t="s">
        <v>2473</v>
      </c>
      <c r="I2569" s="2" t="s">
        <v>87</v>
      </c>
      <c r="L2569" s="2" t="s">
        <v>1981</v>
      </c>
      <c r="P2569" s="2" t="s">
        <v>2474</v>
      </c>
      <c r="T2569" s="5">
        <v>0</v>
      </c>
      <c r="V2569" s="49">
        <v>40000</v>
      </c>
      <c r="W2569" s="50"/>
    </row>
    <row r="2570" spans="2:23" x14ac:dyDescent="0.2">
      <c r="C2570" s="2" t="s">
        <v>20</v>
      </c>
      <c r="E2570" s="2" t="s">
        <v>2475</v>
      </c>
      <c r="I2570" s="2" t="s">
        <v>87</v>
      </c>
      <c r="L2570" s="2" t="s">
        <v>2218</v>
      </c>
      <c r="P2570" s="2" t="s">
        <v>2476</v>
      </c>
      <c r="T2570" s="5">
        <v>0</v>
      </c>
      <c r="V2570" s="49">
        <v>15678</v>
      </c>
      <c r="W2570" s="50"/>
    </row>
    <row r="2571" spans="2:23" x14ac:dyDescent="0.2">
      <c r="B2571" s="22" t="s">
        <v>1979</v>
      </c>
      <c r="E2571" s="22" t="s">
        <v>2734</v>
      </c>
      <c r="S2571" s="51">
        <v>0</v>
      </c>
      <c r="T2571" s="50"/>
      <c r="U2571" s="51">
        <v>169428</v>
      </c>
      <c r="V2571" s="50"/>
      <c r="W2571" s="50"/>
    </row>
    <row r="2572" spans="2:23" x14ac:dyDescent="0.2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8"/>
      <c r="M2572" s="8"/>
      <c r="N2572" s="8"/>
      <c r="O2572" s="8"/>
      <c r="P2572" s="8"/>
      <c r="Q2572" s="8"/>
      <c r="R2572" s="8"/>
      <c r="S2572" s="8"/>
      <c r="T2572" s="8"/>
      <c r="U2572" s="8"/>
      <c r="V2572" s="8"/>
      <c r="W2572" s="8"/>
    </row>
    <row r="2573" spans="2:23" x14ac:dyDescent="0.2">
      <c r="B2573" s="9"/>
      <c r="C2573" s="9"/>
      <c r="D2573" s="9"/>
      <c r="E2573" s="9"/>
      <c r="F2573" s="9"/>
      <c r="G2573" s="9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52">
        <v>0</v>
      </c>
      <c r="T2573" s="53"/>
      <c r="U2573" s="52">
        <v>218428</v>
      </c>
      <c r="V2573" s="53"/>
      <c r="W2573" s="53"/>
    </row>
    <row r="2574" spans="2:23" x14ac:dyDescent="0.2">
      <c r="B2574" s="8"/>
      <c r="C2574" s="8"/>
      <c r="D2574" s="20" t="s">
        <v>96</v>
      </c>
      <c r="E2574" s="8"/>
      <c r="F2574" s="8"/>
      <c r="G2574" s="8"/>
      <c r="H2574" s="8"/>
      <c r="I2574" s="8"/>
      <c r="J2574" s="8"/>
      <c r="K2574" s="8"/>
      <c r="L2574" s="8"/>
      <c r="M2574" s="8"/>
      <c r="N2574" s="8"/>
      <c r="O2574" s="8"/>
      <c r="P2574" s="8"/>
      <c r="Q2574" s="8"/>
      <c r="R2574" s="11">
        <v>218428</v>
      </c>
      <c r="S2574" s="8"/>
      <c r="T2574" s="8"/>
      <c r="U2574" s="8"/>
      <c r="V2574" s="8"/>
      <c r="W2574" s="8"/>
    </row>
    <row r="2575" spans="2:23" x14ac:dyDescent="0.2">
      <c r="B2575" s="9"/>
      <c r="C2575" s="9"/>
      <c r="D2575" s="9"/>
      <c r="E2575" s="9"/>
      <c r="F2575" s="9"/>
      <c r="G2575" s="9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9"/>
      <c r="U2575" s="9"/>
      <c r="V2575" s="9"/>
      <c r="W2575" s="9"/>
    </row>
    <row r="2576" spans="2:23" x14ac:dyDescent="0.2">
      <c r="B2576" s="22" t="s">
        <v>7</v>
      </c>
      <c r="D2576" s="22" t="s">
        <v>2453</v>
      </c>
      <c r="O2576" s="20" t="s">
        <v>97</v>
      </c>
      <c r="P2576" s="8"/>
      <c r="Q2576" s="8"/>
      <c r="R2576" s="11">
        <v>218428</v>
      </c>
    </row>
    <row r="2577" spans="2:23" x14ac:dyDescent="0.2">
      <c r="O2577" s="9"/>
      <c r="P2577" s="9"/>
      <c r="Q2577" s="9"/>
      <c r="R2577" s="9"/>
    </row>
    <row r="2578" spans="2:23" x14ac:dyDescent="0.2">
      <c r="B2578" s="2" t="s">
        <v>98</v>
      </c>
    </row>
    <row r="2580" spans="2:23" ht="24" customHeight="1" x14ac:dyDescent="0.2">
      <c r="B2580" s="54" t="s">
        <v>0</v>
      </c>
      <c r="C2580" s="50"/>
      <c r="D2580" s="50"/>
      <c r="E2580" s="50"/>
      <c r="F2580" s="50"/>
      <c r="G2580" s="50"/>
      <c r="H2580" s="50"/>
      <c r="I2580" s="50"/>
      <c r="J2580" s="50"/>
      <c r="K2580" s="50"/>
      <c r="L2580" s="50"/>
      <c r="M2580" s="50"/>
      <c r="N2580" s="50"/>
      <c r="O2580" s="50"/>
      <c r="P2580" s="50"/>
      <c r="Q2580" s="50"/>
      <c r="R2580" s="50"/>
      <c r="S2580" s="50"/>
      <c r="T2580" s="50"/>
      <c r="U2580" s="50"/>
      <c r="V2580" s="50"/>
      <c r="W2580" s="50"/>
    </row>
    <row r="2581" spans="2:23" ht="18" x14ac:dyDescent="0.2">
      <c r="B2581" s="1" t="s">
        <v>1</v>
      </c>
      <c r="S2581" s="55" t="s">
        <v>2442</v>
      </c>
      <c r="T2581" s="50"/>
      <c r="U2581" s="50"/>
      <c r="V2581" s="50"/>
      <c r="W2581" s="50"/>
    </row>
    <row r="2582" spans="2:23" ht="12.75" thickBot="1" x14ac:dyDescent="0.25">
      <c r="B2582" s="10" t="s">
        <v>3</v>
      </c>
      <c r="C2582" s="6"/>
      <c r="D2582" s="6"/>
      <c r="E2582" s="6"/>
      <c r="F2582" s="6"/>
      <c r="G2582" s="6"/>
      <c r="H2582" s="6"/>
      <c r="I2582" s="6"/>
      <c r="J2582" s="6"/>
      <c r="K2582" s="6" t="s">
        <v>5</v>
      </c>
      <c r="L2582" s="6"/>
      <c r="M2582" s="6"/>
      <c r="N2582" s="6"/>
      <c r="O2582" s="6"/>
      <c r="P2582" s="6" t="s">
        <v>4</v>
      </c>
      <c r="Q2582" s="6" t="s">
        <v>2730</v>
      </c>
      <c r="R2582" s="6"/>
      <c r="S2582" s="56" t="s">
        <v>6</v>
      </c>
      <c r="T2582" s="57"/>
      <c r="U2582" s="57"/>
      <c r="V2582" s="57"/>
      <c r="W2582" s="57"/>
    </row>
    <row r="2583" spans="2:23" ht="12.75" thickTop="1" x14ac:dyDescent="0.2"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</row>
    <row r="2584" spans="2:23" ht="15.75" x14ac:dyDescent="0.2">
      <c r="B2584" s="3" t="s">
        <v>7</v>
      </c>
      <c r="F2584" s="3" t="s">
        <v>2478</v>
      </c>
    </row>
    <row r="2586" spans="2:23" x14ac:dyDescent="0.2">
      <c r="B2586" s="8"/>
      <c r="C2586" s="20" t="s">
        <v>8</v>
      </c>
      <c r="D2586" s="8"/>
      <c r="E2586" s="20" t="s">
        <v>9</v>
      </c>
      <c r="F2586" s="8"/>
      <c r="G2586" s="8"/>
      <c r="H2586" s="8"/>
      <c r="I2586" s="20" t="s">
        <v>13</v>
      </c>
      <c r="J2586" s="8"/>
      <c r="K2586" s="8"/>
      <c r="L2586" s="20" t="s">
        <v>12</v>
      </c>
      <c r="M2586" s="8"/>
      <c r="N2586" s="8"/>
      <c r="O2586" s="8"/>
      <c r="P2586" s="20" t="s">
        <v>14</v>
      </c>
      <c r="Q2586" s="8"/>
      <c r="R2586" s="8"/>
      <c r="S2586" s="8"/>
      <c r="T2586" s="21" t="s">
        <v>11</v>
      </c>
      <c r="U2586" s="8"/>
      <c r="V2586" s="58" t="s">
        <v>10</v>
      </c>
      <c r="W2586" s="59"/>
    </row>
    <row r="2587" spans="2:23" x14ac:dyDescent="0.2">
      <c r="B2587" s="9"/>
      <c r="C2587" s="9"/>
      <c r="D2587" s="9"/>
      <c r="E2587" s="9"/>
      <c r="F2587" s="9"/>
      <c r="G2587" s="9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9"/>
      <c r="U2587" s="9"/>
      <c r="V2587" s="9"/>
      <c r="W2587" s="9"/>
    </row>
    <row r="2588" spans="2:23" ht="15" x14ac:dyDescent="0.2">
      <c r="B2588" s="4" t="s">
        <v>15</v>
      </c>
    </row>
    <row r="2590" spans="2:23" x14ac:dyDescent="0.2">
      <c r="B2590" s="22" t="s">
        <v>2493</v>
      </c>
      <c r="E2590" s="22" t="s">
        <v>2494</v>
      </c>
    </row>
    <row r="2591" spans="2:23" x14ac:dyDescent="0.2">
      <c r="C2591" s="2" t="s">
        <v>1513</v>
      </c>
      <c r="E2591" s="2" t="s">
        <v>2495</v>
      </c>
      <c r="I2591" s="2" t="s">
        <v>106</v>
      </c>
      <c r="L2591" s="2" t="s">
        <v>2139</v>
      </c>
      <c r="P2591" s="2" t="s">
        <v>2485</v>
      </c>
      <c r="T2591" s="5">
        <v>2159</v>
      </c>
      <c r="V2591" s="49">
        <v>0</v>
      </c>
      <c r="W2591" s="50"/>
    </row>
    <row r="2592" spans="2:23" x14ac:dyDescent="0.2">
      <c r="C2592" s="2" t="s">
        <v>381</v>
      </c>
      <c r="E2592" s="2" t="s">
        <v>2479</v>
      </c>
      <c r="I2592" s="2" t="s">
        <v>106</v>
      </c>
      <c r="L2592" s="2" t="s">
        <v>2139</v>
      </c>
      <c r="P2592" s="2" t="s">
        <v>2480</v>
      </c>
      <c r="T2592" s="5">
        <v>2220</v>
      </c>
      <c r="V2592" s="49">
        <v>0</v>
      </c>
      <c r="W2592" s="50"/>
    </row>
    <row r="2593" spans="3:23" x14ac:dyDescent="0.2">
      <c r="C2593" s="2" t="s">
        <v>1037</v>
      </c>
      <c r="E2593" s="2" t="s">
        <v>2496</v>
      </c>
      <c r="I2593" s="2" t="s">
        <v>106</v>
      </c>
      <c r="L2593" s="2" t="s">
        <v>2139</v>
      </c>
      <c r="P2593" s="2" t="s">
        <v>2497</v>
      </c>
      <c r="T2593" s="5">
        <v>9878</v>
      </c>
      <c r="V2593" s="49">
        <v>0</v>
      </c>
      <c r="W2593" s="50"/>
    </row>
    <row r="2594" spans="3:23" x14ac:dyDescent="0.2">
      <c r="C2594" s="2" t="s">
        <v>527</v>
      </c>
      <c r="E2594" s="2" t="s">
        <v>2498</v>
      </c>
      <c r="I2594" s="2" t="s">
        <v>106</v>
      </c>
      <c r="L2594" s="2" t="s">
        <v>2139</v>
      </c>
      <c r="P2594" s="2" t="s">
        <v>2485</v>
      </c>
      <c r="T2594" s="5">
        <v>3352</v>
      </c>
      <c r="V2594" s="49">
        <v>0</v>
      </c>
      <c r="W2594" s="50"/>
    </row>
    <row r="2595" spans="3:23" x14ac:dyDescent="0.2">
      <c r="C2595" s="2" t="s">
        <v>2501</v>
      </c>
      <c r="E2595" s="2" t="s">
        <v>2499</v>
      </c>
      <c r="I2595" s="2" t="s">
        <v>106</v>
      </c>
      <c r="L2595" s="2" t="s">
        <v>2500</v>
      </c>
      <c r="P2595" s="2" t="s">
        <v>2502</v>
      </c>
      <c r="T2595" s="5">
        <v>109350</v>
      </c>
      <c r="V2595" s="49">
        <v>0</v>
      </c>
      <c r="W2595" s="50"/>
    </row>
    <row r="2596" spans="3:23" x14ac:dyDescent="0.2">
      <c r="C2596" s="2" t="s">
        <v>118</v>
      </c>
      <c r="E2596" s="2" t="s">
        <v>2489</v>
      </c>
      <c r="I2596" s="2" t="s">
        <v>106</v>
      </c>
      <c r="L2596" s="2" t="s">
        <v>2139</v>
      </c>
      <c r="P2596" s="2" t="s">
        <v>2485</v>
      </c>
      <c r="T2596" s="5">
        <v>1287</v>
      </c>
      <c r="V2596" s="49">
        <v>0</v>
      </c>
      <c r="W2596" s="50"/>
    </row>
    <row r="2597" spans="3:23" x14ac:dyDescent="0.2">
      <c r="C2597" s="2" t="s">
        <v>1045</v>
      </c>
      <c r="E2597" s="2" t="s">
        <v>2503</v>
      </c>
      <c r="I2597" s="2" t="s">
        <v>106</v>
      </c>
      <c r="L2597" s="2" t="s">
        <v>2504</v>
      </c>
      <c r="P2597" s="2" t="s">
        <v>2505</v>
      </c>
      <c r="T2597" s="5">
        <v>3750</v>
      </c>
      <c r="V2597" s="49">
        <v>0</v>
      </c>
      <c r="W2597" s="50"/>
    </row>
    <row r="2598" spans="3:23" x14ac:dyDescent="0.2">
      <c r="C2598" s="2" t="s">
        <v>967</v>
      </c>
      <c r="E2598" s="2" t="s">
        <v>2506</v>
      </c>
      <c r="I2598" s="2" t="s">
        <v>106</v>
      </c>
      <c r="L2598" s="2" t="s">
        <v>2500</v>
      </c>
      <c r="P2598" s="2" t="s">
        <v>2502</v>
      </c>
      <c r="T2598" s="5">
        <v>15330</v>
      </c>
      <c r="V2598" s="49">
        <v>0</v>
      </c>
      <c r="W2598" s="50"/>
    </row>
    <row r="2599" spans="3:23" x14ac:dyDescent="0.2">
      <c r="C2599" s="2" t="s">
        <v>967</v>
      </c>
      <c r="E2599" s="2" t="s">
        <v>2507</v>
      </c>
      <c r="I2599" s="2" t="s">
        <v>106</v>
      </c>
      <c r="L2599" s="2" t="s">
        <v>2139</v>
      </c>
      <c r="P2599" s="2" t="s">
        <v>2485</v>
      </c>
      <c r="T2599" s="5">
        <v>23644</v>
      </c>
      <c r="V2599" s="49">
        <v>0</v>
      </c>
      <c r="W2599" s="50"/>
    </row>
    <row r="2600" spans="3:23" x14ac:dyDescent="0.2">
      <c r="C2600" s="2" t="s">
        <v>1167</v>
      </c>
      <c r="E2600" s="2" t="s">
        <v>2508</v>
      </c>
      <c r="I2600" s="2" t="s">
        <v>106</v>
      </c>
      <c r="L2600" s="2" t="s">
        <v>2139</v>
      </c>
      <c r="P2600" s="2" t="s">
        <v>2485</v>
      </c>
      <c r="T2600" s="5">
        <v>240</v>
      </c>
      <c r="V2600" s="49">
        <v>0</v>
      </c>
      <c r="W2600" s="50"/>
    </row>
    <row r="2601" spans="3:23" x14ac:dyDescent="0.2">
      <c r="C2601" s="2" t="s">
        <v>1883</v>
      </c>
      <c r="E2601" s="2" t="s">
        <v>2509</v>
      </c>
      <c r="I2601" s="2" t="s">
        <v>106</v>
      </c>
      <c r="L2601" s="2" t="s">
        <v>2500</v>
      </c>
      <c r="P2601" s="2" t="s">
        <v>2510</v>
      </c>
      <c r="T2601" s="5">
        <v>7713.75</v>
      </c>
      <c r="V2601" s="49">
        <v>0</v>
      </c>
      <c r="W2601" s="50"/>
    </row>
    <row r="2602" spans="3:23" x14ac:dyDescent="0.2">
      <c r="C2602" s="2" t="s">
        <v>1883</v>
      </c>
      <c r="E2602" s="2" t="s">
        <v>2511</v>
      </c>
      <c r="I2602" s="2" t="s">
        <v>106</v>
      </c>
      <c r="L2602" s="2" t="s">
        <v>2500</v>
      </c>
      <c r="P2602" s="2" t="s">
        <v>2512</v>
      </c>
      <c r="T2602" s="5">
        <v>15342.8</v>
      </c>
      <c r="V2602" s="49">
        <v>0</v>
      </c>
      <c r="W2602" s="50"/>
    </row>
    <row r="2603" spans="3:23" x14ac:dyDescent="0.2">
      <c r="C2603" s="2" t="s">
        <v>2514</v>
      </c>
      <c r="E2603" s="2" t="s">
        <v>2513</v>
      </c>
      <c r="I2603" s="2" t="s">
        <v>106</v>
      </c>
      <c r="L2603" s="2" t="s">
        <v>2500</v>
      </c>
      <c r="P2603" s="2" t="s">
        <v>2510</v>
      </c>
      <c r="T2603" s="5">
        <v>10103.5</v>
      </c>
      <c r="V2603" s="49">
        <v>0</v>
      </c>
      <c r="W2603" s="50"/>
    </row>
    <row r="2604" spans="3:23" x14ac:dyDescent="0.2">
      <c r="C2604" s="2" t="s">
        <v>253</v>
      </c>
      <c r="E2604" s="2" t="s">
        <v>2515</v>
      </c>
      <c r="I2604" s="2" t="s">
        <v>106</v>
      </c>
      <c r="L2604" s="2" t="s">
        <v>2516</v>
      </c>
      <c r="P2604" s="2" t="s">
        <v>2485</v>
      </c>
      <c r="T2604" s="5">
        <v>7865</v>
      </c>
      <c r="V2604" s="49">
        <v>0</v>
      </c>
      <c r="W2604" s="50"/>
    </row>
    <row r="2605" spans="3:23" x14ac:dyDescent="0.2">
      <c r="C2605" s="2" t="s">
        <v>253</v>
      </c>
      <c r="E2605" s="2" t="s">
        <v>2517</v>
      </c>
      <c r="I2605" s="2" t="s">
        <v>106</v>
      </c>
      <c r="L2605" s="2" t="s">
        <v>2500</v>
      </c>
      <c r="P2605" s="2" t="s">
        <v>2518</v>
      </c>
      <c r="T2605" s="5">
        <v>6562.8</v>
      </c>
      <c r="V2605" s="49">
        <v>0</v>
      </c>
      <c r="W2605" s="50"/>
    </row>
    <row r="2606" spans="3:23" x14ac:dyDescent="0.2">
      <c r="C2606" s="2" t="s">
        <v>253</v>
      </c>
      <c r="E2606" s="2" t="s">
        <v>2519</v>
      </c>
      <c r="I2606" s="2" t="s">
        <v>106</v>
      </c>
      <c r="L2606" s="2" t="s">
        <v>2500</v>
      </c>
      <c r="P2606" s="2" t="s">
        <v>2518</v>
      </c>
      <c r="T2606" s="5">
        <v>10938</v>
      </c>
      <c r="V2606" s="49">
        <v>0</v>
      </c>
      <c r="W2606" s="50"/>
    </row>
    <row r="2607" spans="3:23" x14ac:dyDescent="0.2">
      <c r="C2607" s="2" t="s">
        <v>220</v>
      </c>
      <c r="E2607" s="2" t="s">
        <v>2520</v>
      </c>
      <c r="I2607" s="2" t="s">
        <v>106</v>
      </c>
      <c r="L2607" s="2" t="s">
        <v>2521</v>
      </c>
      <c r="P2607" s="2" t="s">
        <v>2485</v>
      </c>
      <c r="T2607" s="5">
        <v>5566</v>
      </c>
      <c r="V2607" s="49">
        <v>0</v>
      </c>
      <c r="W2607" s="50"/>
    </row>
    <row r="2608" spans="3:23" x14ac:dyDescent="0.2">
      <c r="C2608" s="2" t="s">
        <v>709</v>
      </c>
      <c r="E2608" s="2" t="s">
        <v>2522</v>
      </c>
      <c r="I2608" s="2" t="s">
        <v>106</v>
      </c>
      <c r="L2608" s="2" t="s">
        <v>2500</v>
      </c>
      <c r="P2608" s="2" t="s">
        <v>2523</v>
      </c>
      <c r="T2608" s="5">
        <v>6114.6</v>
      </c>
      <c r="V2608" s="49">
        <v>0</v>
      </c>
      <c r="W2608" s="50"/>
    </row>
    <row r="2609" spans="2:23" x14ac:dyDescent="0.2">
      <c r="C2609" s="2" t="s">
        <v>709</v>
      </c>
      <c r="E2609" s="2" t="s">
        <v>2524</v>
      </c>
      <c r="I2609" s="2" t="s">
        <v>106</v>
      </c>
      <c r="L2609" s="2" t="s">
        <v>2500</v>
      </c>
      <c r="P2609" s="2" t="s">
        <v>2523</v>
      </c>
      <c r="T2609" s="5">
        <v>16090.2</v>
      </c>
      <c r="V2609" s="49">
        <v>0</v>
      </c>
      <c r="W2609" s="50"/>
    </row>
    <row r="2610" spans="2:23" x14ac:dyDescent="0.2">
      <c r="C2610" s="2" t="s">
        <v>352</v>
      </c>
      <c r="E2610" s="2" t="s">
        <v>2525</v>
      </c>
      <c r="I2610" s="2" t="s">
        <v>106</v>
      </c>
      <c r="L2610" s="2" t="s">
        <v>2500</v>
      </c>
      <c r="P2610" s="2" t="s">
        <v>2518</v>
      </c>
      <c r="T2610" s="5">
        <v>3535.2</v>
      </c>
      <c r="V2610" s="49">
        <v>0</v>
      </c>
      <c r="W2610" s="50"/>
    </row>
    <row r="2611" spans="2:23" x14ac:dyDescent="0.2">
      <c r="C2611" s="2" t="s">
        <v>274</v>
      </c>
      <c r="E2611" s="2" t="s">
        <v>2526</v>
      </c>
      <c r="I2611" s="2" t="s">
        <v>106</v>
      </c>
      <c r="L2611" s="2" t="s">
        <v>2139</v>
      </c>
      <c r="P2611" s="2" t="s">
        <v>2485</v>
      </c>
      <c r="T2611" s="5">
        <v>16112</v>
      </c>
      <c r="V2611" s="49">
        <v>0</v>
      </c>
      <c r="W2611" s="50"/>
    </row>
    <row r="2612" spans="2:23" x14ac:dyDescent="0.2">
      <c r="C2612" s="2" t="s">
        <v>1752</v>
      </c>
      <c r="E2612" s="2" t="s">
        <v>2527</v>
      </c>
      <c r="I2612" s="2" t="s">
        <v>106</v>
      </c>
      <c r="L2612" s="2" t="s">
        <v>2528</v>
      </c>
      <c r="P2612" s="2" t="s">
        <v>2529</v>
      </c>
      <c r="T2612" s="5">
        <v>26862</v>
      </c>
      <c r="V2612" s="49">
        <v>0</v>
      </c>
      <c r="W2612" s="50"/>
    </row>
    <row r="2613" spans="2:23" x14ac:dyDescent="0.2">
      <c r="C2613" s="2" t="s">
        <v>1250</v>
      </c>
      <c r="E2613" s="2" t="s">
        <v>2530</v>
      </c>
      <c r="I2613" s="2" t="s">
        <v>106</v>
      </c>
      <c r="L2613" s="2" t="s">
        <v>2504</v>
      </c>
      <c r="P2613" s="2" t="s">
        <v>2505</v>
      </c>
      <c r="T2613" s="5">
        <v>9375</v>
      </c>
      <c r="V2613" s="49">
        <v>0</v>
      </c>
      <c r="W2613" s="50"/>
    </row>
    <row r="2614" spans="2:23" x14ac:dyDescent="0.2">
      <c r="C2614" s="2" t="s">
        <v>1250</v>
      </c>
      <c r="E2614" s="2" t="s">
        <v>2531</v>
      </c>
      <c r="I2614" s="2" t="s">
        <v>106</v>
      </c>
      <c r="L2614" s="2" t="s">
        <v>2532</v>
      </c>
      <c r="P2614" s="2" t="s">
        <v>2049</v>
      </c>
      <c r="T2614" s="5">
        <v>11900</v>
      </c>
      <c r="V2614" s="49">
        <v>0</v>
      </c>
      <c r="W2614" s="50"/>
    </row>
    <row r="2615" spans="2:23" x14ac:dyDescent="0.2">
      <c r="C2615" s="2" t="s">
        <v>2038</v>
      </c>
      <c r="E2615" s="2" t="s">
        <v>2533</v>
      </c>
      <c r="I2615" s="2" t="s">
        <v>106</v>
      </c>
      <c r="L2615" s="2" t="s">
        <v>2500</v>
      </c>
      <c r="P2615" s="2" t="s">
        <v>2518</v>
      </c>
      <c r="T2615" s="5">
        <v>12579</v>
      </c>
      <c r="V2615" s="49">
        <v>0</v>
      </c>
      <c r="W2615" s="50"/>
    </row>
    <row r="2616" spans="2:23" x14ac:dyDescent="0.2">
      <c r="C2616" s="2" t="s">
        <v>2038</v>
      </c>
      <c r="E2616" s="2" t="s">
        <v>2534</v>
      </c>
      <c r="I2616" s="2" t="s">
        <v>209</v>
      </c>
      <c r="P2616" s="2" t="s">
        <v>2535</v>
      </c>
      <c r="T2616" s="5">
        <v>1794</v>
      </c>
      <c r="V2616" s="49">
        <v>0</v>
      </c>
      <c r="W2616" s="50"/>
    </row>
    <row r="2617" spans="2:23" x14ac:dyDescent="0.2">
      <c r="C2617" s="2" t="s">
        <v>293</v>
      </c>
      <c r="E2617" s="2" t="s">
        <v>2536</v>
      </c>
      <c r="I2617" s="2" t="s">
        <v>106</v>
      </c>
      <c r="L2617" s="2" t="s">
        <v>2500</v>
      </c>
      <c r="P2617" s="2" t="s">
        <v>2518</v>
      </c>
      <c r="T2617" s="5">
        <v>9100.7999999999993</v>
      </c>
      <c r="V2617" s="49">
        <v>0</v>
      </c>
      <c r="W2617" s="50"/>
    </row>
    <row r="2618" spans="2:23" x14ac:dyDescent="0.2">
      <c r="C2618" s="2" t="s">
        <v>2087</v>
      </c>
      <c r="E2618" s="2" t="s">
        <v>2537</v>
      </c>
      <c r="I2618" s="2" t="s">
        <v>106</v>
      </c>
      <c r="L2618" s="2" t="s">
        <v>2139</v>
      </c>
      <c r="P2618" s="2" t="s">
        <v>2538</v>
      </c>
      <c r="T2618" s="5">
        <v>2740</v>
      </c>
      <c r="V2618" s="49">
        <v>0</v>
      </c>
      <c r="W2618" s="50"/>
    </row>
    <row r="2619" spans="2:23" x14ac:dyDescent="0.2">
      <c r="C2619" s="2" t="s">
        <v>478</v>
      </c>
      <c r="E2619" s="2" t="s">
        <v>2539</v>
      </c>
      <c r="I2619" s="2" t="s">
        <v>106</v>
      </c>
      <c r="L2619" s="2" t="s">
        <v>2532</v>
      </c>
      <c r="P2619" s="2" t="s">
        <v>2049</v>
      </c>
      <c r="T2619" s="5">
        <v>2849</v>
      </c>
      <c r="V2619" s="49">
        <v>0</v>
      </c>
      <c r="W2619" s="50"/>
    </row>
    <row r="2620" spans="2:23" x14ac:dyDescent="0.2">
      <c r="B2620" s="22" t="s">
        <v>2493</v>
      </c>
      <c r="E2620" s="22" t="s">
        <v>2494</v>
      </c>
      <c r="S2620" s="51">
        <v>354353.64999999997</v>
      </c>
      <c r="T2620" s="50"/>
      <c r="U2620" s="51">
        <v>0</v>
      </c>
      <c r="V2620" s="50"/>
      <c r="W2620" s="50"/>
    </row>
    <row r="2622" spans="2:23" x14ac:dyDescent="0.2">
      <c r="B2622" s="22" t="s">
        <v>1758</v>
      </c>
      <c r="E2622" s="22" t="s">
        <v>1759</v>
      </c>
    </row>
    <row r="2623" spans="2:23" x14ac:dyDescent="0.2">
      <c r="C2623" s="2" t="s">
        <v>413</v>
      </c>
      <c r="E2623" s="2" t="s">
        <v>2481</v>
      </c>
      <c r="I2623" s="2" t="s">
        <v>106</v>
      </c>
      <c r="L2623" s="2" t="s">
        <v>2139</v>
      </c>
      <c r="P2623" s="2" t="s">
        <v>2480</v>
      </c>
      <c r="T2623" s="5">
        <v>1260</v>
      </c>
      <c r="V2623" s="49">
        <v>0</v>
      </c>
      <c r="W2623" s="50"/>
    </row>
    <row r="2624" spans="2:23" x14ac:dyDescent="0.2">
      <c r="C2624" s="2" t="s">
        <v>1037</v>
      </c>
      <c r="E2624" s="2" t="s">
        <v>2482</v>
      </c>
      <c r="I2624" s="2" t="s">
        <v>106</v>
      </c>
      <c r="L2624" s="2" t="s">
        <v>2139</v>
      </c>
      <c r="P2624" s="2" t="s">
        <v>2483</v>
      </c>
      <c r="T2624" s="5">
        <v>629</v>
      </c>
      <c r="V2624" s="49">
        <v>0</v>
      </c>
      <c r="W2624" s="50"/>
    </row>
    <row r="2625" spans="2:23" x14ac:dyDescent="0.2">
      <c r="C2625" s="2" t="s">
        <v>527</v>
      </c>
      <c r="E2625" s="2" t="s">
        <v>2484</v>
      </c>
      <c r="I2625" s="2" t="s">
        <v>106</v>
      </c>
      <c r="L2625" s="2" t="s">
        <v>2139</v>
      </c>
      <c r="P2625" s="2" t="s">
        <v>2485</v>
      </c>
      <c r="T2625" s="5">
        <v>525</v>
      </c>
      <c r="V2625" s="49">
        <v>0</v>
      </c>
      <c r="W2625" s="50"/>
    </row>
    <row r="2626" spans="2:23" x14ac:dyDescent="0.2">
      <c r="C2626" s="2" t="s">
        <v>611</v>
      </c>
      <c r="E2626" s="2" t="s">
        <v>2486</v>
      </c>
      <c r="I2626" s="2" t="s">
        <v>106</v>
      </c>
      <c r="L2626" s="2" t="s">
        <v>2139</v>
      </c>
      <c r="P2626" s="2" t="s">
        <v>2485</v>
      </c>
      <c r="T2626" s="5">
        <v>1098</v>
      </c>
      <c r="V2626" s="49">
        <v>0</v>
      </c>
      <c r="W2626" s="50"/>
    </row>
    <row r="2627" spans="2:23" x14ac:dyDescent="0.2">
      <c r="C2627" s="2" t="s">
        <v>2488</v>
      </c>
      <c r="E2627" s="2" t="s">
        <v>2487</v>
      </c>
      <c r="I2627" s="2" t="s">
        <v>106</v>
      </c>
      <c r="L2627" s="2" t="s">
        <v>2139</v>
      </c>
      <c r="P2627" s="2" t="s">
        <v>2485</v>
      </c>
      <c r="T2627" s="5">
        <v>700</v>
      </c>
      <c r="V2627" s="49">
        <v>0</v>
      </c>
      <c r="W2627" s="50"/>
    </row>
    <row r="2628" spans="2:23" x14ac:dyDescent="0.2">
      <c r="C2628" s="2" t="s">
        <v>2491</v>
      </c>
      <c r="E2628" s="2" t="s">
        <v>2490</v>
      </c>
      <c r="I2628" s="2" t="s">
        <v>106</v>
      </c>
      <c r="L2628" s="2" t="s">
        <v>2139</v>
      </c>
      <c r="P2628" s="2" t="s">
        <v>2485</v>
      </c>
      <c r="T2628" s="5">
        <v>600</v>
      </c>
      <c r="V2628" s="49">
        <v>0</v>
      </c>
      <c r="W2628" s="50"/>
    </row>
    <row r="2629" spans="2:23" x14ac:dyDescent="0.2">
      <c r="C2629" s="2" t="s">
        <v>1484</v>
      </c>
      <c r="E2629" s="2" t="s">
        <v>2492</v>
      </c>
      <c r="I2629" s="2" t="s">
        <v>106</v>
      </c>
      <c r="L2629" s="2" t="s">
        <v>2139</v>
      </c>
      <c r="P2629" s="2" t="s">
        <v>2485</v>
      </c>
      <c r="T2629" s="5">
        <v>320</v>
      </c>
      <c r="V2629" s="49">
        <v>0</v>
      </c>
      <c r="W2629" s="50"/>
    </row>
    <row r="2630" spans="2:23" x14ac:dyDescent="0.2">
      <c r="B2630" s="22" t="s">
        <v>1758</v>
      </c>
      <c r="E2630" s="22" t="s">
        <v>1759</v>
      </c>
      <c r="S2630" s="51">
        <v>5132</v>
      </c>
      <c r="T2630" s="50"/>
      <c r="U2630" s="51">
        <v>0</v>
      </c>
      <c r="V2630" s="50"/>
      <c r="W2630" s="50"/>
    </row>
    <row r="2632" spans="2:23" x14ac:dyDescent="0.2">
      <c r="B2632" s="22" t="s">
        <v>2540</v>
      </c>
      <c r="E2632" s="22" t="s">
        <v>2541</v>
      </c>
    </row>
    <row r="2633" spans="2:23" x14ac:dyDescent="0.2">
      <c r="C2633" s="2" t="s">
        <v>2501</v>
      </c>
      <c r="E2633" s="2" t="s">
        <v>2542</v>
      </c>
      <c r="I2633" s="2" t="s">
        <v>106</v>
      </c>
      <c r="L2633" s="2" t="s">
        <v>2543</v>
      </c>
      <c r="P2633" s="2" t="s">
        <v>2544</v>
      </c>
      <c r="T2633" s="5">
        <v>17470</v>
      </c>
      <c r="V2633" s="49">
        <v>0</v>
      </c>
      <c r="W2633" s="50"/>
    </row>
    <row r="2634" spans="2:23" x14ac:dyDescent="0.2">
      <c r="C2634" s="2" t="s">
        <v>682</v>
      </c>
      <c r="E2634" s="2" t="s">
        <v>2545</v>
      </c>
      <c r="I2634" s="2" t="s">
        <v>106</v>
      </c>
      <c r="L2634" s="2" t="s">
        <v>2546</v>
      </c>
      <c r="P2634" s="2" t="s">
        <v>2547</v>
      </c>
      <c r="T2634" s="5">
        <v>1629.87</v>
      </c>
      <c r="V2634" s="49">
        <v>0</v>
      </c>
      <c r="W2634" s="50"/>
    </row>
    <row r="2635" spans="2:23" x14ac:dyDescent="0.2">
      <c r="C2635" s="2" t="s">
        <v>2462</v>
      </c>
      <c r="E2635" s="2" t="s">
        <v>2548</v>
      </c>
      <c r="I2635" s="2" t="s">
        <v>106</v>
      </c>
      <c r="L2635" s="2" t="s">
        <v>2543</v>
      </c>
      <c r="P2635" s="2" t="s">
        <v>2544</v>
      </c>
      <c r="T2635" s="5">
        <v>5140</v>
      </c>
      <c r="V2635" s="49">
        <v>0</v>
      </c>
      <c r="W2635" s="50"/>
    </row>
    <row r="2636" spans="2:23" x14ac:dyDescent="0.2">
      <c r="C2636" s="2" t="s">
        <v>1894</v>
      </c>
      <c r="E2636" s="2" t="s">
        <v>2549</v>
      </c>
      <c r="I2636" s="2" t="s">
        <v>106</v>
      </c>
      <c r="L2636" s="2" t="s">
        <v>2543</v>
      </c>
      <c r="P2636" s="2" t="s">
        <v>2544</v>
      </c>
      <c r="T2636" s="5">
        <v>520</v>
      </c>
      <c r="V2636" s="49">
        <v>0</v>
      </c>
      <c r="W2636" s="50"/>
    </row>
    <row r="2637" spans="2:23" x14ac:dyDescent="0.2">
      <c r="C2637" s="2" t="s">
        <v>531</v>
      </c>
      <c r="E2637" s="2" t="s">
        <v>2550</v>
      </c>
      <c r="I2637" s="2" t="s">
        <v>106</v>
      </c>
      <c r="L2637" s="2" t="s">
        <v>2546</v>
      </c>
      <c r="P2637" s="2" t="s">
        <v>2551</v>
      </c>
      <c r="T2637" s="5">
        <v>223.85000000000002</v>
      </c>
      <c r="V2637" s="49">
        <v>0</v>
      </c>
      <c r="W2637" s="50"/>
    </row>
    <row r="2638" spans="2:23" x14ac:dyDescent="0.2">
      <c r="B2638" s="22" t="s">
        <v>2540</v>
      </c>
      <c r="E2638" s="22" t="s">
        <v>2541</v>
      </c>
      <c r="S2638" s="51">
        <v>24983.72</v>
      </c>
      <c r="T2638" s="50"/>
      <c r="U2638" s="51">
        <v>0</v>
      </c>
      <c r="V2638" s="50"/>
      <c r="W2638" s="50"/>
    </row>
    <row r="2640" spans="2:23" x14ac:dyDescent="0.2">
      <c r="B2640" s="22" t="s">
        <v>2554</v>
      </c>
      <c r="E2640" s="22" t="s">
        <v>2555</v>
      </c>
    </row>
    <row r="2641" spans="2:23" x14ac:dyDescent="0.2">
      <c r="C2641" s="2" t="s">
        <v>25</v>
      </c>
      <c r="E2641" s="2" t="s">
        <v>2556</v>
      </c>
      <c r="I2641" s="2" t="s">
        <v>106</v>
      </c>
      <c r="L2641" s="2" t="s">
        <v>575</v>
      </c>
      <c r="P2641" s="2" t="s">
        <v>2557</v>
      </c>
      <c r="T2641" s="5">
        <v>3200</v>
      </c>
      <c r="V2641" s="49">
        <v>0</v>
      </c>
      <c r="W2641" s="50"/>
    </row>
    <row r="2642" spans="2:23" x14ac:dyDescent="0.2">
      <c r="C2642" s="2" t="s">
        <v>28</v>
      </c>
      <c r="E2642" s="2" t="s">
        <v>2558</v>
      </c>
      <c r="I2642" s="2" t="s">
        <v>106</v>
      </c>
      <c r="L2642" s="2" t="s">
        <v>575</v>
      </c>
      <c r="P2642" s="2" t="s">
        <v>2559</v>
      </c>
      <c r="T2642" s="5">
        <v>2000</v>
      </c>
      <c r="V2642" s="49">
        <v>0</v>
      </c>
      <c r="W2642" s="50"/>
    </row>
    <row r="2643" spans="2:23" x14ac:dyDescent="0.2">
      <c r="C2643" s="2" t="s">
        <v>31</v>
      </c>
      <c r="E2643" s="2" t="s">
        <v>2560</v>
      </c>
      <c r="I2643" s="2" t="s">
        <v>106</v>
      </c>
      <c r="L2643" s="2" t="s">
        <v>575</v>
      </c>
      <c r="P2643" s="2" t="s">
        <v>2561</v>
      </c>
      <c r="T2643" s="5">
        <v>3200</v>
      </c>
      <c r="V2643" s="49">
        <v>0</v>
      </c>
      <c r="W2643" s="50"/>
    </row>
    <row r="2644" spans="2:23" x14ac:dyDescent="0.2">
      <c r="C2644" s="2" t="s">
        <v>34</v>
      </c>
      <c r="E2644" s="2" t="s">
        <v>2562</v>
      </c>
      <c r="I2644" s="2" t="s">
        <v>106</v>
      </c>
      <c r="L2644" s="2" t="s">
        <v>575</v>
      </c>
      <c r="P2644" s="2" t="s">
        <v>2563</v>
      </c>
      <c r="T2644" s="5">
        <v>2000</v>
      </c>
      <c r="V2644" s="49">
        <v>0</v>
      </c>
      <c r="W2644" s="50"/>
    </row>
    <row r="2645" spans="2:23" x14ac:dyDescent="0.2">
      <c r="C2645" s="2" t="s">
        <v>37</v>
      </c>
      <c r="E2645" s="2" t="s">
        <v>2565</v>
      </c>
      <c r="I2645" s="2" t="s">
        <v>106</v>
      </c>
      <c r="L2645" s="2" t="s">
        <v>575</v>
      </c>
      <c r="P2645" s="2" t="s">
        <v>2566</v>
      </c>
      <c r="T2645" s="5">
        <v>3200</v>
      </c>
      <c r="V2645" s="49">
        <v>0</v>
      </c>
      <c r="W2645" s="50"/>
    </row>
    <row r="2646" spans="2:23" x14ac:dyDescent="0.2">
      <c r="C2646" s="2" t="s">
        <v>264</v>
      </c>
      <c r="E2646" s="2" t="s">
        <v>2552</v>
      </c>
      <c r="I2646" s="2" t="s">
        <v>106</v>
      </c>
      <c r="L2646" s="2" t="s">
        <v>2553</v>
      </c>
      <c r="P2646" s="2" t="s">
        <v>2743</v>
      </c>
      <c r="T2646" s="5">
        <v>5738</v>
      </c>
      <c r="V2646" s="49">
        <v>0</v>
      </c>
      <c r="W2646" s="50"/>
    </row>
    <row r="2647" spans="2:23" x14ac:dyDescent="0.2">
      <c r="B2647" s="22" t="s">
        <v>2554</v>
      </c>
      <c r="E2647" s="22" t="s">
        <v>2555</v>
      </c>
      <c r="S2647" s="51">
        <v>19338</v>
      </c>
      <c r="T2647" s="50"/>
      <c r="U2647" s="51">
        <v>0</v>
      </c>
      <c r="V2647" s="50"/>
      <c r="W2647" s="50"/>
    </row>
    <row r="2648" spans="2:23" x14ac:dyDescent="0.2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8"/>
      <c r="M2648" s="8"/>
      <c r="N2648" s="8"/>
      <c r="O2648" s="8"/>
      <c r="P2648" s="8"/>
      <c r="Q2648" s="8"/>
      <c r="R2648" s="8"/>
      <c r="S2648" s="8"/>
      <c r="T2648" s="8"/>
      <c r="U2648" s="8"/>
      <c r="V2648" s="8"/>
      <c r="W2648" s="8"/>
    </row>
    <row r="2649" spans="2:23" x14ac:dyDescent="0.2">
      <c r="B2649" s="9"/>
      <c r="C2649" s="9"/>
      <c r="D2649" s="9"/>
      <c r="E2649" s="9"/>
      <c r="F2649" s="9"/>
      <c r="G2649" s="9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52">
        <v>403807.37</v>
      </c>
      <c r="T2649" s="53"/>
      <c r="U2649" s="52">
        <v>0</v>
      </c>
      <c r="V2649" s="53"/>
      <c r="W2649" s="53"/>
    </row>
    <row r="2650" spans="2:23" x14ac:dyDescent="0.2">
      <c r="B2650" s="8"/>
      <c r="C2650" s="8"/>
      <c r="D2650" s="20" t="s">
        <v>81</v>
      </c>
      <c r="E2650" s="8"/>
      <c r="F2650" s="8"/>
      <c r="G2650" s="8"/>
      <c r="H2650" s="8"/>
      <c r="I2650" s="8"/>
      <c r="J2650" s="8"/>
      <c r="K2650" s="8"/>
      <c r="L2650" s="8"/>
      <c r="M2650" s="8"/>
      <c r="N2650" s="8"/>
      <c r="O2650" s="8"/>
      <c r="P2650" s="8"/>
      <c r="Q2650" s="8"/>
      <c r="R2650" s="11">
        <v>403807.37</v>
      </c>
      <c r="S2650" s="8"/>
      <c r="T2650" s="8"/>
      <c r="U2650" s="8"/>
      <c r="V2650" s="8"/>
      <c r="W2650" s="8"/>
    </row>
    <row r="2651" spans="2:23" x14ac:dyDescent="0.2">
      <c r="B2651" s="9"/>
      <c r="C2651" s="9"/>
      <c r="D2651" s="9"/>
      <c r="E2651" s="9"/>
      <c r="F2651" s="9"/>
      <c r="G2651" s="9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9"/>
      <c r="U2651" s="9"/>
      <c r="V2651" s="9"/>
      <c r="W2651" s="9"/>
    </row>
    <row r="2652" spans="2:23" ht="18" x14ac:dyDescent="0.2">
      <c r="B2652" s="1" t="s">
        <v>1</v>
      </c>
      <c r="S2652" s="55" t="s">
        <v>2452</v>
      </c>
      <c r="T2652" s="50"/>
      <c r="U2652" s="50"/>
      <c r="V2652" s="50"/>
      <c r="W2652" s="50"/>
    </row>
    <row r="2653" spans="2:23" ht="12.75" thickBot="1" x14ac:dyDescent="0.25">
      <c r="B2653" s="10" t="s">
        <v>3</v>
      </c>
      <c r="C2653" s="6"/>
      <c r="D2653" s="6"/>
      <c r="E2653" s="6"/>
      <c r="F2653" s="6"/>
      <c r="G2653" s="6"/>
      <c r="H2653" s="6"/>
      <c r="I2653" s="6"/>
      <c r="J2653" s="6"/>
      <c r="K2653" s="6" t="s">
        <v>5</v>
      </c>
      <c r="L2653" s="6"/>
      <c r="M2653" s="6"/>
      <c r="N2653" s="6"/>
      <c r="O2653" s="6"/>
      <c r="P2653" s="6" t="s">
        <v>4</v>
      </c>
      <c r="Q2653" s="6" t="s">
        <v>2730</v>
      </c>
      <c r="R2653" s="6"/>
      <c r="S2653" s="56" t="s">
        <v>6</v>
      </c>
      <c r="T2653" s="57"/>
      <c r="U2653" s="57"/>
      <c r="V2653" s="57"/>
      <c r="W2653" s="57"/>
    </row>
    <row r="2654" spans="2:23" ht="12.75" thickTop="1" x14ac:dyDescent="0.2"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</row>
    <row r="2656" spans="2:23" ht="15" x14ac:dyDescent="0.2">
      <c r="B2656" s="4" t="s">
        <v>82</v>
      </c>
    </row>
    <row r="2658" spans="2:23" x14ac:dyDescent="0.2">
      <c r="B2658" s="22" t="s">
        <v>2567</v>
      </c>
      <c r="E2658" s="22" t="s">
        <v>2568</v>
      </c>
    </row>
    <row r="2659" spans="2:23" x14ac:dyDescent="0.2">
      <c r="C2659" s="2" t="s">
        <v>651</v>
      </c>
      <c r="E2659" s="2" t="s">
        <v>2569</v>
      </c>
      <c r="I2659" s="2" t="s">
        <v>64</v>
      </c>
      <c r="P2659" s="2" t="s">
        <v>95</v>
      </c>
      <c r="T2659" s="5">
        <v>0</v>
      </c>
      <c r="V2659" s="49">
        <v>33000</v>
      </c>
      <c r="W2659" s="50"/>
    </row>
    <row r="2660" spans="2:23" x14ac:dyDescent="0.2">
      <c r="C2660" s="2" t="s">
        <v>875</v>
      </c>
      <c r="E2660" s="2" t="s">
        <v>2570</v>
      </c>
      <c r="I2660" s="2" t="s">
        <v>64</v>
      </c>
      <c r="P2660" s="2" t="s">
        <v>2571</v>
      </c>
      <c r="T2660" s="5">
        <v>0</v>
      </c>
      <c r="V2660" s="49">
        <v>9922</v>
      </c>
      <c r="W2660" s="50"/>
    </row>
    <row r="2661" spans="2:23" x14ac:dyDescent="0.2">
      <c r="C2661" s="2" t="s">
        <v>37</v>
      </c>
      <c r="E2661" s="2" t="s">
        <v>2572</v>
      </c>
      <c r="I2661" s="2" t="s">
        <v>64</v>
      </c>
      <c r="P2661" s="2" t="s">
        <v>95</v>
      </c>
      <c r="T2661" s="5">
        <v>0</v>
      </c>
      <c r="V2661" s="49">
        <v>20470</v>
      </c>
      <c r="W2661" s="50"/>
    </row>
    <row r="2662" spans="2:23" x14ac:dyDescent="0.2">
      <c r="C2662" s="2" t="s">
        <v>2038</v>
      </c>
      <c r="E2662" s="2" t="s">
        <v>2573</v>
      </c>
      <c r="I2662" s="2" t="s">
        <v>64</v>
      </c>
      <c r="P2662" s="2" t="s">
        <v>95</v>
      </c>
      <c r="T2662" s="5">
        <v>0</v>
      </c>
      <c r="V2662" s="49">
        <v>152110</v>
      </c>
      <c r="W2662" s="50"/>
    </row>
    <row r="2663" spans="2:23" x14ac:dyDescent="0.2">
      <c r="C2663" s="2" t="s">
        <v>203</v>
      </c>
      <c r="E2663" s="2" t="s">
        <v>2574</v>
      </c>
      <c r="I2663" s="2" t="s">
        <v>64</v>
      </c>
      <c r="P2663" s="2" t="s">
        <v>2575</v>
      </c>
      <c r="T2663" s="5">
        <v>0</v>
      </c>
      <c r="V2663" s="49">
        <v>400</v>
      </c>
      <c r="W2663" s="50"/>
    </row>
    <row r="2664" spans="2:23" x14ac:dyDescent="0.2">
      <c r="C2664" s="2" t="s">
        <v>467</v>
      </c>
      <c r="E2664" s="2" t="s">
        <v>2576</v>
      </c>
      <c r="I2664" s="2" t="s">
        <v>64</v>
      </c>
      <c r="P2664" s="2" t="s">
        <v>95</v>
      </c>
      <c r="T2664" s="5">
        <v>0</v>
      </c>
      <c r="V2664" s="49">
        <v>60000</v>
      </c>
      <c r="W2664" s="50"/>
    </row>
    <row r="2665" spans="2:23" x14ac:dyDescent="0.2">
      <c r="C2665" s="2" t="s">
        <v>2437</v>
      </c>
      <c r="E2665" s="2" t="s">
        <v>2577</v>
      </c>
      <c r="I2665" s="2" t="s">
        <v>64</v>
      </c>
      <c r="P2665" s="2" t="s">
        <v>95</v>
      </c>
      <c r="T2665" s="5">
        <v>0</v>
      </c>
      <c r="V2665" s="49">
        <v>29900</v>
      </c>
      <c r="W2665" s="50"/>
    </row>
    <row r="2666" spans="2:23" x14ac:dyDescent="0.2">
      <c r="B2666" s="22" t="s">
        <v>2567</v>
      </c>
      <c r="E2666" s="22" t="s">
        <v>2568</v>
      </c>
      <c r="S2666" s="51">
        <v>0</v>
      </c>
      <c r="T2666" s="50"/>
      <c r="U2666" s="51">
        <v>305802</v>
      </c>
      <c r="V2666" s="50"/>
      <c r="W2666" s="50"/>
    </row>
    <row r="2667" spans="2:23" x14ac:dyDescent="0.2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8"/>
      <c r="M2667" s="8"/>
      <c r="N2667" s="8"/>
      <c r="O2667" s="8"/>
      <c r="P2667" s="8"/>
      <c r="Q2667" s="8"/>
      <c r="R2667" s="8"/>
      <c r="S2667" s="8"/>
      <c r="T2667" s="8"/>
      <c r="U2667" s="8"/>
      <c r="V2667" s="8"/>
      <c r="W2667" s="8"/>
    </row>
    <row r="2668" spans="2:23" x14ac:dyDescent="0.2">
      <c r="B2668" s="9"/>
      <c r="C2668" s="9"/>
      <c r="D2668" s="9"/>
      <c r="E2668" s="9"/>
      <c r="F2668" s="9"/>
      <c r="G2668" s="9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52">
        <v>0</v>
      </c>
      <c r="T2668" s="53"/>
      <c r="U2668" s="52">
        <v>305802</v>
      </c>
      <c r="V2668" s="53"/>
      <c r="W2668" s="53"/>
    </row>
    <row r="2669" spans="2:23" x14ac:dyDescent="0.2">
      <c r="B2669" s="8"/>
      <c r="C2669" s="8"/>
      <c r="D2669" s="20" t="s">
        <v>96</v>
      </c>
      <c r="E2669" s="8"/>
      <c r="F2669" s="8"/>
      <c r="G2669" s="8"/>
      <c r="H2669" s="8"/>
      <c r="I2669" s="8"/>
      <c r="J2669" s="8"/>
      <c r="K2669" s="8"/>
      <c r="L2669" s="8"/>
      <c r="M2669" s="8"/>
      <c r="N2669" s="8"/>
      <c r="O2669" s="8"/>
      <c r="P2669" s="8"/>
      <c r="Q2669" s="8"/>
      <c r="R2669" s="11">
        <v>305802</v>
      </c>
      <c r="S2669" s="8"/>
      <c r="T2669" s="8"/>
      <c r="U2669" s="8"/>
      <c r="V2669" s="8"/>
      <c r="W2669" s="8"/>
    </row>
    <row r="2670" spans="2:23" x14ac:dyDescent="0.2">
      <c r="B2670" s="9"/>
      <c r="C2670" s="9"/>
      <c r="D2670" s="9"/>
      <c r="E2670" s="9"/>
      <c r="F2670" s="9"/>
      <c r="G2670" s="9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9"/>
      <c r="U2670" s="9"/>
      <c r="V2670" s="9"/>
      <c r="W2670" s="9"/>
    </row>
    <row r="2671" spans="2:23" x14ac:dyDescent="0.2">
      <c r="B2671" s="22" t="s">
        <v>7</v>
      </c>
      <c r="D2671" s="22" t="s">
        <v>2478</v>
      </c>
      <c r="O2671" s="20" t="s">
        <v>97</v>
      </c>
      <c r="P2671" s="8"/>
      <c r="Q2671" s="8"/>
      <c r="R2671" s="11">
        <v>-98005.37000000001</v>
      </c>
    </row>
    <row r="2672" spans="2:23" x14ac:dyDescent="0.2">
      <c r="O2672" s="9"/>
      <c r="P2672" s="9"/>
      <c r="Q2672" s="9"/>
      <c r="R2672" s="9"/>
    </row>
    <row r="2673" spans="2:23" x14ac:dyDescent="0.2">
      <c r="B2673" s="2" t="s">
        <v>98</v>
      </c>
    </row>
    <row r="2675" spans="2:23" ht="24" customHeight="1" x14ac:dyDescent="0.2">
      <c r="B2675" s="54" t="s">
        <v>0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  <c r="R2675" s="50"/>
      <c r="S2675" s="50"/>
      <c r="T2675" s="50"/>
      <c r="U2675" s="50"/>
      <c r="V2675" s="50"/>
      <c r="W2675" s="50"/>
    </row>
    <row r="2676" spans="2:23" ht="18" x14ac:dyDescent="0.2">
      <c r="B2676" s="1" t="s">
        <v>1</v>
      </c>
      <c r="S2676" s="55" t="s">
        <v>2477</v>
      </c>
      <c r="T2676" s="50"/>
      <c r="U2676" s="50"/>
      <c r="V2676" s="50"/>
      <c r="W2676" s="50"/>
    </row>
    <row r="2677" spans="2:23" ht="12.75" thickBot="1" x14ac:dyDescent="0.25">
      <c r="B2677" s="10" t="s">
        <v>3</v>
      </c>
      <c r="C2677" s="6"/>
      <c r="D2677" s="6"/>
      <c r="E2677" s="6"/>
      <c r="F2677" s="6"/>
      <c r="G2677" s="6"/>
      <c r="H2677" s="6"/>
      <c r="I2677" s="6"/>
      <c r="J2677" s="6"/>
      <c r="K2677" s="6" t="s">
        <v>5</v>
      </c>
      <c r="L2677" s="6"/>
      <c r="M2677" s="6"/>
      <c r="N2677" s="6"/>
      <c r="O2677" s="6"/>
      <c r="P2677" s="6" t="s">
        <v>4</v>
      </c>
      <c r="Q2677" s="6" t="s">
        <v>2730</v>
      </c>
      <c r="R2677" s="6"/>
      <c r="S2677" s="56" t="s">
        <v>6</v>
      </c>
      <c r="T2677" s="57"/>
      <c r="U2677" s="57"/>
      <c r="V2677" s="57"/>
      <c r="W2677" s="57"/>
    </row>
    <row r="2678" spans="2:23" ht="12.75" thickTop="1" x14ac:dyDescent="0.2"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</row>
    <row r="2679" spans="2:23" ht="15.75" x14ac:dyDescent="0.2">
      <c r="B2679" s="3" t="s">
        <v>7</v>
      </c>
      <c r="F2679" s="3" t="s">
        <v>2580</v>
      </c>
    </row>
    <row r="2681" spans="2:23" x14ac:dyDescent="0.2">
      <c r="B2681" s="8"/>
      <c r="C2681" s="20" t="s">
        <v>8</v>
      </c>
      <c r="D2681" s="8"/>
      <c r="E2681" s="20" t="s">
        <v>9</v>
      </c>
      <c r="F2681" s="8"/>
      <c r="G2681" s="8"/>
      <c r="H2681" s="8"/>
      <c r="I2681" s="20" t="s">
        <v>13</v>
      </c>
      <c r="J2681" s="8"/>
      <c r="K2681" s="8"/>
      <c r="L2681" s="20" t="s">
        <v>12</v>
      </c>
      <c r="M2681" s="8"/>
      <c r="N2681" s="8"/>
      <c r="O2681" s="8"/>
      <c r="P2681" s="20" t="s">
        <v>14</v>
      </c>
      <c r="Q2681" s="8"/>
      <c r="R2681" s="8"/>
      <c r="S2681" s="8"/>
      <c r="T2681" s="21" t="s">
        <v>11</v>
      </c>
      <c r="U2681" s="8"/>
      <c r="V2681" s="58" t="s">
        <v>10</v>
      </c>
      <c r="W2681" s="59"/>
    </row>
    <row r="2682" spans="2:23" x14ac:dyDescent="0.2">
      <c r="B2682" s="9"/>
      <c r="C2682" s="9"/>
      <c r="D2682" s="9"/>
      <c r="E2682" s="9"/>
      <c r="F2682" s="9"/>
      <c r="G2682" s="9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9"/>
      <c r="U2682" s="9"/>
      <c r="V2682" s="9"/>
      <c r="W2682" s="9"/>
    </row>
    <row r="2683" spans="2:23" ht="15" x14ac:dyDescent="0.2">
      <c r="B2683" s="4" t="s">
        <v>15</v>
      </c>
    </row>
    <row r="2685" spans="2:23" x14ac:dyDescent="0.2">
      <c r="B2685" s="22" t="s">
        <v>2493</v>
      </c>
      <c r="E2685" s="22" t="s">
        <v>2494</v>
      </c>
    </row>
    <row r="2686" spans="2:23" x14ac:dyDescent="0.2">
      <c r="C2686" s="2" t="s">
        <v>630</v>
      </c>
      <c r="E2686" s="2" t="s">
        <v>2623</v>
      </c>
      <c r="I2686" s="2" t="s">
        <v>106</v>
      </c>
      <c r="L2686" s="2" t="s">
        <v>2139</v>
      </c>
      <c r="P2686" s="2" t="s">
        <v>2485</v>
      </c>
      <c r="T2686" s="5">
        <v>6025</v>
      </c>
      <c r="V2686" s="49">
        <v>0</v>
      </c>
      <c r="W2686" s="50"/>
    </row>
    <row r="2687" spans="2:23" x14ac:dyDescent="0.2">
      <c r="C2687" s="2" t="s">
        <v>1528</v>
      </c>
      <c r="E2687" s="2" t="s">
        <v>2584</v>
      </c>
      <c r="I2687" s="2" t="s">
        <v>106</v>
      </c>
      <c r="L2687" s="2" t="s">
        <v>2139</v>
      </c>
      <c r="P2687" s="2" t="s">
        <v>2485</v>
      </c>
      <c r="T2687" s="5">
        <v>1502</v>
      </c>
      <c r="V2687" s="49">
        <v>0</v>
      </c>
      <c r="W2687" s="50"/>
    </row>
    <row r="2688" spans="2:23" x14ac:dyDescent="0.2">
      <c r="C2688" s="2" t="s">
        <v>2158</v>
      </c>
      <c r="E2688" s="2" t="s">
        <v>2624</v>
      </c>
      <c r="I2688" s="2" t="s">
        <v>106</v>
      </c>
      <c r="L2688" s="2" t="s">
        <v>2139</v>
      </c>
      <c r="P2688" s="2" t="s">
        <v>2485</v>
      </c>
      <c r="T2688" s="5">
        <v>1199</v>
      </c>
      <c r="V2688" s="49">
        <v>0</v>
      </c>
      <c r="W2688" s="50"/>
    </row>
    <row r="2689" spans="3:23" x14ac:dyDescent="0.2">
      <c r="C2689" s="2" t="s">
        <v>40</v>
      </c>
      <c r="E2689" s="2" t="s">
        <v>2625</v>
      </c>
      <c r="I2689" s="2" t="s">
        <v>106</v>
      </c>
      <c r="L2689" s="2" t="s">
        <v>2139</v>
      </c>
      <c r="P2689" s="2" t="s">
        <v>2626</v>
      </c>
      <c r="T2689" s="5">
        <v>39699</v>
      </c>
      <c r="V2689" s="49">
        <v>0</v>
      </c>
      <c r="W2689" s="50"/>
    </row>
    <row r="2690" spans="3:23" x14ac:dyDescent="0.2">
      <c r="C2690" s="2" t="s">
        <v>2278</v>
      </c>
      <c r="E2690" s="2" t="s">
        <v>2627</v>
      </c>
      <c r="I2690" s="2" t="s">
        <v>106</v>
      </c>
      <c r="L2690" s="2" t="s">
        <v>2500</v>
      </c>
      <c r="P2690" s="2" t="s">
        <v>2628</v>
      </c>
      <c r="T2690" s="5">
        <v>6112.8</v>
      </c>
      <c r="V2690" s="49">
        <v>0</v>
      </c>
      <c r="W2690" s="50"/>
    </row>
    <row r="2691" spans="3:23" x14ac:dyDescent="0.2">
      <c r="C2691" s="2" t="s">
        <v>2278</v>
      </c>
      <c r="E2691" s="2" t="s">
        <v>2629</v>
      </c>
      <c r="I2691" s="2" t="s">
        <v>106</v>
      </c>
      <c r="L2691" s="2" t="s">
        <v>2139</v>
      </c>
      <c r="P2691" s="2" t="s">
        <v>2485</v>
      </c>
      <c r="T2691" s="5">
        <v>18270</v>
      </c>
      <c r="V2691" s="49">
        <v>0</v>
      </c>
      <c r="W2691" s="50"/>
    </row>
    <row r="2692" spans="3:23" x14ac:dyDescent="0.2">
      <c r="C2692" s="2" t="s">
        <v>1789</v>
      </c>
      <c r="E2692" s="2" t="s">
        <v>2630</v>
      </c>
      <c r="I2692" s="2" t="s">
        <v>106</v>
      </c>
      <c r="L2692" s="2" t="s">
        <v>2139</v>
      </c>
      <c r="P2692" s="2" t="s">
        <v>2485</v>
      </c>
      <c r="T2692" s="5">
        <v>23667</v>
      </c>
      <c r="V2692" s="49">
        <v>0</v>
      </c>
      <c r="W2692" s="50"/>
    </row>
    <row r="2693" spans="3:23" x14ac:dyDescent="0.2">
      <c r="C2693" s="2" t="s">
        <v>2283</v>
      </c>
      <c r="E2693" s="2" t="s">
        <v>2601</v>
      </c>
      <c r="I2693" s="2" t="s">
        <v>106</v>
      </c>
      <c r="L2693" s="2" t="s">
        <v>2602</v>
      </c>
      <c r="P2693" s="2" t="s">
        <v>2603</v>
      </c>
      <c r="T2693" s="5">
        <v>2300</v>
      </c>
      <c r="V2693" s="49">
        <v>0</v>
      </c>
      <c r="W2693" s="50"/>
    </row>
    <row r="2694" spans="3:23" x14ac:dyDescent="0.2">
      <c r="C2694" s="2" t="s">
        <v>2291</v>
      </c>
      <c r="E2694" s="2" t="s">
        <v>2631</v>
      </c>
      <c r="I2694" s="2" t="s">
        <v>106</v>
      </c>
      <c r="L2694" s="2" t="s">
        <v>2139</v>
      </c>
      <c r="P2694" s="2" t="s">
        <v>2485</v>
      </c>
      <c r="T2694" s="5">
        <v>5562</v>
      </c>
      <c r="V2694" s="49">
        <v>0</v>
      </c>
      <c r="W2694" s="50"/>
    </row>
    <row r="2695" spans="3:23" x14ac:dyDescent="0.2">
      <c r="C2695" s="2" t="s">
        <v>2291</v>
      </c>
      <c r="E2695" s="2" t="s">
        <v>2632</v>
      </c>
      <c r="I2695" s="2" t="s">
        <v>106</v>
      </c>
      <c r="L2695" s="2" t="s">
        <v>2139</v>
      </c>
      <c r="P2695" s="2" t="s">
        <v>2485</v>
      </c>
      <c r="T2695" s="5">
        <v>8057</v>
      </c>
      <c r="V2695" s="49">
        <v>0</v>
      </c>
      <c r="W2695" s="50"/>
    </row>
    <row r="2696" spans="3:23" x14ac:dyDescent="0.2">
      <c r="C2696" s="2" t="s">
        <v>2295</v>
      </c>
      <c r="E2696" s="2" t="s">
        <v>2633</v>
      </c>
      <c r="I2696" s="2" t="s">
        <v>106</v>
      </c>
      <c r="L2696" s="2" t="s">
        <v>2139</v>
      </c>
      <c r="P2696" s="2" t="s">
        <v>2485</v>
      </c>
      <c r="T2696" s="5">
        <v>4068</v>
      </c>
      <c r="V2696" s="49">
        <v>0</v>
      </c>
      <c r="W2696" s="50"/>
    </row>
    <row r="2697" spans="3:23" x14ac:dyDescent="0.2">
      <c r="C2697" s="2" t="s">
        <v>2221</v>
      </c>
      <c r="E2697" s="2" t="s">
        <v>2634</v>
      </c>
      <c r="I2697" s="2" t="s">
        <v>106</v>
      </c>
      <c r="L2697" s="2" t="s">
        <v>2516</v>
      </c>
      <c r="P2697" s="2" t="s">
        <v>2485</v>
      </c>
      <c r="T2697" s="5">
        <v>7260</v>
      </c>
      <c r="V2697" s="49">
        <v>0</v>
      </c>
      <c r="W2697" s="50"/>
    </row>
    <row r="2698" spans="3:23" x14ac:dyDescent="0.2">
      <c r="C2698" s="2" t="s">
        <v>2221</v>
      </c>
      <c r="E2698" s="2" t="s">
        <v>2604</v>
      </c>
      <c r="I2698" s="2" t="s">
        <v>106</v>
      </c>
      <c r="L2698" s="2" t="s">
        <v>2139</v>
      </c>
      <c r="P2698" s="2" t="s">
        <v>2485</v>
      </c>
      <c r="T2698" s="5">
        <v>2334</v>
      </c>
      <c r="V2698" s="49">
        <v>0</v>
      </c>
      <c r="W2698" s="50"/>
    </row>
    <row r="2699" spans="3:23" x14ac:dyDescent="0.2">
      <c r="C2699" s="2" t="s">
        <v>220</v>
      </c>
      <c r="E2699" s="2" t="s">
        <v>2635</v>
      </c>
      <c r="I2699" s="2" t="s">
        <v>106</v>
      </c>
      <c r="L2699" s="2" t="s">
        <v>2139</v>
      </c>
      <c r="P2699" s="2" t="s">
        <v>2485</v>
      </c>
      <c r="T2699" s="5">
        <v>4530</v>
      </c>
      <c r="V2699" s="49">
        <v>0</v>
      </c>
      <c r="W2699" s="50"/>
    </row>
    <row r="2700" spans="3:23" x14ac:dyDescent="0.2">
      <c r="C2700" s="2" t="s">
        <v>433</v>
      </c>
      <c r="E2700" s="2" t="s">
        <v>2607</v>
      </c>
      <c r="I2700" s="2" t="s">
        <v>106</v>
      </c>
      <c r="L2700" s="2" t="s">
        <v>2602</v>
      </c>
      <c r="P2700" s="2" t="s">
        <v>2485</v>
      </c>
      <c r="T2700" s="5">
        <v>4985</v>
      </c>
      <c r="V2700" s="49">
        <v>0</v>
      </c>
      <c r="W2700" s="50"/>
    </row>
    <row r="2701" spans="3:23" x14ac:dyDescent="0.2">
      <c r="C2701" s="2" t="s">
        <v>705</v>
      </c>
      <c r="E2701" s="2" t="s">
        <v>2610</v>
      </c>
      <c r="I2701" s="2" t="s">
        <v>106</v>
      </c>
      <c r="L2701" s="2" t="s">
        <v>2139</v>
      </c>
      <c r="P2701" s="2" t="s">
        <v>2485</v>
      </c>
      <c r="T2701" s="5">
        <v>3028</v>
      </c>
      <c r="V2701" s="49">
        <v>0</v>
      </c>
      <c r="W2701" s="50"/>
    </row>
    <row r="2702" spans="3:23" x14ac:dyDescent="0.2">
      <c r="C2702" s="2" t="s">
        <v>736</v>
      </c>
      <c r="E2702" s="2" t="s">
        <v>2636</v>
      </c>
      <c r="I2702" s="2" t="s">
        <v>106</v>
      </c>
      <c r="L2702" s="2" t="s">
        <v>2139</v>
      </c>
      <c r="P2702" s="2" t="s">
        <v>2485</v>
      </c>
      <c r="T2702" s="5">
        <v>12645</v>
      </c>
      <c r="V2702" s="49">
        <v>0</v>
      </c>
      <c r="W2702" s="50"/>
    </row>
    <row r="2703" spans="3:23" x14ac:dyDescent="0.2">
      <c r="C2703" s="2" t="s">
        <v>948</v>
      </c>
      <c r="E2703" s="2" t="s">
        <v>2611</v>
      </c>
      <c r="I2703" s="2" t="s">
        <v>106</v>
      </c>
      <c r="L2703" s="2" t="s">
        <v>2612</v>
      </c>
      <c r="P2703" s="2" t="s">
        <v>2485</v>
      </c>
      <c r="T2703" s="5">
        <v>2932.3100000000004</v>
      </c>
      <c r="V2703" s="49">
        <v>0</v>
      </c>
      <c r="W2703" s="50"/>
    </row>
    <row r="2704" spans="3:23" x14ac:dyDescent="0.2">
      <c r="C2704" s="2" t="s">
        <v>1192</v>
      </c>
      <c r="E2704" s="2" t="s">
        <v>2637</v>
      </c>
      <c r="I2704" s="2" t="s">
        <v>106</v>
      </c>
      <c r="L2704" s="2" t="s">
        <v>2139</v>
      </c>
      <c r="P2704" s="2" t="s">
        <v>2485</v>
      </c>
      <c r="T2704" s="5">
        <v>14370</v>
      </c>
      <c r="V2704" s="49">
        <v>0</v>
      </c>
      <c r="W2704" s="50"/>
    </row>
    <row r="2705" spans="2:23" x14ac:dyDescent="0.2">
      <c r="C2705" s="2" t="s">
        <v>565</v>
      </c>
      <c r="E2705" s="2" t="s">
        <v>2613</v>
      </c>
      <c r="I2705" s="2" t="s">
        <v>106</v>
      </c>
      <c r="L2705" s="2" t="s">
        <v>2139</v>
      </c>
      <c r="P2705" s="2" t="s">
        <v>2485</v>
      </c>
      <c r="T2705" s="5">
        <v>1800</v>
      </c>
      <c r="V2705" s="49">
        <v>0</v>
      </c>
      <c r="W2705" s="50"/>
    </row>
    <row r="2706" spans="2:23" x14ac:dyDescent="0.2">
      <c r="C2706" s="2" t="s">
        <v>274</v>
      </c>
      <c r="E2706" s="2" t="s">
        <v>2614</v>
      </c>
      <c r="I2706" s="2" t="s">
        <v>106</v>
      </c>
      <c r="L2706" s="2" t="s">
        <v>2139</v>
      </c>
      <c r="P2706" s="2" t="s">
        <v>2485</v>
      </c>
      <c r="T2706" s="5">
        <v>1670</v>
      </c>
      <c r="V2706" s="49">
        <v>0</v>
      </c>
      <c r="W2706" s="50"/>
    </row>
    <row r="2707" spans="2:23" x14ac:dyDescent="0.2">
      <c r="C2707" s="2" t="s">
        <v>2622</v>
      </c>
      <c r="E2707" s="2" t="s">
        <v>2621</v>
      </c>
      <c r="I2707" s="2" t="s">
        <v>106</v>
      </c>
      <c r="L2707" s="2" t="s">
        <v>2602</v>
      </c>
      <c r="P2707" s="2" t="s">
        <v>2485</v>
      </c>
      <c r="T2707" s="5">
        <v>4339</v>
      </c>
      <c r="V2707" s="49">
        <v>0</v>
      </c>
      <c r="W2707" s="50"/>
    </row>
    <row r="2708" spans="2:23" x14ac:dyDescent="0.2">
      <c r="B2708" s="22" t="s">
        <v>2493</v>
      </c>
      <c r="E2708" s="22" t="s">
        <v>2494</v>
      </c>
      <c r="S2708" s="51">
        <v>176355.11000000002</v>
      </c>
      <c r="T2708" s="50"/>
      <c r="U2708" s="51">
        <v>0</v>
      </c>
      <c r="V2708" s="50"/>
      <c r="W2708" s="50"/>
    </row>
    <row r="2710" spans="2:23" x14ac:dyDescent="0.2">
      <c r="B2710" s="22" t="s">
        <v>1758</v>
      </c>
      <c r="E2710" s="22" t="s">
        <v>1759</v>
      </c>
    </row>
    <row r="2711" spans="2:23" x14ac:dyDescent="0.2">
      <c r="C2711" s="2" t="s">
        <v>635</v>
      </c>
      <c r="E2711" s="2" t="s">
        <v>2581</v>
      </c>
      <c r="I2711" s="2" t="s">
        <v>106</v>
      </c>
      <c r="L2711" s="2" t="s">
        <v>2139</v>
      </c>
      <c r="P2711" s="2" t="s">
        <v>2582</v>
      </c>
      <c r="T2711" s="5">
        <v>-12330</v>
      </c>
      <c r="V2711" s="49">
        <v>0</v>
      </c>
      <c r="W2711" s="50"/>
    </row>
    <row r="2712" spans="2:23" x14ac:dyDescent="0.2">
      <c r="C2712" s="2" t="s">
        <v>379</v>
      </c>
      <c r="E2712" s="2" t="s">
        <v>2583</v>
      </c>
      <c r="I2712" s="2" t="s">
        <v>106</v>
      </c>
      <c r="L2712" s="2" t="s">
        <v>2139</v>
      </c>
      <c r="P2712" s="2" t="s">
        <v>2485</v>
      </c>
      <c r="T2712" s="5">
        <v>515</v>
      </c>
      <c r="V2712" s="49">
        <v>0</v>
      </c>
      <c r="W2712" s="50"/>
    </row>
    <row r="2713" spans="2:23" x14ac:dyDescent="0.2">
      <c r="C2713" s="2" t="s">
        <v>2639</v>
      </c>
      <c r="E2713" s="2" t="s">
        <v>2638</v>
      </c>
      <c r="I2713" s="2" t="s">
        <v>209</v>
      </c>
      <c r="P2713" s="2" t="s">
        <v>2640</v>
      </c>
      <c r="T2713" s="5">
        <v>2200</v>
      </c>
      <c r="V2713" s="49">
        <v>0</v>
      </c>
      <c r="W2713" s="50"/>
    </row>
    <row r="2714" spans="2:23" x14ac:dyDescent="0.2">
      <c r="C2714" s="2" t="s">
        <v>1528</v>
      </c>
      <c r="E2714" s="2" t="s">
        <v>2585</v>
      </c>
      <c r="I2714" s="2" t="s">
        <v>106</v>
      </c>
      <c r="L2714" s="2" t="s">
        <v>2586</v>
      </c>
      <c r="P2714" s="2" t="s">
        <v>2587</v>
      </c>
      <c r="T2714" s="5">
        <v>495</v>
      </c>
      <c r="V2714" s="49">
        <v>0</v>
      </c>
      <c r="W2714" s="50"/>
    </row>
    <row r="2715" spans="2:23" x14ac:dyDescent="0.2">
      <c r="C2715" s="2" t="s">
        <v>1042</v>
      </c>
      <c r="E2715" s="2" t="s">
        <v>2641</v>
      </c>
      <c r="I2715" s="2" t="s">
        <v>209</v>
      </c>
      <c r="P2715" s="2" t="s">
        <v>2642</v>
      </c>
      <c r="T2715" s="5">
        <v>159</v>
      </c>
      <c r="V2715" s="49">
        <v>0</v>
      </c>
      <c r="W2715" s="50"/>
    </row>
    <row r="2716" spans="2:23" x14ac:dyDescent="0.2">
      <c r="C2716" s="2" t="s">
        <v>2590</v>
      </c>
      <c r="E2716" s="2" t="s">
        <v>2588</v>
      </c>
      <c r="I2716" s="2" t="s">
        <v>106</v>
      </c>
      <c r="L2716" s="2" t="s">
        <v>2589</v>
      </c>
      <c r="P2716" s="2" t="s">
        <v>2591</v>
      </c>
      <c r="T2716" s="5">
        <v>326.7</v>
      </c>
      <c r="V2716" s="49">
        <v>0</v>
      </c>
      <c r="W2716" s="50"/>
    </row>
    <row r="2717" spans="2:23" x14ac:dyDescent="0.2">
      <c r="C2717" s="2" t="s">
        <v>2593</v>
      </c>
      <c r="E2717" s="2" t="s">
        <v>2592</v>
      </c>
      <c r="I2717" s="2" t="s">
        <v>106</v>
      </c>
      <c r="L2717" s="2" t="s">
        <v>1981</v>
      </c>
      <c r="P2717" s="2" t="s">
        <v>2594</v>
      </c>
      <c r="T2717" s="5">
        <v>750</v>
      </c>
      <c r="V2717" s="49">
        <v>0</v>
      </c>
      <c r="W2717" s="50"/>
    </row>
    <row r="2718" spans="2:23" x14ac:dyDescent="0.2">
      <c r="C2718" s="2" t="s">
        <v>2596</v>
      </c>
      <c r="E2718" s="2" t="s">
        <v>2595</v>
      </c>
      <c r="I2718" s="2" t="s">
        <v>106</v>
      </c>
      <c r="L2718" s="2" t="s">
        <v>2139</v>
      </c>
      <c r="P2718" s="2" t="s">
        <v>2485</v>
      </c>
      <c r="T2718" s="5">
        <v>850</v>
      </c>
      <c r="V2718" s="49">
        <v>0</v>
      </c>
      <c r="W2718" s="50"/>
    </row>
    <row r="2719" spans="2:23" x14ac:dyDescent="0.2">
      <c r="C2719" s="2" t="s">
        <v>1982</v>
      </c>
      <c r="E2719" s="2" t="s">
        <v>2645</v>
      </c>
      <c r="I2719" s="2" t="s">
        <v>106</v>
      </c>
      <c r="L2719" s="2" t="s">
        <v>2646</v>
      </c>
      <c r="P2719" s="2" t="s">
        <v>2647</v>
      </c>
      <c r="T2719" s="5">
        <v>3994</v>
      </c>
      <c r="V2719" s="49">
        <v>0</v>
      </c>
      <c r="W2719" s="50"/>
    </row>
    <row r="2720" spans="2:23" x14ac:dyDescent="0.2">
      <c r="C2720" s="2" t="s">
        <v>2599</v>
      </c>
      <c r="E2720" s="2" t="s">
        <v>2597</v>
      </c>
      <c r="I2720" s="2" t="s">
        <v>106</v>
      </c>
      <c r="L2720" s="2" t="s">
        <v>2598</v>
      </c>
      <c r="P2720" s="2" t="s">
        <v>2600</v>
      </c>
      <c r="T2720" s="5">
        <v>5299</v>
      </c>
      <c r="V2720" s="49">
        <v>0</v>
      </c>
      <c r="W2720" s="50"/>
    </row>
    <row r="2721" spans="2:23" x14ac:dyDescent="0.2">
      <c r="C2721" s="2" t="s">
        <v>544</v>
      </c>
      <c r="E2721" s="2" t="s">
        <v>2605</v>
      </c>
      <c r="I2721" s="2" t="s">
        <v>106</v>
      </c>
      <c r="L2721" s="2" t="s">
        <v>2139</v>
      </c>
      <c r="P2721" s="2" t="s">
        <v>2485</v>
      </c>
      <c r="T2721" s="5">
        <v>818</v>
      </c>
      <c r="V2721" s="49">
        <v>0</v>
      </c>
      <c r="W2721" s="50"/>
    </row>
    <row r="2722" spans="2:23" x14ac:dyDescent="0.2">
      <c r="C2722" s="2" t="s">
        <v>433</v>
      </c>
      <c r="E2722" s="2" t="s">
        <v>2606</v>
      </c>
      <c r="I2722" s="2" t="s">
        <v>106</v>
      </c>
      <c r="L2722" s="2" t="s">
        <v>2602</v>
      </c>
      <c r="P2722" s="2" t="s">
        <v>2485</v>
      </c>
      <c r="T2722" s="5">
        <v>530</v>
      </c>
      <c r="V2722" s="49">
        <v>0</v>
      </c>
      <c r="W2722" s="50"/>
    </row>
    <row r="2723" spans="2:23" x14ac:dyDescent="0.2">
      <c r="C2723" s="2" t="s">
        <v>261</v>
      </c>
      <c r="E2723" s="2" t="s">
        <v>2608</v>
      </c>
      <c r="I2723" s="2" t="s">
        <v>106</v>
      </c>
      <c r="L2723" s="2" t="s">
        <v>2139</v>
      </c>
      <c r="P2723" s="2" t="s">
        <v>2485</v>
      </c>
      <c r="T2723" s="5">
        <v>900</v>
      </c>
      <c r="V2723" s="49">
        <v>0</v>
      </c>
      <c r="W2723" s="50"/>
    </row>
    <row r="2724" spans="2:23" x14ac:dyDescent="0.2">
      <c r="C2724" s="2" t="s">
        <v>261</v>
      </c>
      <c r="E2724" s="2" t="s">
        <v>2609</v>
      </c>
      <c r="I2724" s="2" t="s">
        <v>106</v>
      </c>
      <c r="L2724" s="2" t="s">
        <v>2139</v>
      </c>
      <c r="P2724" s="2" t="s">
        <v>2485</v>
      </c>
      <c r="T2724" s="5">
        <v>520</v>
      </c>
      <c r="V2724" s="49">
        <v>0</v>
      </c>
      <c r="W2724" s="50"/>
    </row>
    <row r="2725" spans="2:23" x14ac:dyDescent="0.2">
      <c r="C2725" s="2" t="s">
        <v>2038</v>
      </c>
      <c r="E2725" s="2" t="s">
        <v>2615</v>
      </c>
      <c r="I2725" s="2" t="s">
        <v>209</v>
      </c>
      <c r="P2725" s="2" t="s">
        <v>2616</v>
      </c>
      <c r="T2725" s="5">
        <v>870</v>
      </c>
      <c r="V2725" s="49">
        <v>0</v>
      </c>
      <c r="W2725" s="50"/>
    </row>
    <row r="2726" spans="2:23" x14ac:dyDescent="0.2">
      <c r="C2726" s="2" t="s">
        <v>2038</v>
      </c>
      <c r="E2726" s="2" t="s">
        <v>2617</v>
      </c>
      <c r="I2726" s="2" t="s">
        <v>209</v>
      </c>
      <c r="P2726" s="2" t="s">
        <v>2594</v>
      </c>
      <c r="T2726" s="5">
        <v>1615</v>
      </c>
      <c r="V2726" s="49">
        <v>0</v>
      </c>
      <c r="W2726" s="50"/>
    </row>
    <row r="2727" spans="2:23" x14ac:dyDescent="0.2">
      <c r="C2727" s="2" t="s">
        <v>2619</v>
      </c>
      <c r="E2727" s="2" t="s">
        <v>2618</v>
      </c>
      <c r="I2727" s="2" t="s">
        <v>106</v>
      </c>
      <c r="L2727" s="2" t="s">
        <v>2589</v>
      </c>
      <c r="P2727" s="2" t="s">
        <v>2591</v>
      </c>
      <c r="T2727" s="5">
        <v>326.7</v>
      </c>
      <c r="V2727" s="49">
        <v>0</v>
      </c>
      <c r="W2727" s="50"/>
    </row>
    <row r="2728" spans="2:23" x14ac:dyDescent="0.2">
      <c r="C2728" s="2" t="s">
        <v>296</v>
      </c>
      <c r="E2728" s="2" t="s">
        <v>2643</v>
      </c>
      <c r="I2728" s="2" t="s">
        <v>209</v>
      </c>
      <c r="P2728" s="2" t="s">
        <v>2644</v>
      </c>
      <c r="T2728" s="5">
        <v>323</v>
      </c>
      <c r="V2728" s="49">
        <v>0</v>
      </c>
      <c r="W2728" s="50"/>
    </row>
    <row r="2729" spans="2:23" x14ac:dyDescent="0.2">
      <c r="C2729" s="2" t="s">
        <v>2087</v>
      </c>
      <c r="E2729" s="2" t="s">
        <v>2620</v>
      </c>
      <c r="I2729" s="2" t="s">
        <v>106</v>
      </c>
      <c r="L2729" s="2" t="s">
        <v>2139</v>
      </c>
      <c r="P2729" s="2" t="s">
        <v>2485</v>
      </c>
      <c r="T2729" s="5">
        <v>600</v>
      </c>
      <c r="V2729" s="49">
        <v>0</v>
      </c>
      <c r="W2729" s="50"/>
    </row>
    <row r="2730" spans="2:23" x14ac:dyDescent="0.2">
      <c r="B2730" s="22" t="s">
        <v>1758</v>
      </c>
      <c r="E2730" s="22" t="s">
        <v>1759</v>
      </c>
      <c r="S2730" s="51">
        <v>8761.4</v>
      </c>
      <c r="T2730" s="50"/>
      <c r="U2730" s="51">
        <v>0</v>
      </c>
      <c r="V2730" s="50"/>
      <c r="W2730" s="50"/>
    </row>
    <row r="2732" spans="2:23" x14ac:dyDescent="0.2">
      <c r="B2732" s="22" t="s">
        <v>2540</v>
      </c>
      <c r="E2732" s="22" t="s">
        <v>2541</v>
      </c>
    </row>
    <row r="2733" spans="2:23" x14ac:dyDescent="0.2">
      <c r="C2733" s="2" t="s">
        <v>46</v>
      </c>
      <c r="E2733" s="2" t="s">
        <v>2648</v>
      </c>
      <c r="I2733" s="2" t="s">
        <v>106</v>
      </c>
      <c r="L2733" s="2" t="s">
        <v>2649</v>
      </c>
      <c r="P2733" s="2" t="s">
        <v>2650</v>
      </c>
      <c r="T2733" s="5">
        <v>127682.83</v>
      </c>
      <c r="V2733" s="49">
        <v>0</v>
      </c>
      <c r="W2733" s="50"/>
    </row>
    <row r="2734" spans="2:23" x14ac:dyDescent="0.2">
      <c r="C2734" s="2" t="s">
        <v>1789</v>
      </c>
      <c r="E2734" s="2" t="s">
        <v>2651</v>
      </c>
      <c r="I2734" s="2" t="s">
        <v>106</v>
      </c>
      <c r="L2734" s="2" t="s">
        <v>2652</v>
      </c>
      <c r="P2734" s="2" t="s">
        <v>2551</v>
      </c>
      <c r="T2734" s="5">
        <v>2160</v>
      </c>
      <c r="V2734" s="49">
        <v>0</v>
      </c>
      <c r="W2734" s="50"/>
    </row>
    <row r="2735" spans="2:23" x14ac:dyDescent="0.2">
      <c r="C2735" s="2" t="s">
        <v>220</v>
      </c>
      <c r="E2735" s="2" t="s">
        <v>2653</v>
      </c>
      <c r="I2735" s="2" t="s">
        <v>106</v>
      </c>
      <c r="L2735" s="2" t="s">
        <v>2652</v>
      </c>
      <c r="P2735" s="2" t="s">
        <v>2551</v>
      </c>
      <c r="T2735" s="5">
        <v>3390</v>
      </c>
      <c r="V2735" s="49">
        <v>0</v>
      </c>
      <c r="W2735" s="50"/>
    </row>
    <row r="2736" spans="2:23" x14ac:dyDescent="0.2">
      <c r="C2736" s="2" t="s">
        <v>352</v>
      </c>
      <c r="E2736" s="2" t="s">
        <v>2654</v>
      </c>
      <c r="I2736" s="2" t="s">
        <v>106</v>
      </c>
      <c r="L2736" s="2" t="s">
        <v>2652</v>
      </c>
      <c r="P2736" s="2" t="s">
        <v>2551</v>
      </c>
      <c r="T2736" s="5">
        <v>4560</v>
      </c>
      <c r="V2736" s="49">
        <v>0</v>
      </c>
      <c r="W2736" s="50"/>
    </row>
    <row r="2737" spans="2:23" x14ac:dyDescent="0.2">
      <c r="C2737" s="2" t="s">
        <v>293</v>
      </c>
      <c r="E2737" s="2" t="s">
        <v>2655</v>
      </c>
      <c r="I2737" s="2" t="s">
        <v>106</v>
      </c>
      <c r="L2737" s="2" t="s">
        <v>2652</v>
      </c>
      <c r="P2737" s="2" t="s">
        <v>2551</v>
      </c>
      <c r="T2737" s="5">
        <v>2380</v>
      </c>
      <c r="V2737" s="49">
        <v>0</v>
      </c>
      <c r="W2737" s="50"/>
    </row>
    <row r="2738" spans="2:23" x14ac:dyDescent="0.2">
      <c r="C2738" s="2" t="s">
        <v>318</v>
      </c>
      <c r="E2738" s="2" t="s">
        <v>2656</v>
      </c>
      <c r="I2738" s="2" t="s">
        <v>106</v>
      </c>
      <c r="L2738" s="2" t="s">
        <v>2652</v>
      </c>
      <c r="P2738" s="2" t="s">
        <v>2551</v>
      </c>
      <c r="T2738" s="5">
        <v>1260</v>
      </c>
      <c r="V2738" s="49">
        <v>0</v>
      </c>
      <c r="W2738" s="50"/>
    </row>
    <row r="2739" spans="2:23" x14ac:dyDescent="0.2">
      <c r="C2739" s="2" t="s">
        <v>1278</v>
      </c>
      <c r="E2739" s="2" t="s">
        <v>2657</v>
      </c>
      <c r="I2739" s="2" t="s">
        <v>106</v>
      </c>
      <c r="L2739" s="2" t="s">
        <v>2652</v>
      </c>
      <c r="P2739" s="2" t="s">
        <v>2551</v>
      </c>
      <c r="T2739" s="5">
        <v>3350</v>
      </c>
      <c r="V2739" s="49">
        <v>0</v>
      </c>
      <c r="W2739" s="50"/>
    </row>
    <row r="2740" spans="2:23" x14ac:dyDescent="0.2">
      <c r="B2740" s="22" t="s">
        <v>2540</v>
      </c>
      <c r="E2740" s="22" t="s">
        <v>2541</v>
      </c>
      <c r="S2740" s="51">
        <v>144782.82999999999</v>
      </c>
      <c r="T2740" s="50"/>
      <c r="U2740" s="51">
        <v>0</v>
      </c>
      <c r="V2740" s="50"/>
      <c r="W2740" s="50"/>
    </row>
    <row r="2742" spans="2:23" x14ac:dyDescent="0.2">
      <c r="B2742" s="22" t="s">
        <v>1562</v>
      </c>
      <c r="E2742" s="22" t="s">
        <v>1563</v>
      </c>
    </row>
    <row r="2743" spans="2:23" x14ac:dyDescent="0.2">
      <c r="C2743" s="2" t="s">
        <v>28</v>
      </c>
      <c r="E2743" s="2" t="s">
        <v>2658</v>
      </c>
      <c r="I2743" s="2" t="s">
        <v>106</v>
      </c>
      <c r="L2743" s="2" t="s">
        <v>2139</v>
      </c>
      <c r="P2743" s="2" t="s">
        <v>2485</v>
      </c>
      <c r="T2743" s="5">
        <v>945</v>
      </c>
      <c r="V2743" s="49">
        <v>0</v>
      </c>
      <c r="W2743" s="50"/>
    </row>
    <row r="2744" spans="2:23" x14ac:dyDescent="0.2">
      <c r="C2744" s="2" t="s">
        <v>28</v>
      </c>
      <c r="E2744" s="2" t="s">
        <v>2659</v>
      </c>
      <c r="I2744" s="2" t="s">
        <v>106</v>
      </c>
      <c r="L2744" s="2" t="s">
        <v>2139</v>
      </c>
      <c r="P2744" s="2" t="s">
        <v>2485</v>
      </c>
      <c r="T2744" s="5">
        <v>923</v>
      </c>
      <c r="V2744" s="49">
        <v>0</v>
      </c>
      <c r="W2744" s="50"/>
    </row>
    <row r="2745" spans="2:23" x14ac:dyDescent="0.2">
      <c r="C2745" s="2" t="s">
        <v>28</v>
      </c>
      <c r="E2745" s="2" t="s">
        <v>2660</v>
      </c>
      <c r="I2745" s="2" t="s">
        <v>106</v>
      </c>
      <c r="L2745" s="2" t="s">
        <v>2139</v>
      </c>
      <c r="P2745" s="2" t="s">
        <v>2485</v>
      </c>
      <c r="T2745" s="5">
        <v>1769</v>
      </c>
      <c r="V2745" s="49">
        <v>0</v>
      </c>
      <c r="W2745" s="50"/>
    </row>
    <row r="2746" spans="2:23" x14ac:dyDescent="0.2">
      <c r="C2746" s="2" t="s">
        <v>28</v>
      </c>
      <c r="E2746" s="2" t="s">
        <v>2661</v>
      </c>
      <c r="I2746" s="2" t="s">
        <v>106</v>
      </c>
      <c r="L2746" s="2" t="s">
        <v>2139</v>
      </c>
      <c r="P2746" s="2" t="s">
        <v>2485</v>
      </c>
      <c r="T2746" s="5">
        <v>24249</v>
      </c>
      <c r="V2746" s="49">
        <v>0</v>
      </c>
      <c r="W2746" s="50"/>
    </row>
    <row r="2748" spans="2:23" ht="18" x14ac:dyDescent="0.2">
      <c r="B2748" s="1" t="s">
        <v>1</v>
      </c>
      <c r="S2748" s="55" t="s">
        <v>2564</v>
      </c>
      <c r="T2748" s="50"/>
      <c r="U2748" s="50"/>
      <c r="V2748" s="50"/>
      <c r="W2748" s="50"/>
    </row>
    <row r="2749" spans="2:23" ht="12.75" thickBot="1" x14ac:dyDescent="0.25">
      <c r="B2749" s="10" t="s">
        <v>3</v>
      </c>
      <c r="C2749" s="6"/>
      <c r="D2749" s="6"/>
      <c r="E2749" s="6"/>
      <c r="F2749" s="6"/>
      <c r="G2749" s="6"/>
      <c r="H2749" s="6"/>
      <c r="I2749" s="6"/>
      <c r="J2749" s="6"/>
      <c r="K2749" s="6" t="s">
        <v>5</v>
      </c>
      <c r="L2749" s="6"/>
      <c r="M2749" s="6"/>
      <c r="N2749" s="6"/>
      <c r="O2749" s="6"/>
      <c r="P2749" s="6" t="s">
        <v>4</v>
      </c>
      <c r="Q2749" s="6" t="s">
        <v>2730</v>
      </c>
      <c r="R2749" s="6"/>
      <c r="S2749" s="56" t="s">
        <v>6</v>
      </c>
      <c r="T2749" s="57"/>
      <c r="U2749" s="57"/>
      <c r="V2749" s="57"/>
      <c r="W2749" s="57"/>
    </row>
    <row r="2750" spans="2:23" ht="12.75" thickTop="1" x14ac:dyDescent="0.2"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</row>
    <row r="2751" spans="2:23" x14ac:dyDescent="0.2">
      <c r="C2751" s="2" t="s">
        <v>28</v>
      </c>
      <c r="E2751" s="2" t="s">
        <v>2662</v>
      </c>
      <c r="I2751" s="2" t="s">
        <v>106</v>
      </c>
      <c r="L2751" s="2" t="s">
        <v>2139</v>
      </c>
      <c r="P2751" s="2" t="s">
        <v>2485</v>
      </c>
      <c r="T2751" s="5">
        <v>3084</v>
      </c>
      <c r="V2751" s="49">
        <v>0</v>
      </c>
      <c r="W2751" s="50"/>
    </row>
    <row r="2752" spans="2:23" x14ac:dyDescent="0.2">
      <c r="C2752" s="2" t="s">
        <v>28</v>
      </c>
      <c r="E2752" s="2" t="s">
        <v>2663</v>
      </c>
      <c r="I2752" s="2" t="s">
        <v>106</v>
      </c>
      <c r="L2752" s="2" t="s">
        <v>2139</v>
      </c>
      <c r="P2752" s="2" t="s">
        <v>2485</v>
      </c>
      <c r="T2752" s="5">
        <v>2326</v>
      </c>
      <c r="V2752" s="49">
        <v>0</v>
      </c>
      <c r="W2752" s="50"/>
    </row>
    <row r="2753" spans="2:23" x14ac:dyDescent="0.2">
      <c r="C2753" s="2" t="s">
        <v>28</v>
      </c>
      <c r="E2753" s="2" t="s">
        <v>2664</v>
      </c>
      <c r="I2753" s="2" t="s">
        <v>106</v>
      </c>
      <c r="L2753" s="2" t="s">
        <v>2139</v>
      </c>
      <c r="P2753" s="2" t="s">
        <v>2485</v>
      </c>
      <c r="T2753" s="5">
        <v>5292</v>
      </c>
      <c r="V2753" s="49">
        <v>0</v>
      </c>
      <c r="W2753" s="50"/>
    </row>
    <row r="2754" spans="2:23" x14ac:dyDescent="0.2">
      <c r="C2754" s="2" t="s">
        <v>28</v>
      </c>
      <c r="E2754" s="2" t="s">
        <v>2665</v>
      </c>
      <c r="I2754" s="2" t="s">
        <v>106</v>
      </c>
      <c r="L2754" s="2" t="s">
        <v>2139</v>
      </c>
      <c r="P2754" s="2" t="s">
        <v>2485</v>
      </c>
      <c r="T2754" s="5">
        <v>14453</v>
      </c>
      <c r="V2754" s="49">
        <v>0</v>
      </c>
      <c r="W2754" s="50"/>
    </row>
    <row r="2755" spans="2:23" x14ac:dyDescent="0.2">
      <c r="C2755" s="2" t="s">
        <v>28</v>
      </c>
      <c r="E2755" s="2" t="s">
        <v>2666</v>
      </c>
      <c r="I2755" s="2" t="s">
        <v>106</v>
      </c>
      <c r="L2755" s="2" t="s">
        <v>2139</v>
      </c>
      <c r="P2755" s="2" t="s">
        <v>2485</v>
      </c>
      <c r="T2755" s="5">
        <v>4999</v>
      </c>
      <c r="V2755" s="49">
        <v>0</v>
      </c>
      <c r="W2755" s="50"/>
    </row>
    <row r="2756" spans="2:23" x14ac:dyDescent="0.2">
      <c r="C2756" s="2" t="s">
        <v>28</v>
      </c>
      <c r="E2756" s="2" t="s">
        <v>2667</v>
      </c>
      <c r="I2756" s="2" t="s">
        <v>106</v>
      </c>
      <c r="L2756" s="2" t="s">
        <v>2139</v>
      </c>
      <c r="P2756" s="2" t="s">
        <v>2485</v>
      </c>
      <c r="T2756" s="5">
        <v>389</v>
      </c>
      <c r="V2756" s="49">
        <v>0</v>
      </c>
      <c r="W2756" s="50"/>
    </row>
    <row r="2757" spans="2:23" x14ac:dyDescent="0.2">
      <c r="B2757" s="22" t="s">
        <v>1562</v>
      </c>
      <c r="E2757" s="22" t="s">
        <v>1563</v>
      </c>
      <c r="S2757" s="51">
        <v>58429</v>
      </c>
      <c r="T2757" s="50"/>
      <c r="U2757" s="51">
        <v>0</v>
      </c>
      <c r="V2757" s="50"/>
      <c r="W2757" s="50"/>
    </row>
    <row r="2759" spans="2:23" x14ac:dyDescent="0.2">
      <c r="B2759" s="22" t="s">
        <v>1376</v>
      </c>
      <c r="E2759" s="22" t="s">
        <v>1377</v>
      </c>
    </row>
    <row r="2760" spans="2:23" x14ac:dyDescent="0.2">
      <c r="C2760" s="2" t="s">
        <v>513</v>
      </c>
      <c r="E2760" s="2" t="s">
        <v>2668</v>
      </c>
      <c r="I2760" s="2" t="s">
        <v>106</v>
      </c>
      <c r="L2760" s="2" t="s">
        <v>86</v>
      </c>
      <c r="P2760" s="2" t="s">
        <v>2669</v>
      </c>
      <c r="T2760" s="5">
        <v>2070</v>
      </c>
      <c r="V2760" s="49">
        <v>0</v>
      </c>
      <c r="W2760" s="50"/>
    </row>
    <row r="2761" spans="2:23" x14ac:dyDescent="0.2">
      <c r="C2761" s="2" t="s">
        <v>1840</v>
      </c>
      <c r="E2761" s="2" t="s">
        <v>2670</v>
      </c>
      <c r="I2761" s="2" t="s">
        <v>106</v>
      </c>
      <c r="L2761" s="2" t="s">
        <v>86</v>
      </c>
      <c r="P2761" s="2" t="s">
        <v>2669</v>
      </c>
      <c r="T2761" s="5">
        <v>828</v>
      </c>
      <c r="V2761" s="49">
        <v>0</v>
      </c>
      <c r="W2761" s="50"/>
    </row>
    <row r="2762" spans="2:23" x14ac:dyDescent="0.2">
      <c r="C2762" s="2" t="s">
        <v>2672</v>
      </c>
      <c r="E2762" s="2" t="s">
        <v>2671</v>
      </c>
      <c r="I2762" s="2" t="s">
        <v>106</v>
      </c>
      <c r="L2762" s="2" t="s">
        <v>86</v>
      </c>
      <c r="P2762" s="2" t="s">
        <v>2669</v>
      </c>
      <c r="T2762" s="5">
        <v>1242</v>
      </c>
      <c r="V2762" s="49">
        <v>0</v>
      </c>
      <c r="W2762" s="50"/>
    </row>
    <row r="2763" spans="2:23" x14ac:dyDescent="0.2">
      <c r="C2763" s="2" t="s">
        <v>1719</v>
      </c>
      <c r="E2763" s="2" t="s">
        <v>2673</v>
      </c>
      <c r="I2763" s="2" t="s">
        <v>106</v>
      </c>
      <c r="L2763" s="2" t="s">
        <v>86</v>
      </c>
      <c r="P2763" s="2" t="s">
        <v>2669</v>
      </c>
      <c r="T2763" s="5">
        <v>828</v>
      </c>
      <c r="V2763" s="49">
        <v>0</v>
      </c>
      <c r="W2763" s="50"/>
    </row>
    <row r="2764" spans="2:23" x14ac:dyDescent="0.2">
      <c r="B2764" s="22" t="s">
        <v>1376</v>
      </c>
      <c r="E2764" s="22" t="s">
        <v>1377</v>
      </c>
      <c r="S2764" s="51">
        <v>4968</v>
      </c>
      <c r="T2764" s="50"/>
      <c r="U2764" s="51">
        <v>0</v>
      </c>
      <c r="V2764" s="50"/>
      <c r="W2764" s="50"/>
    </row>
    <row r="2766" spans="2:23" x14ac:dyDescent="0.2">
      <c r="B2766" s="22" t="s">
        <v>2554</v>
      </c>
      <c r="E2766" s="22" t="s">
        <v>2555</v>
      </c>
    </row>
    <row r="2767" spans="2:23" x14ac:dyDescent="0.2">
      <c r="C2767" s="2" t="s">
        <v>1048</v>
      </c>
      <c r="E2767" s="2" t="s">
        <v>2676</v>
      </c>
      <c r="I2767" s="2" t="s">
        <v>209</v>
      </c>
      <c r="P2767" s="2" t="s">
        <v>2677</v>
      </c>
      <c r="T2767" s="5">
        <v>4980</v>
      </c>
      <c r="V2767" s="49">
        <v>0</v>
      </c>
      <c r="W2767" s="50"/>
    </row>
    <row r="2768" spans="2:23" x14ac:dyDescent="0.2">
      <c r="C2768" s="2" t="s">
        <v>253</v>
      </c>
      <c r="E2768" s="2" t="s">
        <v>2674</v>
      </c>
      <c r="I2768" s="2" t="s">
        <v>106</v>
      </c>
      <c r="L2768" s="2" t="s">
        <v>2553</v>
      </c>
      <c r="P2768" s="2" t="s">
        <v>2744</v>
      </c>
      <c r="T2768" s="5">
        <v>9564</v>
      </c>
      <c r="V2768" s="49">
        <v>0</v>
      </c>
      <c r="W2768" s="50"/>
    </row>
    <row r="2769" spans="2:23" x14ac:dyDescent="0.2">
      <c r="C2769" s="2" t="s">
        <v>201</v>
      </c>
      <c r="E2769" s="2" t="s">
        <v>2675</v>
      </c>
      <c r="I2769" s="2" t="s">
        <v>106</v>
      </c>
      <c r="L2769" s="2" t="s">
        <v>2553</v>
      </c>
      <c r="P2769" s="2" t="s">
        <v>2743</v>
      </c>
      <c r="T2769" s="5">
        <v>4287</v>
      </c>
      <c r="V2769" s="49">
        <v>0</v>
      </c>
      <c r="W2769" s="50"/>
    </row>
    <row r="2770" spans="2:23" x14ac:dyDescent="0.2">
      <c r="B2770" s="22" t="s">
        <v>2554</v>
      </c>
      <c r="E2770" s="22" t="s">
        <v>2555</v>
      </c>
      <c r="S2770" s="51">
        <v>18831</v>
      </c>
      <c r="T2770" s="50"/>
      <c r="U2770" s="51">
        <v>0</v>
      </c>
      <c r="V2770" s="50"/>
      <c r="W2770" s="50"/>
    </row>
    <row r="2771" spans="2:23" x14ac:dyDescent="0.2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8"/>
      <c r="M2771" s="8"/>
      <c r="N2771" s="8"/>
      <c r="O2771" s="8"/>
      <c r="P2771" s="8"/>
      <c r="Q2771" s="8"/>
      <c r="R2771" s="8"/>
      <c r="S2771" s="8"/>
      <c r="T2771" s="8"/>
      <c r="U2771" s="8"/>
      <c r="V2771" s="8"/>
      <c r="W2771" s="8"/>
    </row>
    <row r="2772" spans="2:23" x14ac:dyDescent="0.2">
      <c r="B2772" s="9"/>
      <c r="C2772" s="9"/>
      <c r="D2772" s="9"/>
      <c r="E2772" s="9"/>
      <c r="F2772" s="9"/>
      <c r="G2772" s="9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52">
        <v>412127.33999999997</v>
      </c>
      <c r="T2772" s="53"/>
      <c r="U2772" s="52">
        <v>0</v>
      </c>
      <c r="V2772" s="53"/>
      <c r="W2772" s="53"/>
    </row>
    <row r="2773" spans="2:23" x14ac:dyDescent="0.2">
      <c r="B2773" s="8"/>
      <c r="C2773" s="8"/>
      <c r="D2773" s="20" t="s">
        <v>81</v>
      </c>
      <c r="E2773" s="8"/>
      <c r="F2773" s="8"/>
      <c r="G2773" s="8"/>
      <c r="H2773" s="8"/>
      <c r="I2773" s="8"/>
      <c r="J2773" s="8"/>
      <c r="K2773" s="8"/>
      <c r="L2773" s="8"/>
      <c r="M2773" s="8"/>
      <c r="N2773" s="8"/>
      <c r="O2773" s="8"/>
      <c r="P2773" s="8"/>
      <c r="Q2773" s="8"/>
      <c r="R2773" s="11">
        <v>412127.33999999997</v>
      </c>
      <c r="S2773" s="8"/>
      <c r="T2773" s="8"/>
      <c r="U2773" s="8"/>
      <c r="V2773" s="8"/>
      <c r="W2773" s="8"/>
    </row>
    <row r="2774" spans="2:23" x14ac:dyDescent="0.2">
      <c r="B2774" s="9"/>
      <c r="C2774" s="9"/>
      <c r="D2774" s="9"/>
      <c r="E2774" s="9"/>
      <c r="F2774" s="9"/>
      <c r="G2774" s="9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9"/>
      <c r="U2774" s="9"/>
      <c r="V2774" s="9"/>
      <c r="W2774" s="9"/>
    </row>
    <row r="2776" spans="2:23" ht="15" x14ac:dyDescent="0.2">
      <c r="B2776" s="4" t="s">
        <v>82</v>
      </c>
    </row>
    <row r="2778" spans="2:23" x14ac:dyDescent="0.2">
      <c r="B2778" s="22" t="s">
        <v>2567</v>
      </c>
      <c r="E2778" s="22" t="s">
        <v>2568</v>
      </c>
    </row>
    <row r="2779" spans="2:23" x14ac:dyDescent="0.2">
      <c r="C2779" s="2" t="s">
        <v>1294</v>
      </c>
      <c r="E2779" s="2" t="s">
        <v>2678</v>
      </c>
      <c r="I2779" s="2" t="s">
        <v>209</v>
      </c>
      <c r="P2779" s="2" t="s">
        <v>2679</v>
      </c>
      <c r="T2779" s="5">
        <v>0</v>
      </c>
      <c r="V2779" s="49">
        <v>800</v>
      </c>
      <c r="W2779" s="50"/>
    </row>
    <row r="2780" spans="2:23" x14ac:dyDescent="0.2">
      <c r="B2780" s="22" t="s">
        <v>2567</v>
      </c>
      <c r="E2780" s="22" t="s">
        <v>2568</v>
      </c>
      <c r="S2780" s="51">
        <v>0</v>
      </c>
      <c r="T2780" s="50"/>
      <c r="U2780" s="51">
        <v>800</v>
      </c>
      <c r="V2780" s="50"/>
      <c r="W2780" s="50"/>
    </row>
    <row r="2781" spans="2:23" x14ac:dyDescent="0.2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8"/>
      <c r="M2781" s="8"/>
      <c r="N2781" s="8"/>
      <c r="O2781" s="8"/>
      <c r="P2781" s="8"/>
      <c r="Q2781" s="8"/>
      <c r="R2781" s="8"/>
      <c r="S2781" s="8"/>
      <c r="T2781" s="8"/>
      <c r="U2781" s="8"/>
      <c r="V2781" s="8"/>
      <c r="W2781" s="8"/>
    </row>
    <row r="2782" spans="2:23" x14ac:dyDescent="0.2">
      <c r="B2782" s="9"/>
      <c r="C2782" s="9"/>
      <c r="D2782" s="9"/>
      <c r="E2782" s="9"/>
      <c r="F2782" s="9"/>
      <c r="G2782" s="9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52">
        <v>0</v>
      </c>
      <c r="T2782" s="53"/>
      <c r="U2782" s="52">
        <v>800</v>
      </c>
      <c r="V2782" s="53"/>
      <c r="W2782" s="53"/>
    </row>
    <row r="2783" spans="2:23" x14ac:dyDescent="0.2">
      <c r="B2783" s="8"/>
      <c r="C2783" s="8"/>
      <c r="D2783" s="20" t="s">
        <v>96</v>
      </c>
      <c r="E2783" s="8"/>
      <c r="F2783" s="8"/>
      <c r="G2783" s="8"/>
      <c r="H2783" s="8"/>
      <c r="I2783" s="8"/>
      <c r="J2783" s="8"/>
      <c r="K2783" s="8"/>
      <c r="L2783" s="8"/>
      <c r="M2783" s="8"/>
      <c r="N2783" s="8"/>
      <c r="O2783" s="8"/>
      <c r="P2783" s="8"/>
      <c r="Q2783" s="8"/>
      <c r="R2783" s="11">
        <v>800</v>
      </c>
      <c r="S2783" s="8"/>
      <c r="T2783" s="8"/>
      <c r="U2783" s="8"/>
      <c r="V2783" s="8"/>
      <c r="W2783" s="8"/>
    </row>
    <row r="2784" spans="2:23" x14ac:dyDescent="0.2">
      <c r="B2784" s="9"/>
      <c r="C2784" s="9"/>
      <c r="D2784" s="9"/>
      <c r="E2784" s="9"/>
      <c r="F2784" s="9"/>
      <c r="G2784" s="9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9"/>
      <c r="U2784" s="9"/>
      <c r="V2784" s="9"/>
      <c r="W2784" s="9"/>
    </row>
    <row r="2785" spans="2:23" x14ac:dyDescent="0.2">
      <c r="B2785" s="22" t="s">
        <v>7</v>
      </c>
      <c r="D2785" s="22" t="s">
        <v>2580</v>
      </c>
      <c r="O2785" s="20" t="s">
        <v>97</v>
      </c>
      <c r="P2785" s="8"/>
      <c r="Q2785" s="8"/>
      <c r="R2785" s="11">
        <v>-411327.33999999997</v>
      </c>
    </row>
    <row r="2786" spans="2:23" x14ac:dyDescent="0.2">
      <c r="O2786" s="9"/>
      <c r="P2786" s="9"/>
      <c r="Q2786" s="9"/>
      <c r="R2786" s="9"/>
    </row>
    <row r="2787" spans="2:23" x14ac:dyDescent="0.2">
      <c r="B2787" s="2" t="s">
        <v>98</v>
      </c>
    </row>
    <row r="2789" spans="2:23" ht="24" customHeight="1" x14ac:dyDescent="0.2">
      <c r="B2789" s="54" t="s">
        <v>0</v>
      </c>
      <c r="C2789" s="50"/>
      <c r="D2789" s="50"/>
      <c r="E2789" s="50"/>
      <c r="F2789" s="50"/>
      <c r="G2789" s="50"/>
      <c r="H2789" s="50"/>
      <c r="I2789" s="50"/>
      <c r="J2789" s="50"/>
      <c r="K2789" s="50"/>
      <c r="L2789" s="50"/>
      <c r="M2789" s="50"/>
      <c r="N2789" s="50"/>
      <c r="O2789" s="50"/>
      <c r="P2789" s="50"/>
      <c r="Q2789" s="50"/>
      <c r="R2789" s="50"/>
      <c r="S2789" s="50"/>
      <c r="T2789" s="50"/>
      <c r="U2789" s="50"/>
      <c r="V2789" s="50"/>
      <c r="W2789" s="50"/>
    </row>
    <row r="2790" spans="2:23" ht="18" x14ac:dyDescent="0.2">
      <c r="B2790" s="1" t="s">
        <v>1</v>
      </c>
      <c r="S2790" s="55" t="s">
        <v>2579</v>
      </c>
      <c r="T2790" s="50"/>
      <c r="U2790" s="50"/>
      <c r="V2790" s="50"/>
      <c r="W2790" s="50"/>
    </row>
    <row r="2791" spans="2:23" ht="12.75" thickBot="1" x14ac:dyDescent="0.25">
      <c r="B2791" s="10" t="s">
        <v>3</v>
      </c>
      <c r="C2791" s="6"/>
      <c r="D2791" s="6"/>
      <c r="E2791" s="6"/>
      <c r="F2791" s="6"/>
      <c r="G2791" s="6"/>
      <c r="H2791" s="6"/>
      <c r="I2791" s="6"/>
      <c r="J2791" s="6"/>
      <c r="K2791" s="6" t="s">
        <v>5</v>
      </c>
      <c r="L2791" s="6"/>
      <c r="M2791" s="6"/>
      <c r="N2791" s="6"/>
      <c r="O2791" s="6"/>
      <c r="P2791" s="6" t="s">
        <v>4</v>
      </c>
      <c r="Q2791" s="6" t="s">
        <v>2730</v>
      </c>
      <c r="R2791" s="6"/>
      <c r="S2791" s="56" t="s">
        <v>6</v>
      </c>
      <c r="T2791" s="57"/>
      <c r="U2791" s="57"/>
      <c r="V2791" s="57"/>
      <c r="W2791" s="57"/>
    </row>
    <row r="2792" spans="2:23" ht="12.75" thickTop="1" x14ac:dyDescent="0.2"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</row>
    <row r="2793" spans="2:23" ht="15.75" x14ac:dyDescent="0.2">
      <c r="B2793" s="3" t="s">
        <v>7</v>
      </c>
      <c r="F2793" s="3" t="s">
        <v>2745</v>
      </c>
    </row>
    <row r="2795" spans="2:23" x14ac:dyDescent="0.2">
      <c r="B2795" s="8"/>
      <c r="C2795" s="20" t="s">
        <v>8</v>
      </c>
      <c r="D2795" s="8"/>
      <c r="E2795" s="20" t="s">
        <v>9</v>
      </c>
      <c r="F2795" s="8"/>
      <c r="G2795" s="8"/>
      <c r="H2795" s="8"/>
      <c r="I2795" s="20" t="s">
        <v>13</v>
      </c>
      <c r="J2795" s="8"/>
      <c r="K2795" s="8"/>
      <c r="L2795" s="20" t="s">
        <v>12</v>
      </c>
      <c r="M2795" s="8"/>
      <c r="N2795" s="8"/>
      <c r="O2795" s="8"/>
      <c r="P2795" s="20" t="s">
        <v>14</v>
      </c>
      <c r="Q2795" s="8"/>
      <c r="R2795" s="8"/>
      <c r="S2795" s="8"/>
      <c r="T2795" s="21" t="s">
        <v>11</v>
      </c>
      <c r="U2795" s="8"/>
      <c r="V2795" s="58" t="s">
        <v>10</v>
      </c>
      <c r="W2795" s="59"/>
    </row>
    <row r="2796" spans="2:23" x14ac:dyDescent="0.2">
      <c r="B2796" s="9"/>
      <c r="C2796" s="9"/>
      <c r="D2796" s="9"/>
      <c r="E2796" s="9"/>
      <c r="F2796" s="9"/>
      <c r="G2796" s="9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9"/>
      <c r="U2796" s="9"/>
      <c r="V2796" s="9"/>
      <c r="W2796" s="9"/>
    </row>
    <row r="2797" spans="2:23" ht="15" x14ac:dyDescent="0.2">
      <c r="B2797" s="4" t="s">
        <v>15</v>
      </c>
    </row>
    <row r="2799" spans="2:23" x14ac:dyDescent="0.2">
      <c r="B2799" s="22" t="s">
        <v>2079</v>
      </c>
      <c r="E2799" s="22" t="s">
        <v>2080</v>
      </c>
    </row>
    <row r="2800" spans="2:23" x14ac:dyDescent="0.2">
      <c r="C2800" s="2" t="s">
        <v>1042</v>
      </c>
      <c r="E2800" s="2" t="s">
        <v>2081</v>
      </c>
      <c r="I2800" s="2" t="s">
        <v>64</v>
      </c>
      <c r="P2800" s="2" t="s">
        <v>2082</v>
      </c>
      <c r="T2800" s="5">
        <v>11513</v>
      </c>
      <c r="V2800" s="49">
        <v>0</v>
      </c>
      <c r="W2800" s="50"/>
    </row>
    <row r="2801" spans="2:23" x14ac:dyDescent="0.2">
      <c r="C2801" s="2" t="s">
        <v>2084</v>
      </c>
      <c r="E2801" s="2" t="s">
        <v>2083</v>
      </c>
      <c r="I2801" s="2" t="s">
        <v>64</v>
      </c>
      <c r="P2801" s="2" t="s">
        <v>2085</v>
      </c>
      <c r="T2801" s="5">
        <v>8376</v>
      </c>
      <c r="V2801" s="49">
        <v>0</v>
      </c>
      <c r="W2801" s="50"/>
    </row>
    <row r="2802" spans="2:23" x14ac:dyDescent="0.2">
      <c r="C2802" s="2" t="s">
        <v>2087</v>
      </c>
      <c r="E2802" s="2" t="s">
        <v>2086</v>
      </c>
      <c r="I2802" s="2" t="s">
        <v>64</v>
      </c>
      <c r="P2802" s="2" t="s">
        <v>2088</v>
      </c>
      <c r="T2802" s="5">
        <v>15808</v>
      </c>
      <c r="V2802" s="49">
        <v>0</v>
      </c>
      <c r="W2802" s="50"/>
    </row>
    <row r="2803" spans="2:23" x14ac:dyDescent="0.2">
      <c r="B2803" s="22" t="s">
        <v>2079</v>
      </c>
      <c r="E2803" s="22" t="s">
        <v>2080</v>
      </c>
      <c r="S2803" s="51">
        <v>35697</v>
      </c>
      <c r="T2803" s="50"/>
      <c r="U2803" s="51">
        <v>0</v>
      </c>
      <c r="V2803" s="50"/>
      <c r="W2803" s="50"/>
    </row>
    <row r="2804" spans="2:23" x14ac:dyDescent="0.2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8"/>
      <c r="M2804" s="8"/>
      <c r="N2804" s="8"/>
      <c r="O2804" s="8"/>
      <c r="P2804" s="8"/>
      <c r="Q2804" s="8"/>
      <c r="R2804" s="8"/>
      <c r="S2804" s="8"/>
      <c r="T2804" s="8"/>
      <c r="U2804" s="8"/>
      <c r="V2804" s="8"/>
      <c r="W2804" s="8"/>
    </row>
    <row r="2805" spans="2:23" x14ac:dyDescent="0.2">
      <c r="B2805" s="9"/>
      <c r="C2805" s="9"/>
      <c r="D2805" s="9"/>
      <c r="E2805" s="9"/>
      <c r="F2805" s="9"/>
      <c r="G2805" s="9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52">
        <v>35697</v>
      </c>
      <c r="T2805" s="53"/>
      <c r="U2805" s="52">
        <v>0</v>
      </c>
      <c r="V2805" s="53"/>
      <c r="W2805" s="53"/>
    </row>
    <row r="2806" spans="2:23" x14ac:dyDescent="0.2">
      <c r="B2806" s="8"/>
      <c r="C2806" s="8"/>
      <c r="D2806" s="20" t="s">
        <v>81</v>
      </c>
      <c r="E2806" s="8"/>
      <c r="F2806" s="8"/>
      <c r="G2806" s="8"/>
      <c r="H2806" s="8"/>
      <c r="I2806" s="8"/>
      <c r="J2806" s="8"/>
      <c r="K2806" s="8"/>
      <c r="L2806" s="8"/>
      <c r="M2806" s="8"/>
      <c r="N2806" s="8"/>
      <c r="O2806" s="8"/>
      <c r="P2806" s="8"/>
      <c r="Q2806" s="8"/>
      <c r="R2806" s="11">
        <v>35697</v>
      </c>
      <c r="S2806" s="8"/>
      <c r="T2806" s="8"/>
      <c r="U2806" s="8"/>
      <c r="V2806" s="8"/>
      <c r="W2806" s="8"/>
    </row>
    <row r="2807" spans="2:23" x14ac:dyDescent="0.2">
      <c r="B2807" s="9"/>
      <c r="C2807" s="9"/>
      <c r="D2807" s="9"/>
      <c r="E2807" s="9"/>
      <c r="F2807" s="9"/>
      <c r="G2807" s="9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9"/>
      <c r="U2807" s="9"/>
      <c r="V2807" s="9"/>
      <c r="W2807" s="9"/>
    </row>
    <row r="2809" spans="2:23" ht="15" x14ac:dyDescent="0.2">
      <c r="B2809" s="4" t="s">
        <v>82</v>
      </c>
    </row>
    <row r="2811" spans="2:23" x14ac:dyDescent="0.2">
      <c r="B2811" s="22" t="s">
        <v>2144</v>
      </c>
      <c r="E2811" s="22" t="s">
        <v>2145</v>
      </c>
    </row>
    <row r="2812" spans="2:23" x14ac:dyDescent="0.2">
      <c r="C2812" s="2" t="s">
        <v>2147</v>
      </c>
      <c r="E2812" s="2" t="s">
        <v>2146</v>
      </c>
      <c r="I2812" s="2" t="s">
        <v>64</v>
      </c>
      <c r="P2812" s="2" t="s">
        <v>95</v>
      </c>
      <c r="T2812" s="5">
        <v>0</v>
      </c>
      <c r="V2812" s="49">
        <v>11513</v>
      </c>
      <c r="W2812" s="50"/>
    </row>
    <row r="2813" spans="2:23" x14ac:dyDescent="0.2">
      <c r="C2813" s="2" t="s">
        <v>1294</v>
      </c>
      <c r="E2813" s="2" t="s">
        <v>2148</v>
      </c>
      <c r="I2813" s="2" t="s">
        <v>64</v>
      </c>
      <c r="P2813" s="2" t="s">
        <v>95</v>
      </c>
      <c r="T2813" s="5">
        <v>0</v>
      </c>
      <c r="V2813" s="49">
        <v>8370</v>
      </c>
      <c r="W2813" s="50"/>
    </row>
    <row r="2814" spans="2:23" x14ac:dyDescent="0.2">
      <c r="C2814" s="2" t="s">
        <v>1045</v>
      </c>
      <c r="E2814" s="2" t="s">
        <v>2578</v>
      </c>
      <c r="I2814" s="2" t="s">
        <v>64</v>
      </c>
      <c r="P2814" s="2" t="s">
        <v>95</v>
      </c>
      <c r="T2814" s="5">
        <v>0</v>
      </c>
      <c r="V2814" s="49">
        <v>126820</v>
      </c>
      <c r="W2814" s="50"/>
    </row>
    <row r="2815" spans="2:23" x14ac:dyDescent="0.2">
      <c r="C2815" s="2" t="s">
        <v>2746</v>
      </c>
      <c r="E2815" s="2" t="s">
        <v>2747</v>
      </c>
      <c r="I2815" s="2" t="s">
        <v>64</v>
      </c>
      <c r="P2815" s="2" t="s">
        <v>2748</v>
      </c>
      <c r="T2815" s="5">
        <v>0</v>
      </c>
      <c r="V2815" s="49">
        <v>8000</v>
      </c>
      <c r="W2815" s="50"/>
    </row>
    <row r="2816" spans="2:23" x14ac:dyDescent="0.2">
      <c r="C2816" s="2" t="s">
        <v>2087</v>
      </c>
      <c r="E2816" s="2" t="s">
        <v>2149</v>
      </c>
      <c r="I2816" s="2" t="s">
        <v>64</v>
      </c>
      <c r="P2816" s="2" t="s">
        <v>2150</v>
      </c>
      <c r="T2816" s="5">
        <v>0</v>
      </c>
      <c r="V2816" s="49">
        <v>25000</v>
      </c>
      <c r="W2816" s="50"/>
    </row>
    <row r="2817" spans="2:23" x14ac:dyDescent="0.2">
      <c r="C2817" s="2" t="s">
        <v>467</v>
      </c>
      <c r="E2817" s="2" t="s">
        <v>2151</v>
      </c>
      <c r="I2817" s="2" t="s">
        <v>64</v>
      </c>
      <c r="P2817" s="2" t="s">
        <v>95</v>
      </c>
      <c r="T2817" s="5">
        <v>0</v>
      </c>
      <c r="V2817" s="49">
        <v>15808</v>
      </c>
      <c r="W2817" s="50"/>
    </row>
    <row r="2818" spans="2:23" x14ac:dyDescent="0.2">
      <c r="C2818" s="2" t="s">
        <v>2153</v>
      </c>
      <c r="E2818" s="2" t="s">
        <v>2152</v>
      </c>
      <c r="I2818" s="2" t="s">
        <v>64</v>
      </c>
      <c r="P2818" s="2" t="s">
        <v>2154</v>
      </c>
      <c r="T2818" s="5">
        <v>0</v>
      </c>
      <c r="V2818" s="49">
        <v>4000</v>
      </c>
      <c r="W2818" s="50"/>
    </row>
    <row r="2819" spans="2:23" x14ac:dyDescent="0.2">
      <c r="B2819" s="22" t="s">
        <v>2144</v>
      </c>
      <c r="E2819" s="22" t="s">
        <v>2145</v>
      </c>
      <c r="S2819" s="51">
        <v>0</v>
      </c>
      <c r="T2819" s="50"/>
      <c r="U2819" s="51">
        <v>199511</v>
      </c>
      <c r="V2819" s="50"/>
      <c r="W2819" s="50"/>
    </row>
    <row r="2820" spans="2:23" x14ac:dyDescent="0.2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8"/>
      <c r="M2820" s="8"/>
      <c r="N2820" s="8"/>
      <c r="O2820" s="8"/>
      <c r="P2820" s="8"/>
      <c r="Q2820" s="8"/>
      <c r="R2820" s="8"/>
      <c r="S2820" s="8"/>
      <c r="T2820" s="8"/>
      <c r="U2820" s="8"/>
      <c r="V2820" s="8"/>
      <c r="W2820" s="8"/>
    </row>
    <row r="2821" spans="2:23" x14ac:dyDescent="0.2">
      <c r="B2821" s="9"/>
      <c r="C2821" s="9"/>
      <c r="D2821" s="9"/>
      <c r="E2821" s="9"/>
      <c r="F2821" s="9"/>
      <c r="G2821" s="9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52">
        <v>0</v>
      </c>
      <c r="T2821" s="53"/>
      <c r="U2821" s="52">
        <v>199511</v>
      </c>
      <c r="V2821" s="53"/>
      <c r="W2821" s="53"/>
    </row>
    <row r="2822" spans="2:23" x14ac:dyDescent="0.2">
      <c r="B2822" s="8"/>
      <c r="C2822" s="8"/>
      <c r="D2822" s="20" t="s">
        <v>96</v>
      </c>
      <c r="E2822" s="8"/>
      <c r="F2822" s="8"/>
      <c r="G2822" s="8"/>
      <c r="H2822" s="8"/>
      <c r="I2822" s="8"/>
      <c r="J2822" s="8"/>
      <c r="K2822" s="8"/>
      <c r="L2822" s="8"/>
      <c r="M2822" s="8"/>
      <c r="N2822" s="8"/>
      <c r="O2822" s="8"/>
      <c r="P2822" s="8"/>
      <c r="Q2822" s="8"/>
      <c r="R2822" s="11">
        <v>199511</v>
      </c>
      <c r="S2822" s="8"/>
      <c r="T2822" s="8"/>
      <c r="U2822" s="8"/>
      <c r="V2822" s="8"/>
      <c r="W2822" s="8"/>
    </row>
    <row r="2823" spans="2:23" x14ac:dyDescent="0.2">
      <c r="B2823" s="9"/>
      <c r="C2823" s="9"/>
      <c r="D2823" s="9"/>
      <c r="E2823" s="9"/>
      <c r="F2823" s="9"/>
      <c r="G2823" s="9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9"/>
      <c r="U2823" s="9"/>
      <c r="V2823" s="9"/>
      <c r="W2823" s="9"/>
    </row>
    <row r="2824" spans="2:23" x14ac:dyDescent="0.2">
      <c r="B2824" s="22" t="s">
        <v>7</v>
      </c>
      <c r="D2824" s="22" t="s">
        <v>2745</v>
      </c>
      <c r="O2824" s="20" t="s">
        <v>97</v>
      </c>
      <c r="P2824" s="8"/>
      <c r="Q2824" s="8"/>
      <c r="R2824" s="11">
        <v>163814</v>
      </c>
    </row>
    <row r="2825" spans="2:23" x14ac:dyDescent="0.2">
      <c r="O2825" s="9"/>
      <c r="P2825" s="9"/>
      <c r="Q2825" s="9"/>
      <c r="R2825" s="9"/>
    </row>
    <row r="2826" spans="2:23" x14ac:dyDescent="0.2">
      <c r="B2826" s="2" t="s">
        <v>98</v>
      </c>
    </row>
    <row r="2828" spans="2:23" ht="24" customHeight="1" x14ac:dyDescent="0.2">
      <c r="B2828" s="54" t="s">
        <v>0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  <c r="R2828" s="50"/>
      <c r="S2828" s="50"/>
      <c r="T2828" s="50"/>
      <c r="U2828" s="50"/>
      <c r="V2828" s="50"/>
      <c r="W2828" s="50"/>
    </row>
  </sheetData>
  <mergeCells count="2057">
    <mergeCell ref="V2723:W2723"/>
    <mergeCell ref="V2724:W2724"/>
    <mergeCell ref="V2725:W2725"/>
    <mergeCell ref="V2726:W2726"/>
    <mergeCell ref="V2727:W2727"/>
    <mergeCell ref="V2728:W2728"/>
    <mergeCell ref="V2729:W2729"/>
    <mergeCell ref="S2730:T2730"/>
    <mergeCell ref="U2730:W2730"/>
    <mergeCell ref="V2769:W2769"/>
    <mergeCell ref="S2770:T2770"/>
    <mergeCell ref="U2770:W2770"/>
    <mergeCell ref="V2816:W2816"/>
    <mergeCell ref="V2817:W2817"/>
    <mergeCell ref="V2818:W2818"/>
    <mergeCell ref="S2819:T2819"/>
    <mergeCell ref="U2819:W2819"/>
    <mergeCell ref="V2812:W2812"/>
    <mergeCell ref="V2813:W2813"/>
    <mergeCell ref="V2800:W2800"/>
    <mergeCell ref="V2801:W2801"/>
    <mergeCell ref="V2802:W2802"/>
    <mergeCell ref="S2803:T2803"/>
    <mergeCell ref="U2803:W2803"/>
    <mergeCell ref="S2805:T2805"/>
    <mergeCell ref="U2805:W2805"/>
    <mergeCell ref="V2733:W2733"/>
    <mergeCell ref="V2754:W2754"/>
    <mergeCell ref="V2755:W2755"/>
    <mergeCell ref="V2756:W2756"/>
    <mergeCell ref="V2751:W2751"/>
    <mergeCell ref="V2752:W2752"/>
    <mergeCell ref="V2753:W2753"/>
    <mergeCell ref="V2738:W2738"/>
    <mergeCell ref="V2743:W2743"/>
    <mergeCell ref="V2744:W2744"/>
    <mergeCell ref="V2745:W2745"/>
    <mergeCell ref="V2746:W2746"/>
    <mergeCell ref="V2760:W2760"/>
    <mergeCell ref="V2761:W2761"/>
    <mergeCell ref="V2762:W2762"/>
    <mergeCell ref="V2763:W2763"/>
    <mergeCell ref="S2772:T2772"/>
    <mergeCell ref="U2772:W2772"/>
    <mergeCell ref="V2704:W2704"/>
    <mergeCell ref="V2705:W2705"/>
    <mergeCell ref="V2706:W2706"/>
    <mergeCell ref="V2707:W2707"/>
    <mergeCell ref="S2708:T2708"/>
    <mergeCell ref="U2708:W2708"/>
    <mergeCell ref="V2681:W2681"/>
    <mergeCell ref="V2687:W2687"/>
    <mergeCell ref="V2688:W2688"/>
    <mergeCell ref="V2689:W2689"/>
    <mergeCell ref="V2722:W2722"/>
    <mergeCell ref="V2712:W2712"/>
    <mergeCell ref="V2713:W2713"/>
    <mergeCell ref="V2714:W2714"/>
    <mergeCell ref="V2715:W2715"/>
    <mergeCell ref="V2711:W2711"/>
    <mergeCell ref="V2719:W2719"/>
    <mergeCell ref="V2720:W2720"/>
    <mergeCell ref="V2721:W2721"/>
    <mergeCell ref="V2615:W2615"/>
    <mergeCell ref="V2616:W2616"/>
    <mergeCell ref="V2596:W2596"/>
    <mergeCell ref="V2597:W2597"/>
    <mergeCell ref="V2598:W2598"/>
    <mergeCell ref="V2599:W2599"/>
    <mergeCell ref="V2600:W2600"/>
    <mergeCell ref="V2601:W2601"/>
    <mergeCell ref="V2603:W2603"/>
    <mergeCell ref="V2602:W2602"/>
    <mergeCell ref="V2609:W2609"/>
    <mergeCell ref="V2610:W2610"/>
    <mergeCell ref="V2623:W2623"/>
    <mergeCell ref="V2624:W2624"/>
    <mergeCell ref="V2664:W2664"/>
    <mergeCell ref="V2665:W2665"/>
    <mergeCell ref="S2666:T2666"/>
    <mergeCell ref="U2666:W2666"/>
    <mergeCell ref="S2630:T2630"/>
    <mergeCell ref="U2630:W2630"/>
    <mergeCell ref="V2633:W2633"/>
    <mergeCell ref="V2634:W2634"/>
    <mergeCell ref="V2636:W2636"/>
    <mergeCell ref="V2637:W2637"/>
    <mergeCell ref="S2638:T2638"/>
    <mergeCell ref="U2638:W2638"/>
    <mergeCell ref="V2659:W2659"/>
    <mergeCell ref="V2660:W2660"/>
    <mergeCell ref="V2661:W2661"/>
    <mergeCell ref="S2649:T2649"/>
    <mergeCell ref="U2649:W2649"/>
    <mergeCell ref="V2643:W2643"/>
    <mergeCell ref="V2519:W2519"/>
    <mergeCell ref="V2537:W2537"/>
    <mergeCell ref="V2529:W2529"/>
    <mergeCell ref="V2530:W2530"/>
    <mergeCell ref="V2531:W2531"/>
    <mergeCell ref="V2532:W2532"/>
    <mergeCell ref="V2533:W2533"/>
    <mergeCell ref="V2522:W2522"/>
    <mergeCell ref="V2523:W2523"/>
    <mergeCell ref="V2524:W2524"/>
    <mergeCell ref="V2525:W2525"/>
    <mergeCell ref="V2553:W2553"/>
    <mergeCell ref="V2570:W2570"/>
    <mergeCell ref="V2564:W2564"/>
    <mergeCell ref="V2565:W2565"/>
    <mergeCell ref="V2566:W2566"/>
    <mergeCell ref="V2567:W2567"/>
    <mergeCell ref="V2568:W2568"/>
    <mergeCell ref="V2569:W2569"/>
    <mergeCell ref="V2558:W2558"/>
    <mergeCell ref="V2562:W2562"/>
    <mergeCell ref="V2563:W2563"/>
    <mergeCell ref="V2520:W2520"/>
    <mergeCell ref="V2521:W2521"/>
    <mergeCell ref="S2526:W2526"/>
    <mergeCell ref="S2527:W2527"/>
    <mergeCell ref="S2534:T2534"/>
    <mergeCell ref="U2534:W2534"/>
    <mergeCell ref="S2538:T2538"/>
    <mergeCell ref="U2538:W2538"/>
    <mergeCell ref="S2540:T2540"/>
    <mergeCell ref="U2540:W2540"/>
    <mergeCell ref="V2509:W2509"/>
    <mergeCell ref="V2514:W2514"/>
    <mergeCell ref="V2518:W2518"/>
    <mergeCell ref="V2490:W2490"/>
    <mergeCell ref="V2491:W2491"/>
    <mergeCell ref="V2492:W2492"/>
    <mergeCell ref="V2493:W2493"/>
    <mergeCell ref="V2506:W2506"/>
    <mergeCell ref="V2507:W2507"/>
    <mergeCell ref="V2508:W2508"/>
    <mergeCell ref="V2510:W2510"/>
    <mergeCell ref="V2511:W2511"/>
    <mergeCell ref="V2512:W2512"/>
    <mergeCell ref="V2513:W2513"/>
    <mergeCell ref="V2515:W2515"/>
    <mergeCell ref="V2516:W2516"/>
    <mergeCell ref="V2517:W2517"/>
    <mergeCell ref="V2497:W2497"/>
    <mergeCell ref="V2498:W2498"/>
    <mergeCell ref="V2499:W2499"/>
    <mergeCell ref="V2500:W2500"/>
    <mergeCell ref="V2501:W2501"/>
    <mergeCell ref="V2502:W2502"/>
    <mergeCell ref="V2503:W2503"/>
    <mergeCell ref="V2504:W2504"/>
    <mergeCell ref="V2505:W2505"/>
    <mergeCell ref="S2414:W2414"/>
    <mergeCell ref="S2415:W2415"/>
    <mergeCell ref="V2389:W2389"/>
    <mergeCell ref="V2390:W2390"/>
    <mergeCell ref="V2392:W2392"/>
    <mergeCell ref="V2393:W2393"/>
    <mergeCell ref="V2394:W2394"/>
    <mergeCell ref="V2395:W2395"/>
    <mergeCell ref="V2418:W2418"/>
    <mergeCell ref="V2442:W2442"/>
    <mergeCell ref="V2443:W2443"/>
    <mergeCell ref="V2439:W2439"/>
    <mergeCell ref="V2440:W2440"/>
    <mergeCell ref="V2441:W2441"/>
    <mergeCell ref="V2480:W2480"/>
    <mergeCell ref="V2482:W2482"/>
    <mergeCell ref="V2483:W2483"/>
    <mergeCell ref="S2419:T2419"/>
    <mergeCell ref="U2419:W2419"/>
    <mergeCell ref="S2421:T2421"/>
    <mergeCell ref="U2421:W2421"/>
    <mergeCell ref="B2428:W2428"/>
    <mergeCell ref="S2429:W2429"/>
    <mergeCell ref="S2430:W2430"/>
    <mergeCell ref="S2444:T2444"/>
    <mergeCell ref="U2444:W2444"/>
    <mergeCell ref="S2332:T2332"/>
    <mergeCell ref="U2332:W2332"/>
    <mergeCell ref="S2334:T2334"/>
    <mergeCell ref="U2334:W2334"/>
    <mergeCell ref="B2341:W2341"/>
    <mergeCell ref="S2342:W2342"/>
    <mergeCell ref="S2343:W2343"/>
    <mergeCell ref="S2353:T2353"/>
    <mergeCell ref="U2353:W2353"/>
    <mergeCell ref="V2356:W2356"/>
    <mergeCell ref="V2357:W2357"/>
    <mergeCell ref="V2358:W2358"/>
    <mergeCell ref="S2359:T2359"/>
    <mergeCell ref="U2359:W2359"/>
    <mergeCell ref="V2406:W2406"/>
    <mergeCell ref="V2407:W2407"/>
    <mergeCell ref="V2408:W2408"/>
    <mergeCell ref="U2261:W2261"/>
    <mergeCell ref="V2347:W2347"/>
    <mergeCell ref="V2370:W2370"/>
    <mergeCell ref="V2375:W2375"/>
    <mergeCell ref="V2352:W2352"/>
    <mergeCell ref="V2362:W2362"/>
    <mergeCell ref="V2363:W2363"/>
    <mergeCell ref="V2364:W2364"/>
    <mergeCell ref="V2365:W2365"/>
    <mergeCell ref="V2366:W2366"/>
    <mergeCell ref="V2367:W2367"/>
    <mergeCell ref="V2368:W2368"/>
    <mergeCell ref="V2369:W2369"/>
    <mergeCell ref="V2371:W2371"/>
    <mergeCell ref="V2372:W2372"/>
    <mergeCell ref="V2373:W2373"/>
    <mergeCell ref="V2374:W2374"/>
    <mergeCell ref="V2223:W2223"/>
    <mergeCell ref="S2224:T2224"/>
    <mergeCell ref="U2224:W2224"/>
    <mergeCell ref="S2226:T2226"/>
    <mergeCell ref="U2226:W2226"/>
    <mergeCell ref="V2233:W2233"/>
    <mergeCell ref="V2234:W2234"/>
    <mergeCell ref="V2235:W2235"/>
    <mergeCell ref="V2242:W2242"/>
    <mergeCell ref="V2243:W2243"/>
    <mergeCell ref="V2244:W2244"/>
    <mergeCell ref="V2245:W2245"/>
    <mergeCell ref="V2265:W2265"/>
    <mergeCell ref="S2266:T2266"/>
    <mergeCell ref="U2266:W2266"/>
    <mergeCell ref="V2269:W2269"/>
    <mergeCell ref="V2270:W2270"/>
    <mergeCell ref="V2264:W2264"/>
    <mergeCell ref="V2247:W2247"/>
    <mergeCell ref="V2251:W2251"/>
    <mergeCell ref="V2248:W2248"/>
    <mergeCell ref="V2249:W2249"/>
    <mergeCell ref="V2250:W2250"/>
    <mergeCell ref="V2252:W2252"/>
    <mergeCell ref="V2253:W2253"/>
    <mergeCell ref="V2254:W2254"/>
    <mergeCell ref="V2255:W2255"/>
    <mergeCell ref="S2256:T2256"/>
    <mergeCell ref="U2256:W2256"/>
    <mergeCell ref="V2259:W2259"/>
    <mergeCell ref="V2260:W2260"/>
    <mergeCell ref="S2261:T2261"/>
    <mergeCell ref="V2186:W2186"/>
    <mergeCell ref="V2181:W2181"/>
    <mergeCell ref="V2182:W2182"/>
    <mergeCell ref="V2183:W2183"/>
    <mergeCell ref="V2184:W2184"/>
    <mergeCell ref="V2185:W2185"/>
    <mergeCell ref="V2200:W2200"/>
    <mergeCell ref="V2201:W2201"/>
    <mergeCell ref="V2205:W2205"/>
    <mergeCell ref="S2206:T2206"/>
    <mergeCell ref="U2206:W2206"/>
    <mergeCell ref="V2209:W2209"/>
    <mergeCell ref="V2167:W2167"/>
    <mergeCell ref="V2168:W2168"/>
    <mergeCell ref="S2169:T2169"/>
    <mergeCell ref="U2169:W2169"/>
    <mergeCell ref="V2172:W2172"/>
    <mergeCell ref="V2173:W2173"/>
    <mergeCell ref="V2174:W2174"/>
    <mergeCell ref="S2175:T2175"/>
    <mergeCell ref="U2175:W2175"/>
    <mergeCell ref="V2178:W2178"/>
    <mergeCell ref="V2179:W2179"/>
    <mergeCell ref="V2180:W2180"/>
    <mergeCell ref="S2187:T2187"/>
    <mergeCell ref="U2187:W2187"/>
    <mergeCell ref="V2190:W2190"/>
    <mergeCell ref="S2191:T2191"/>
    <mergeCell ref="U2191:W2191"/>
    <mergeCell ref="V2194:W2194"/>
    <mergeCell ref="V2082:W2082"/>
    <mergeCell ref="V2068:W2068"/>
    <mergeCell ref="V2069:W2069"/>
    <mergeCell ref="V2070:W2070"/>
    <mergeCell ref="V2071:W2071"/>
    <mergeCell ref="V2072:W2072"/>
    <mergeCell ref="V2073:W2073"/>
    <mergeCell ref="S2074:T2074"/>
    <mergeCell ref="U2074:W2074"/>
    <mergeCell ref="V2077:W2077"/>
    <mergeCell ref="V2078:W2078"/>
    <mergeCell ref="V2079:W2079"/>
    <mergeCell ref="V2080:W2080"/>
    <mergeCell ref="V2081:W2081"/>
    <mergeCell ref="S2083:T2083"/>
    <mergeCell ref="U2032:W2032"/>
    <mergeCell ref="S2034:T2034"/>
    <mergeCell ref="U2034:W2034"/>
    <mergeCell ref="V2041:W2041"/>
    <mergeCell ref="S2042:T2042"/>
    <mergeCell ref="U2042:W2042"/>
    <mergeCell ref="V2045:W2045"/>
    <mergeCell ref="V2046:W2046"/>
    <mergeCell ref="S2047:T2047"/>
    <mergeCell ref="U2047:W2047"/>
    <mergeCell ref="S2049:T2049"/>
    <mergeCell ref="U2049:W2049"/>
    <mergeCell ref="B2056:W2056"/>
    <mergeCell ref="V2062:W2062"/>
    <mergeCell ref="V2067:W2067"/>
    <mergeCell ref="U2083:W2083"/>
    <mergeCell ref="S1949:T1949"/>
    <mergeCell ref="U1949:W1949"/>
    <mergeCell ref="B1958:W1958"/>
    <mergeCell ref="V1924:W1924"/>
    <mergeCell ref="S1925:T1925"/>
    <mergeCell ref="U1925:W1925"/>
    <mergeCell ref="V1928:W1928"/>
    <mergeCell ref="S1929:T1929"/>
    <mergeCell ref="U1929:W1929"/>
    <mergeCell ref="V1932:W1932"/>
    <mergeCell ref="S1933:T1933"/>
    <mergeCell ref="U1933:W1933"/>
    <mergeCell ref="V1936:W1936"/>
    <mergeCell ref="V1937:W1937"/>
    <mergeCell ref="S1938:T1938"/>
    <mergeCell ref="U1938:W1938"/>
    <mergeCell ref="S1940:T1940"/>
    <mergeCell ref="U1940:W1940"/>
    <mergeCell ref="U1808:W1808"/>
    <mergeCell ref="V1811:W1811"/>
    <mergeCell ref="S1831:T1831"/>
    <mergeCell ref="U1831:W1831"/>
    <mergeCell ref="B1838:W1838"/>
    <mergeCell ref="S1839:W1839"/>
    <mergeCell ref="S1840:W1840"/>
    <mergeCell ref="V1844:W1844"/>
    <mergeCell ref="V1849:W1849"/>
    <mergeCell ref="S1850:T1850"/>
    <mergeCell ref="U1850:W1850"/>
    <mergeCell ref="S1885:T1885"/>
    <mergeCell ref="U1885:W1885"/>
    <mergeCell ref="V1864:W1864"/>
    <mergeCell ref="S1875:T1875"/>
    <mergeCell ref="U1875:W1875"/>
    <mergeCell ref="V1882:W1882"/>
    <mergeCell ref="S1883:T1883"/>
    <mergeCell ref="U1883:W1883"/>
    <mergeCell ref="V1860:W1860"/>
    <mergeCell ref="S1861:T1861"/>
    <mergeCell ref="U1861:W1861"/>
    <mergeCell ref="S1865:T1865"/>
    <mergeCell ref="U1865:W1865"/>
    <mergeCell ref="V1868:W1868"/>
    <mergeCell ref="S1869:T1869"/>
    <mergeCell ref="U1869:W1869"/>
    <mergeCell ref="V1872:W1872"/>
    <mergeCell ref="S1873:T1873"/>
    <mergeCell ref="U1873:W1873"/>
    <mergeCell ref="S1812:T1812"/>
    <mergeCell ref="U1812:W1812"/>
    <mergeCell ref="S1737:T1737"/>
    <mergeCell ref="U1737:W1737"/>
    <mergeCell ref="S1762:T1762"/>
    <mergeCell ref="U1762:W1762"/>
    <mergeCell ref="S1764:T1764"/>
    <mergeCell ref="U1764:W1764"/>
    <mergeCell ref="V1771:W1771"/>
    <mergeCell ref="S1772:T1772"/>
    <mergeCell ref="U1772:W1772"/>
    <mergeCell ref="S1774:T1774"/>
    <mergeCell ref="U1774:W1774"/>
    <mergeCell ref="B1781:W1781"/>
    <mergeCell ref="S1782:W1782"/>
    <mergeCell ref="S1783:W1783"/>
    <mergeCell ref="V1787:W1787"/>
    <mergeCell ref="V1817:W1817"/>
    <mergeCell ref="V1818:W1818"/>
    <mergeCell ref="V1792:W1792"/>
    <mergeCell ref="V1793:W1793"/>
    <mergeCell ref="S1794:T1794"/>
    <mergeCell ref="U1794:W1794"/>
    <mergeCell ref="V1797:W1797"/>
    <mergeCell ref="V1798:W1798"/>
    <mergeCell ref="V1799:W1799"/>
    <mergeCell ref="V1800:W1800"/>
    <mergeCell ref="V1801:W1801"/>
    <mergeCell ref="V1802:W1802"/>
    <mergeCell ref="V1803:W1803"/>
    <mergeCell ref="S1804:T1804"/>
    <mergeCell ref="U1804:W1804"/>
    <mergeCell ref="V1807:W1807"/>
    <mergeCell ref="S1808:T1808"/>
    <mergeCell ref="S1754:T1754"/>
    <mergeCell ref="U1754:W1754"/>
    <mergeCell ref="V1757:W1757"/>
    <mergeCell ref="S1758:T1758"/>
    <mergeCell ref="U1758:W1758"/>
    <mergeCell ref="V1761:W1761"/>
    <mergeCell ref="V1752:W1752"/>
    <mergeCell ref="V1753:W1753"/>
    <mergeCell ref="V1740:W1740"/>
    <mergeCell ref="S1741:T1741"/>
    <mergeCell ref="U1741:W1741"/>
    <mergeCell ref="V1744:W1744"/>
    <mergeCell ref="S1745:T1745"/>
    <mergeCell ref="U1745:W1745"/>
    <mergeCell ref="V1748:W1748"/>
    <mergeCell ref="S1749:T1749"/>
    <mergeCell ref="U1749:W1749"/>
    <mergeCell ref="V1603:W1603"/>
    <mergeCell ref="B1613:W1613"/>
    <mergeCell ref="S1614:W1614"/>
    <mergeCell ref="S1615:W1615"/>
    <mergeCell ref="V1619:W1619"/>
    <mergeCell ref="V1624:W1624"/>
    <mergeCell ref="S1625:T1625"/>
    <mergeCell ref="U1625:W1625"/>
    <mergeCell ref="S1648:T1648"/>
    <mergeCell ref="U1648:W1648"/>
    <mergeCell ref="S1656:T1656"/>
    <mergeCell ref="U1656:W1656"/>
    <mergeCell ref="V1682:W1682"/>
    <mergeCell ref="S1691:T1691"/>
    <mergeCell ref="U1691:W1691"/>
    <mergeCell ref="V1628:W1628"/>
    <mergeCell ref="S1629:T1629"/>
    <mergeCell ref="U1629:W1629"/>
    <mergeCell ref="V1632:W1632"/>
    <mergeCell ref="S1633:T1633"/>
    <mergeCell ref="U1633:W1633"/>
    <mergeCell ref="V1636:W1636"/>
    <mergeCell ref="S1637:T1637"/>
    <mergeCell ref="U1637:W1637"/>
    <mergeCell ref="V1640:W1640"/>
    <mergeCell ref="V1641:W1641"/>
    <mergeCell ref="S1642:T1642"/>
    <mergeCell ref="U1642:W1642"/>
    <mergeCell ref="V1645:W1645"/>
    <mergeCell ref="S1646:T1646"/>
    <mergeCell ref="U1646:W1646"/>
    <mergeCell ref="V1655:W1655"/>
    <mergeCell ref="V1570:W1570"/>
    <mergeCell ref="V1595:W1595"/>
    <mergeCell ref="V1600:W1600"/>
    <mergeCell ref="V1589:W1589"/>
    <mergeCell ref="V1590:W1590"/>
    <mergeCell ref="V1591:W1591"/>
    <mergeCell ref="V1592:W1592"/>
    <mergeCell ref="V1593:W1593"/>
    <mergeCell ref="V1594:W1594"/>
    <mergeCell ref="V1583:W1583"/>
    <mergeCell ref="V1584:W1584"/>
    <mergeCell ref="V1585:W1585"/>
    <mergeCell ref="V1586:W1586"/>
    <mergeCell ref="V1587:W1587"/>
    <mergeCell ref="V1588:W1588"/>
    <mergeCell ref="V1601:W1601"/>
    <mergeCell ref="V1602:W1602"/>
    <mergeCell ref="S1517:T1517"/>
    <mergeCell ref="U1517:W1517"/>
    <mergeCell ref="B1524:W1524"/>
    <mergeCell ref="S1525:W1525"/>
    <mergeCell ref="V1555:W1555"/>
    <mergeCell ref="S1526:W1526"/>
    <mergeCell ref="V1530:W1530"/>
    <mergeCell ref="V1535:W1535"/>
    <mergeCell ref="S1536:T1536"/>
    <mergeCell ref="U1536:W1536"/>
    <mergeCell ref="V1539:W1539"/>
    <mergeCell ref="S1540:T1540"/>
    <mergeCell ref="U1540:W1540"/>
    <mergeCell ref="V1543:W1543"/>
    <mergeCell ref="S1544:T1544"/>
    <mergeCell ref="U1544:W1544"/>
    <mergeCell ref="S1546:T1546"/>
    <mergeCell ref="U1546:W1546"/>
    <mergeCell ref="V1553:W1553"/>
    <mergeCell ref="V1554:W1554"/>
    <mergeCell ref="S1471:W1471"/>
    <mergeCell ref="V1475:W1475"/>
    <mergeCell ref="V1480:W1480"/>
    <mergeCell ref="S1481:T1481"/>
    <mergeCell ref="U1481:W1481"/>
    <mergeCell ref="V1484:W1484"/>
    <mergeCell ref="S1460:T1460"/>
    <mergeCell ref="U1460:W1460"/>
    <mergeCell ref="S1462:T1462"/>
    <mergeCell ref="U1462:W1462"/>
    <mergeCell ref="S1456:W1456"/>
    <mergeCell ref="V1514:W1514"/>
    <mergeCell ref="V1503:W1503"/>
    <mergeCell ref="V1513:W1513"/>
    <mergeCell ref="S1515:T1515"/>
    <mergeCell ref="U1515:W1515"/>
    <mergeCell ref="V1509:W1509"/>
    <mergeCell ref="V1510:W1510"/>
    <mergeCell ref="V1511:W1511"/>
    <mergeCell ref="V1512:W1512"/>
    <mergeCell ref="V1507:W1507"/>
    <mergeCell ref="V1508:W1508"/>
    <mergeCell ref="V1436:W1436"/>
    <mergeCell ref="V1437:W1437"/>
    <mergeCell ref="V1438:W1438"/>
    <mergeCell ref="V1439:W1439"/>
    <mergeCell ref="V1440:W1440"/>
    <mergeCell ref="V1441:W1441"/>
    <mergeCell ref="V1425:W1425"/>
    <mergeCell ref="V1435:W1435"/>
    <mergeCell ref="U1402:W1402"/>
    <mergeCell ref="V1423:W1423"/>
    <mergeCell ref="V1424:W1424"/>
    <mergeCell ref="V1426:W1426"/>
    <mergeCell ref="V1427:W1427"/>
    <mergeCell ref="V1428:W1428"/>
    <mergeCell ref="V1429:W1429"/>
    <mergeCell ref="V1430:W1430"/>
    <mergeCell ref="V1431:W1431"/>
    <mergeCell ref="V1432:W1432"/>
    <mergeCell ref="V1433:W1433"/>
    <mergeCell ref="V1434:W1434"/>
    <mergeCell ref="V1421:W1421"/>
    <mergeCell ref="V1406:W1406"/>
    <mergeCell ref="V1411:W1411"/>
    <mergeCell ref="V1405:W1405"/>
    <mergeCell ref="V1407:W1407"/>
    <mergeCell ref="V1422:W1422"/>
    <mergeCell ref="S1286:T1286"/>
    <mergeCell ref="U1286:W1286"/>
    <mergeCell ref="S1288:T1288"/>
    <mergeCell ref="U1288:W1288"/>
    <mergeCell ref="B1295:W1295"/>
    <mergeCell ref="S1296:W1296"/>
    <mergeCell ref="S1297:W1297"/>
    <mergeCell ref="V1301:W1301"/>
    <mergeCell ref="V1326:W1326"/>
    <mergeCell ref="V1327:W1327"/>
    <mergeCell ref="V1321:W1321"/>
    <mergeCell ref="V1331:W1331"/>
    <mergeCell ref="S1332:T1332"/>
    <mergeCell ref="U1332:W1332"/>
    <mergeCell ref="S1334:T1334"/>
    <mergeCell ref="U1334:W1334"/>
    <mergeCell ref="V1361:W1361"/>
    <mergeCell ref="V1356:W1356"/>
    <mergeCell ref="V1360:W1360"/>
    <mergeCell ref="V1341:W1341"/>
    <mergeCell ref="V1346:W1346"/>
    <mergeCell ref="S1342:T1342"/>
    <mergeCell ref="U1342:W1342"/>
    <mergeCell ref="V1345:W1345"/>
    <mergeCell ref="V1347:W1347"/>
    <mergeCell ref="V1348:W1348"/>
    <mergeCell ref="V1349:W1349"/>
    <mergeCell ref="V1350:W1350"/>
    <mergeCell ref="V1351:W1351"/>
    <mergeCell ref="V1352:W1352"/>
    <mergeCell ref="V1353:W1353"/>
    <mergeCell ref="V1354:W1354"/>
    <mergeCell ref="V1285:W1285"/>
    <mergeCell ref="V1277:W1277"/>
    <mergeCell ref="V1278:W1278"/>
    <mergeCell ref="V1279:W1279"/>
    <mergeCell ref="V1280:W1280"/>
    <mergeCell ref="V1272:W1272"/>
    <mergeCell ref="V1273:W1273"/>
    <mergeCell ref="V1263:W1263"/>
    <mergeCell ref="V1264:W1264"/>
    <mergeCell ref="V1265:W1265"/>
    <mergeCell ref="V1266:W1266"/>
    <mergeCell ref="V1267:W1267"/>
    <mergeCell ref="V1268:W1268"/>
    <mergeCell ref="V1269:W1269"/>
    <mergeCell ref="V1270:W1270"/>
    <mergeCell ref="V1271:W1271"/>
    <mergeCell ref="V1274:W1274"/>
    <mergeCell ref="V1275:W1275"/>
    <mergeCell ref="V1276:W1276"/>
    <mergeCell ref="V1256:W1256"/>
    <mergeCell ref="V1257:W1257"/>
    <mergeCell ref="V1262:W1262"/>
    <mergeCell ref="S1243:T1243"/>
    <mergeCell ref="U1243:W1243"/>
    <mergeCell ref="V1246:W1246"/>
    <mergeCell ref="S1247:T1247"/>
    <mergeCell ref="U1247:W1247"/>
    <mergeCell ref="S1249:T1249"/>
    <mergeCell ref="U1249:W1249"/>
    <mergeCell ref="S1258:T1258"/>
    <mergeCell ref="U1258:W1258"/>
    <mergeCell ref="V1261:W1261"/>
    <mergeCell ref="V1281:W1281"/>
    <mergeCell ref="V1282:W1282"/>
    <mergeCell ref="V1283:W1283"/>
    <mergeCell ref="V1284:W1284"/>
    <mergeCell ref="S1222:T1222"/>
    <mergeCell ref="U1222:W1222"/>
    <mergeCell ref="V1236:W1236"/>
    <mergeCell ref="V1237:W1237"/>
    <mergeCell ref="V1241:W1241"/>
    <mergeCell ref="V1242:W1242"/>
    <mergeCell ref="V1231:W1231"/>
    <mergeCell ref="V1232:W1232"/>
    <mergeCell ref="V1233:W1233"/>
    <mergeCell ref="V1234:W1234"/>
    <mergeCell ref="V1235:W1235"/>
    <mergeCell ref="V1225:W1225"/>
    <mergeCell ref="V1226:W1226"/>
    <mergeCell ref="V1227:W1227"/>
    <mergeCell ref="S1228:W1228"/>
    <mergeCell ref="S1229:W1229"/>
    <mergeCell ref="V1238:W1238"/>
    <mergeCell ref="V1239:W1239"/>
    <mergeCell ref="V1240:W1240"/>
    <mergeCell ref="S1198:T1198"/>
    <mergeCell ref="U1198:W1198"/>
    <mergeCell ref="V1217:W1217"/>
    <mergeCell ref="V1221:W1221"/>
    <mergeCell ref="V1212:W1212"/>
    <mergeCell ref="V1213:W1213"/>
    <mergeCell ref="S1202:T1202"/>
    <mergeCell ref="U1202:W1202"/>
    <mergeCell ref="V1205:W1205"/>
    <mergeCell ref="V1206:W1206"/>
    <mergeCell ref="V1207:W1207"/>
    <mergeCell ref="V1208:W1208"/>
    <mergeCell ref="V1209:W1209"/>
    <mergeCell ref="V1210:W1210"/>
    <mergeCell ref="V1211:W1211"/>
    <mergeCell ref="V1214:W1214"/>
    <mergeCell ref="V1215:W1215"/>
    <mergeCell ref="V1216:W1216"/>
    <mergeCell ref="V1218:W1218"/>
    <mergeCell ref="V1219:W1219"/>
    <mergeCell ref="V1220:W1220"/>
    <mergeCell ref="S1111:T1111"/>
    <mergeCell ref="U1111:W1111"/>
    <mergeCell ref="S1118:W1118"/>
    <mergeCell ref="S1119:W1119"/>
    <mergeCell ref="B1122:W1122"/>
    <mergeCell ref="S1123:W1123"/>
    <mergeCell ref="S1124:W1124"/>
    <mergeCell ref="V1163:W1163"/>
    <mergeCell ref="V1145:W1145"/>
    <mergeCell ref="V1128:W1128"/>
    <mergeCell ref="V1133:W1133"/>
    <mergeCell ref="V1134:W1134"/>
    <mergeCell ref="S1135:T1135"/>
    <mergeCell ref="U1135:W1135"/>
    <mergeCell ref="S1137:T1137"/>
    <mergeCell ref="U1137:W1137"/>
    <mergeCell ref="V1144:W1144"/>
    <mergeCell ref="V1146:W1146"/>
    <mergeCell ref="V1147:W1147"/>
    <mergeCell ref="S1148:T1148"/>
    <mergeCell ref="U1148:W1148"/>
    <mergeCell ref="S1150:T1150"/>
    <mergeCell ref="U1150:W1150"/>
    <mergeCell ref="B1157:W1157"/>
    <mergeCell ref="S1158:W1158"/>
    <mergeCell ref="S1159:W1159"/>
    <mergeCell ref="V1102:W1102"/>
    <mergeCell ref="V1084:W1084"/>
    <mergeCell ref="V1085:W1085"/>
    <mergeCell ref="V1086:W1086"/>
    <mergeCell ref="V1087:W1087"/>
    <mergeCell ref="V1088:W1088"/>
    <mergeCell ref="V1092:W1092"/>
    <mergeCell ref="S1093:T1093"/>
    <mergeCell ref="U1093:W1093"/>
    <mergeCell ref="S1095:T1095"/>
    <mergeCell ref="U1095:W1095"/>
    <mergeCell ref="V1103:W1103"/>
    <mergeCell ref="S1104:T1104"/>
    <mergeCell ref="U1104:W1104"/>
    <mergeCell ref="V1107:W1107"/>
    <mergeCell ref="V1108:W1108"/>
    <mergeCell ref="S1109:T1109"/>
    <mergeCell ref="U1109:W1109"/>
    <mergeCell ref="S1089:T1089"/>
    <mergeCell ref="U1089:W1089"/>
    <mergeCell ref="S1047:W1047"/>
    <mergeCell ref="S1048:W1048"/>
    <mergeCell ref="V1052:W1052"/>
    <mergeCell ref="V1053:W1053"/>
    <mergeCell ref="S1054:T1054"/>
    <mergeCell ref="U1054:W1054"/>
    <mergeCell ref="V1057:W1057"/>
    <mergeCell ref="V1078:W1078"/>
    <mergeCell ref="V1079:W1079"/>
    <mergeCell ref="V1080:W1080"/>
    <mergeCell ref="V1081:W1081"/>
    <mergeCell ref="V1082:W1082"/>
    <mergeCell ref="V1083:W1083"/>
    <mergeCell ref="V1069:W1069"/>
    <mergeCell ref="V1070:W1070"/>
    <mergeCell ref="V1061:W1061"/>
    <mergeCell ref="S1058:T1058"/>
    <mergeCell ref="U1058:W1058"/>
    <mergeCell ref="V1062:W1062"/>
    <mergeCell ref="V1063:W1063"/>
    <mergeCell ref="V1064:W1064"/>
    <mergeCell ref="V1065:W1065"/>
    <mergeCell ref="V1066:W1066"/>
    <mergeCell ref="V1067:W1067"/>
    <mergeCell ref="V1068:W1068"/>
    <mergeCell ref="V1071:W1071"/>
    <mergeCell ref="V1072:W1072"/>
    <mergeCell ref="S1073:T1073"/>
    <mergeCell ref="U1073:W1073"/>
    <mergeCell ref="V1076:W1076"/>
    <mergeCell ref="V1077:W1077"/>
    <mergeCell ref="V1016:W1016"/>
    <mergeCell ref="V1017:W1017"/>
    <mergeCell ref="V1018:W1018"/>
    <mergeCell ref="V1019:W1019"/>
    <mergeCell ref="V1020:W1020"/>
    <mergeCell ref="V1009:W1009"/>
    <mergeCell ref="V1010:W1010"/>
    <mergeCell ref="V1011:W1011"/>
    <mergeCell ref="V1012:W1012"/>
    <mergeCell ref="V1013:W1013"/>
    <mergeCell ref="V1014:W1014"/>
    <mergeCell ref="V998:W998"/>
    <mergeCell ref="V1003:W1003"/>
    <mergeCell ref="V1007:W1007"/>
    <mergeCell ref="V1008:W1008"/>
    <mergeCell ref="V995:W995"/>
    <mergeCell ref="V996:W996"/>
    <mergeCell ref="V997:W997"/>
    <mergeCell ref="V999:W999"/>
    <mergeCell ref="V1000:W1000"/>
    <mergeCell ref="V1001:W1001"/>
    <mergeCell ref="V1002:W1002"/>
    <mergeCell ref="V1004:W1004"/>
    <mergeCell ref="V1005:W1005"/>
    <mergeCell ref="V1006:W1006"/>
    <mergeCell ref="V960:W960"/>
    <mergeCell ref="V961:W961"/>
    <mergeCell ref="V962:W962"/>
    <mergeCell ref="V954:W954"/>
    <mergeCell ref="V955:W955"/>
    <mergeCell ref="V956:W956"/>
    <mergeCell ref="V981:W981"/>
    <mergeCell ref="S977:W977"/>
    <mergeCell ref="V986:W986"/>
    <mergeCell ref="S987:T987"/>
    <mergeCell ref="U987:W987"/>
    <mergeCell ref="V990:W990"/>
    <mergeCell ref="V991:W991"/>
    <mergeCell ref="V992:W992"/>
    <mergeCell ref="V993:W993"/>
    <mergeCell ref="V994:W994"/>
    <mergeCell ref="V1015:W1015"/>
    <mergeCell ref="V860:W860"/>
    <mergeCell ref="V885:W885"/>
    <mergeCell ref="V921:W921"/>
    <mergeCell ref="V931:W931"/>
    <mergeCell ref="V917:W917"/>
    <mergeCell ref="V903:W903"/>
    <mergeCell ref="S904:T904"/>
    <mergeCell ref="U904:W904"/>
    <mergeCell ref="S906:T906"/>
    <mergeCell ref="U906:W906"/>
    <mergeCell ref="V913:W913"/>
    <mergeCell ref="S914:T914"/>
    <mergeCell ref="U914:W914"/>
    <mergeCell ref="V918:W918"/>
    <mergeCell ref="V919:W919"/>
    <mergeCell ref="V920:W920"/>
    <mergeCell ref="V922:W922"/>
    <mergeCell ref="V923:W923"/>
    <mergeCell ref="V924:W924"/>
    <mergeCell ref="V894:W894"/>
    <mergeCell ref="S895:T895"/>
    <mergeCell ref="U895:W895"/>
    <mergeCell ref="V898:W898"/>
    <mergeCell ref="V899:W899"/>
    <mergeCell ref="S900:T900"/>
    <mergeCell ref="U900:W900"/>
    <mergeCell ref="V925:W925"/>
    <mergeCell ref="V926:W926"/>
    <mergeCell ref="V927:W927"/>
    <mergeCell ref="V928:W928"/>
    <mergeCell ref="V929:W929"/>
    <mergeCell ref="V930:W930"/>
    <mergeCell ref="V834:W834"/>
    <mergeCell ref="V835:W835"/>
    <mergeCell ref="V849:W849"/>
    <mergeCell ref="V850:W850"/>
    <mergeCell ref="V851:W851"/>
    <mergeCell ref="V852:W852"/>
    <mergeCell ref="V853:W853"/>
    <mergeCell ref="V854:W854"/>
    <mergeCell ref="V843:W843"/>
    <mergeCell ref="V844:W844"/>
    <mergeCell ref="V845:W845"/>
    <mergeCell ref="V846:W846"/>
    <mergeCell ref="V847:W847"/>
    <mergeCell ref="V848:W848"/>
    <mergeCell ref="V837:W837"/>
    <mergeCell ref="V838:W838"/>
    <mergeCell ref="V839:W839"/>
    <mergeCell ref="V840:W840"/>
    <mergeCell ref="V841:W841"/>
    <mergeCell ref="V842:W842"/>
    <mergeCell ref="V807:W807"/>
    <mergeCell ref="V808:W808"/>
    <mergeCell ref="V809:W809"/>
    <mergeCell ref="V810:W810"/>
    <mergeCell ref="V811:W811"/>
    <mergeCell ref="V812:W812"/>
    <mergeCell ref="V813:W813"/>
    <mergeCell ref="S814:W814"/>
    <mergeCell ref="S815:W815"/>
    <mergeCell ref="V830:W830"/>
    <mergeCell ref="V831:W831"/>
    <mergeCell ref="V832:W832"/>
    <mergeCell ref="V833:W833"/>
    <mergeCell ref="V824:W824"/>
    <mergeCell ref="V825:W825"/>
    <mergeCell ref="V826:W826"/>
    <mergeCell ref="V827:W827"/>
    <mergeCell ref="V828:W828"/>
    <mergeCell ref="V829:W829"/>
    <mergeCell ref="V817:W817"/>
    <mergeCell ref="V818:W818"/>
    <mergeCell ref="V822:W822"/>
    <mergeCell ref="V823:W823"/>
    <mergeCell ref="V819:W819"/>
    <mergeCell ref="V820:W820"/>
    <mergeCell ref="V821:W821"/>
    <mergeCell ref="S776:T776"/>
    <mergeCell ref="U776:W776"/>
    <mergeCell ref="V779:W779"/>
    <mergeCell ref="S756:T756"/>
    <mergeCell ref="U756:W756"/>
    <mergeCell ref="V754:W754"/>
    <mergeCell ref="V755:W755"/>
    <mergeCell ref="V759:W759"/>
    <mergeCell ref="S760:T760"/>
    <mergeCell ref="U760:W760"/>
    <mergeCell ref="V763:W763"/>
    <mergeCell ref="V764:W764"/>
    <mergeCell ref="V765:W765"/>
    <mergeCell ref="V766:W766"/>
    <mergeCell ref="S767:T767"/>
    <mergeCell ref="U767:W767"/>
    <mergeCell ref="V770:W770"/>
    <mergeCell ref="S771:T771"/>
    <mergeCell ref="U771:W771"/>
    <mergeCell ref="V774:W774"/>
    <mergeCell ref="V775:W775"/>
    <mergeCell ref="V728:W728"/>
    <mergeCell ref="V729:W729"/>
    <mergeCell ref="V730:W730"/>
    <mergeCell ref="V731:W731"/>
    <mergeCell ref="V732:W732"/>
    <mergeCell ref="V733:W733"/>
    <mergeCell ref="V722:W722"/>
    <mergeCell ref="V723:W723"/>
    <mergeCell ref="V727:W727"/>
    <mergeCell ref="V716:W716"/>
    <mergeCell ref="V717:W717"/>
    <mergeCell ref="V718:W718"/>
    <mergeCell ref="V719:W719"/>
    <mergeCell ref="V720:W720"/>
    <mergeCell ref="V721:W721"/>
    <mergeCell ref="S725:W725"/>
    <mergeCell ref="V749:W749"/>
    <mergeCell ref="S745:W745"/>
    <mergeCell ref="S734:T734"/>
    <mergeCell ref="U734:W734"/>
    <mergeCell ref="S736:T736"/>
    <mergeCell ref="U736:W736"/>
    <mergeCell ref="B743:W743"/>
    <mergeCell ref="S744:W744"/>
    <mergeCell ref="S724:W724"/>
    <mergeCell ref="V699:W699"/>
    <mergeCell ref="V700:W700"/>
    <mergeCell ref="V701:W701"/>
    <mergeCell ref="V702:W702"/>
    <mergeCell ref="V703:W703"/>
    <mergeCell ref="V692:W692"/>
    <mergeCell ref="V693:W693"/>
    <mergeCell ref="V694:W694"/>
    <mergeCell ref="V695:W695"/>
    <mergeCell ref="V696:W696"/>
    <mergeCell ref="V697:W697"/>
    <mergeCell ref="V686:W686"/>
    <mergeCell ref="V687:W687"/>
    <mergeCell ref="V688:W688"/>
    <mergeCell ref="V689:W689"/>
    <mergeCell ref="V690:W690"/>
    <mergeCell ref="V691:W691"/>
    <mergeCell ref="V675:W675"/>
    <mergeCell ref="V676:W676"/>
    <mergeCell ref="V677:W677"/>
    <mergeCell ref="V678:W678"/>
    <mergeCell ref="V679:W679"/>
    <mergeCell ref="V669:W669"/>
    <mergeCell ref="V670:W670"/>
    <mergeCell ref="V671:W671"/>
    <mergeCell ref="V655:W655"/>
    <mergeCell ref="V665:W665"/>
    <mergeCell ref="V660:W660"/>
    <mergeCell ref="V661:W661"/>
    <mergeCell ref="V662:W662"/>
    <mergeCell ref="V663:W663"/>
    <mergeCell ref="V664:W664"/>
    <mergeCell ref="V666:W666"/>
    <mergeCell ref="V667:W667"/>
    <mergeCell ref="V668:W668"/>
    <mergeCell ref="V672:W672"/>
    <mergeCell ref="V673:W673"/>
    <mergeCell ref="V674:W674"/>
    <mergeCell ref="V562:W562"/>
    <mergeCell ref="V563:W563"/>
    <mergeCell ref="V564:W564"/>
    <mergeCell ref="V565:W565"/>
    <mergeCell ref="V566:W566"/>
    <mergeCell ref="V567:W567"/>
    <mergeCell ref="S592:T592"/>
    <mergeCell ref="U592:W592"/>
    <mergeCell ref="V586:W586"/>
    <mergeCell ref="V591:W591"/>
    <mergeCell ref="V625:W625"/>
    <mergeCell ref="V626:W626"/>
    <mergeCell ref="V627:W627"/>
    <mergeCell ref="V628:W628"/>
    <mergeCell ref="V620:W620"/>
    <mergeCell ref="V621:W621"/>
    <mergeCell ref="V607:W607"/>
    <mergeCell ref="V612:W612"/>
    <mergeCell ref="S613:T613"/>
    <mergeCell ref="U613:W613"/>
    <mergeCell ref="V616:W616"/>
    <mergeCell ref="V603:W603"/>
    <mergeCell ref="V604:W604"/>
    <mergeCell ref="V605:W605"/>
    <mergeCell ref="V606:W606"/>
    <mergeCell ref="S608:T608"/>
    <mergeCell ref="U608:W608"/>
    <mergeCell ref="V611:W611"/>
    <mergeCell ref="S617:T617"/>
    <mergeCell ref="B580:W580"/>
    <mergeCell ref="S581:W581"/>
    <mergeCell ref="V511:W511"/>
    <mergeCell ref="V533:W533"/>
    <mergeCell ref="V534:W534"/>
    <mergeCell ref="V535:W535"/>
    <mergeCell ref="V536:W536"/>
    <mergeCell ref="V526:W526"/>
    <mergeCell ref="V530:W530"/>
    <mergeCell ref="V523:W523"/>
    <mergeCell ref="V524:W524"/>
    <mergeCell ref="V525:W525"/>
    <mergeCell ref="V527:W527"/>
    <mergeCell ref="V528:W528"/>
    <mergeCell ref="V529:W529"/>
    <mergeCell ref="V538:W538"/>
    <mergeCell ref="V539:W539"/>
    <mergeCell ref="V540:W540"/>
    <mergeCell ref="V556:W556"/>
    <mergeCell ref="V550:W550"/>
    <mergeCell ref="V551:W551"/>
    <mergeCell ref="V552:W552"/>
    <mergeCell ref="V553:W553"/>
    <mergeCell ref="V554:W554"/>
    <mergeCell ref="V555:W555"/>
    <mergeCell ref="V544:W544"/>
    <mergeCell ref="V545:W545"/>
    <mergeCell ref="V546:W546"/>
    <mergeCell ref="V547:W547"/>
    <mergeCell ref="V548:W548"/>
    <mergeCell ref="V549:W549"/>
    <mergeCell ref="V470:W470"/>
    <mergeCell ref="S471:T471"/>
    <mergeCell ref="U471:W471"/>
    <mergeCell ref="V474:W474"/>
    <mergeCell ref="S475:T475"/>
    <mergeCell ref="U475:W475"/>
    <mergeCell ref="S479:T479"/>
    <mergeCell ref="U479:W479"/>
    <mergeCell ref="S483:T483"/>
    <mergeCell ref="U483:W483"/>
    <mergeCell ref="S496:T496"/>
    <mergeCell ref="U496:W496"/>
    <mergeCell ref="V503:W503"/>
    <mergeCell ref="V504:W504"/>
    <mergeCell ref="S505:T505"/>
    <mergeCell ref="V508:W508"/>
    <mergeCell ref="V510:W510"/>
    <mergeCell ref="V405:W405"/>
    <mergeCell ref="V402:W402"/>
    <mergeCell ref="V403:W403"/>
    <mergeCell ref="V404:W404"/>
    <mergeCell ref="V406:W406"/>
    <mergeCell ref="V407:W407"/>
    <mergeCell ref="V408:W408"/>
    <mergeCell ref="V409:W409"/>
    <mergeCell ref="V410:W410"/>
    <mergeCell ref="V411:W411"/>
    <mergeCell ref="V412:W412"/>
    <mergeCell ref="V413:W413"/>
    <mergeCell ref="V414:W414"/>
    <mergeCell ref="V416:W416"/>
    <mergeCell ref="V465:W465"/>
    <mergeCell ref="V466:W466"/>
    <mergeCell ref="V467:W467"/>
    <mergeCell ref="S425:W425"/>
    <mergeCell ref="S439:T439"/>
    <mergeCell ref="U439:W439"/>
    <mergeCell ref="S441:T441"/>
    <mergeCell ref="U441:W441"/>
    <mergeCell ref="B448:W448"/>
    <mergeCell ref="S449:W449"/>
    <mergeCell ref="S450:W450"/>
    <mergeCell ref="V459:W459"/>
    <mergeCell ref="V460:W460"/>
    <mergeCell ref="V461:W461"/>
    <mergeCell ref="V462:W462"/>
    <mergeCell ref="V463:W463"/>
    <mergeCell ref="V464:W464"/>
    <mergeCell ref="V438:W438"/>
    <mergeCell ref="S299:T299"/>
    <mergeCell ref="U299:W299"/>
    <mergeCell ref="S301:T301"/>
    <mergeCell ref="U301:W301"/>
    <mergeCell ref="V315:W315"/>
    <mergeCell ref="V319:W319"/>
    <mergeCell ref="V309:W309"/>
    <mergeCell ref="V310:W310"/>
    <mergeCell ref="V311:W311"/>
    <mergeCell ref="V312:W312"/>
    <mergeCell ref="V313:W313"/>
    <mergeCell ref="V314:W314"/>
    <mergeCell ref="V308:W308"/>
    <mergeCell ref="V316:W316"/>
    <mergeCell ref="V317:W317"/>
    <mergeCell ref="V318:W318"/>
    <mergeCell ref="V339:W339"/>
    <mergeCell ref="V333:W333"/>
    <mergeCell ref="V334:W334"/>
    <mergeCell ref="V335:W335"/>
    <mergeCell ref="V336:W336"/>
    <mergeCell ref="V337:W337"/>
    <mergeCell ref="V338:W338"/>
    <mergeCell ref="V329:W329"/>
    <mergeCell ref="V330:W330"/>
    <mergeCell ref="V331:W331"/>
    <mergeCell ref="V332:W332"/>
    <mergeCell ref="S321:W321"/>
    <mergeCell ref="S322:W322"/>
    <mergeCell ref="V324:W324"/>
    <mergeCell ref="V325:W325"/>
    <mergeCell ref="V326:W326"/>
    <mergeCell ref="V225:W225"/>
    <mergeCell ref="S226:T226"/>
    <mergeCell ref="U226:W226"/>
    <mergeCell ref="S228:T228"/>
    <mergeCell ref="U228:W228"/>
    <mergeCell ref="B213:W213"/>
    <mergeCell ref="S214:W214"/>
    <mergeCell ref="S215:W215"/>
    <mergeCell ref="V219:W219"/>
    <mergeCell ref="S261:T261"/>
    <mergeCell ref="U261:W261"/>
    <mergeCell ref="V260:W260"/>
    <mergeCell ref="V268:W268"/>
    <mergeCell ref="V269:W269"/>
    <mergeCell ref="V270:W270"/>
    <mergeCell ref="S271:T271"/>
    <mergeCell ref="U271:W271"/>
    <mergeCell ref="V238:W238"/>
    <mergeCell ref="V239:W239"/>
    <mergeCell ref="S240:T240"/>
    <mergeCell ref="U240:W240"/>
    <mergeCell ref="S242:T242"/>
    <mergeCell ref="U242:W242"/>
    <mergeCell ref="B249:W249"/>
    <mergeCell ref="S250:W250"/>
    <mergeCell ref="S251:W251"/>
    <mergeCell ref="V255:W255"/>
    <mergeCell ref="V264:W264"/>
    <mergeCell ref="V265:W265"/>
    <mergeCell ref="V266:W266"/>
    <mergeCell ref="V267:W267"/>
    <mergeCell ref="V203:W203"/>
    <mergeCell ref="V197:W197"/>
    <mergeCell ref="V198:W198"/>
    <mergeCell ref="V202:W202"/>
    <mergeCell ref="V191:W191"/>
    <mergeCell ref="V192:W192"/>
    <mergeCell ref="V193:W193"/>
    <mergeCell ref="V194:W194"/>
    <mergeCell ref="V195:W195"/>
    <mergeCell ref="V196:W196"/>
    <mergeCell ref="S199:W199"/>
    <mergeCell ref="S200:W200"/>
    <mergeCell ref="S204:T204"/>
    <mergeCell ref="U204:W204"/>
    <mergeCell ref="S206:T206"/>
    <mergeCell ref="U206:W206"/>
    <mergeCell ref="V224:W224"/>
    <mergeCell ref="V184:W184"/>
    <mergeCell ref="V188:W188"/>
    <mergeCell ref="V189:W189"/>
    <mergeCell ref="V190:W190"/>
    <mergeCell ref="V179:W179"/>
    <mergeCell ref="V180:W180"/>
    <mergeCell ref="V172:W172"/>
    <mergeCell ref="V173:W173"/>
    <mergeCell ref="V174:W174"/>
    <mergeCell ref="V175:W175"/>
    <mergeCell ref="V169:W169"/>
    <mergeCell ref="V170:W170"/>
    <mergeCell ref="V171:W171"/>
    <mergeCell ref="V176:W176"/>
    <mergeCell ref="V177:W177"/>
    <mergeCell ref="V178:W178"/>
    <mergeCell ref="V181:W181"/>
    <mergeCell ref="V182:W182"/>
    <mergeCell ref="V183:W183"/>
    <mergeCell ref="V185:W185"/>
    <mergeCell ref="V186:W186"/>
    <mergeCell ref="V187:W187"/>
    <mergeCell ref="V76:W76"/>
    <mergeCell ref="V77:W77"/>
    <mergeCell ref="V138:W138"/>
    <mergeCell ref="S141:T141"/>
    <mergeCell ref="U141:W141"/>
    <mergeCell ref="V132:W132"/>
    <mergeCell ref="V133:W133"/>
    <mergeCell ref="V134:W134"/>
    <mergeCell ref="V135:W135"/>
    <mergeCell ref="V136:W136"/>
    <mergeCell ref="V137:W137"/>
    <mergeCell ref="V125:W125"/>
    <mergeCell ref="V126:W126"/>
    <mergeCell ref="V130:W130"/>
    <mergeCell ref="V131:W131"/>
    <mergeCell ref="S158:T158"/>
    <mergeCell ref="U158:W158"/>
    <mergeCell ref="V81:W81"/>
    <mergeCell ref="V86:W86"/>
    <mergeCell ref="V99:W99"/>
    <mergeCell ref="V100:W100"/>
    <mergeCell ref="V78:W78"/>
    <mergeCell ref="V79:W79"/>
    <mergeCell ref="V80:W80"/>
    <mergeCell ref="V82:W82"/>
    <mergeCell ref="V83:W83"/>
    <mergeCell ref="V84:W84"/>
    <mergeCell ref="V85:W85"/>
    <mergeCell ref="V87:W87"/>
    <mergeCell ref="S88:T88"/>
    <mergeCell ref="U88:W88"/>
    <mergeCell ref="S92:T92"/>
    <mergeCell ref="S1:W1"/>
    <mergeCell ref="S2:W2"/>
    <mergeCell ref="V6:W6"/>
    <mergeCell ref="V11:W11"/>
    <mergeCell ref="V15:W15"/>
    <mergeCell ref="V16:W16"/>
    <mergeCell ref="V17:W17"/>
    <mergeCell ref="V2391:W2391"/>
    <mergeCell ref="V2396:W2396"/>
    <mergeCell ref="V31:W31"/>
    <mergeCell ref="V32:W32"/>
    <mergeCell ref="V33:W33"/>
    <mergeCell ref="V34:W34"/>
    <mergeCell ref="V35:W35"/>
    <mergeCell ref="V36:W36"/>
    <mergeCell ref="V27:W27"/>
    <mergeCell ref="S28:T28"/>
    <mergeCell ref="U28:W28"/>
    <mergeCell ref="V18:W18"/>
    <mergeCell ref="V19:W19"/>
    <mergeCell ref="V20:W20"/>
    <mergeCell ref="V21:W21"/>
    <mergeCell ref="V22:W22"/>
    <mergeCell ref="V23:W23"/>
    <mergeCell ref="V12:W12"/>
    <mergeCell ref="V13:W13"/>
    <mergeCell ref="V14:W14"/>
    <mergeCell ref="S24:T24"/>
    <mergeCell ref="U24:W24"/>
    <mergeCell ref="B56:W56"/>
    <mergeCell ref="S57:W57"/>
    <mergeCell ref="S58:W58"/>
    <mergeCell ref="V62:W62"/>
    <mergeCell ref="V67:W67"/>
    <mergeCell ref="S68:T68"/>
    <mergeCell ref="U68:W68"/>
    <mergeCell ref="V71:W71"/>
    <mergeCell ref="V72:W72"/>
    <mergeCell ref="V73:W73"/>
    <mergeCell ref="V74:W74"/>
    <mergeCell ref="V75:W75"/>
    <mergeCell ref="S43:T43"/>
    <mergeCell ref="U43:W43"/>
    <mergeCell ref="V46:W46"/>
    <mergeCell ref="S47:T47"/>
    <mergeCell ref="U47:W47"/>
    <mergeCell ref="S49:T49"/>
    <mergeCell ref="U49:W49"/>
    <mergeCell ref="V37:W37"/>
    <mergeCell ref="V38:W38"/>
    <mergeCell ref="V39:W39"/>
    <mergeCell ref="V40:W40"/>
    <mergeCell ref="V41:W41"/>
    <mergeCell ref="V42:W42"/>
    <mergeCell ref="U92:W92"/>
    <mergeCell ref="S96:T96"/>
    <mergeCell ref="U96:W96"/>
    <mergeCell ref="S101:T101"/>
    <mergeCell ref="U101:W101"/>
    <mergeCell ref="V107:W107"/>
    <mergeCell ref="V91:W91"/>
    <mergeCell ref="V95:W95"/>
    <mergeCell ref="V104:W104"/>
    <mergeCell ref="V105:W105"/>
    <mergeCell ref="V106:W106"/>
    <mergeCell ref="S108:T108"/>
    <mergeCell ref="U108:W108"/>
    <mergeCell ref="V111:W111"/>
    <mergeCell ref="V112:W112"/>
    <mergeCell ref="V113:W113"/>
    <mergeCell ref="V115:W115"/>
    <mergeCell ref="V116:W116"/>
    <mergeCell ref="V117:W117"/>
    <mergeCell ref="V120:W120"/>
    <mergeCell ref="V121:W121"/>
    <mergeCell ref="S122:T122"/>
    <mergeCell ref="U122:W122"/>
    <mergeCell ref="S127:W127"/>
    <mergeCell ref="S128:W128"/>
    <mergeCell ref="S139:T139"/>
    <mergeCell ref="U139:W139"/>
    <mergeCell ref="V148:W148"/>
    <mergeCell ref="V118:W118"/>
    <mergeCell ref="V119:W119"/>
    <mergeCell ref="V114:W114"/>
    <mergeCell ref="V235:W235"/>
    <mergeCell ref="V236:W236"/>
    <mergeCell ref="V237:W237"/>
    <mergeCell ref="V167:W167"/>
    <mergeCell ref="V168:W168"/>
    <mergeCell ref="V154:W154"/>
    <mergeCell ref="V155:W155"/>
    <mergeCell ref="V156:W156"/>
    <mergeCell ref="V157:W157"/>
    <mergeCell ref="V149:W149"/>
    <mergeCell ref="V150:W150"/>
    <mergeCell ref="S151:T151"/>
    <mergeCell ref="U151:W151"/>
    <mergeCell ref="V161:W161"/>
    <mergeCell ref="V162:W162"/>
    <mergeCell ref="S163:T163"/>
    <mergeCell ref="U163:W163"/>
    <mergeCell ref="V166:W166"/>
    <mergeCell ref="V274:W274"/>
    <mergeCell ref="S275:T275"/>
    <mergeCell ref="U275:W275"/>
    <mergeCell ref="V278:W278"/>
    <mergeCell ref="V279:W279"/>
    <mergeCell ref="V280:W280"/>
    <mergeCell ref="V282:W282"/>
    <mergeCell ref="V283:W283"/>
    <mergeCell ref="V284:W284"/>
    <mergeCell ref="S285:T285"/>
    <mergeCell ref="U285:W285"/>
    <mergeCell ref="V292:W292"/>
    <mergeCell ref="V293:W293"/>
    <mergeCell ref="V294:W294"/>
    <mergeCell ref="S295:T295"/>
    <mergeCell ref="U295:W295"/>
    <mergeCell ref="V298:W298"/>
    <mergeCell ref="V288:W288"/>
    <mergeCell ref="V289:W289"/>
    <mergeCell ref="V290:W290"/>
    <mergeCell ref="V291:W291"/>
    <mergeCell ref="V281:W281"/>
    <mergeCell ref="V327:W327"/>
    <mergeCell ref="V328:W328"/>
    <mergeCell ref="V341:W341"/>
    <mergeCell ref="V342:W342"/>
    <mergeCell ref="S343:T343"/>
    <mergeCell ref="U343:W343"/>
    <mergeCell ref="S345:T345"/>
    <mergeCell ref="U345:W345"/>
    <mergeCell ref="B352:W352"/>
    <mergeCell ref="S353:W353"/>
    <mergeCell ref="S354:W354"/>
    <mergeCell ref="V363:W363"/>
    <mergeCell ref="V340:W340"/>
    <mergeCell ref="V358:W358"/>
    <mergeCell ref="V364:W364"/>
    <mergeCell ref="V365:W365"/>
    <mergeCell ref="S366:T366"/>
    <mergeCell ref="U366:W366"/>
    <mergeCell ref="V369:W369"/>
    <mergeCell ref="S370:T370"/>
    <mergeCell ref="U370:W370"/>
    <mergeCell ref="V373:W373"/>
    <mergeCell ref="S374:T374"/>
    <mergeCell ref="U374:W374"/>
    <mergeCell ref="V377:W377"/>
    <mergeCell ref="V379:W379"/>
    <mergeCell ref="V380:W380"/>
    <mergeCell ref="V381:W381"/>
    <mergeCell ref="S382:T382"/>
    <mergeCell ref="U382:W382"/>
    <mergeCell ref="S388:T388"/>
    <mergeCell ref="U388:W388"/>
    <mergeCell ref="V417:W417"/>
    <mergeCell ref="V418:W418"/>
    <mergeCell ref="S424:W424"/>
    <mergeCell ref="V399:W399"/>
    <mergeCell ref="V385:W385"/>
    <mergeCell ref="S386:T386"/>
    <mergeCell ref="U386:W386"/>
    <mergeCell ref="V378:W378"/>
    <mergeCell ref="V395:W395"/>
    <mergeCell ref="S396:T396"/>
    <mergeCell ref="U396:W396"/>
    <mergeCell ref="V420:W420"/>
    <mergeCell ref="V421:W421"/>
    <mergeCell ref="V422:W422"/>
    <mergeCell ref="V415:W415"/>
    <mergeCell ref="V419:W419"/>
    <mergeCell ref="V400:W400"/>
    <mergeCell ref="V401:W401"/>
    <mergeCell ref="V432:W432"/>
    <mergeCell ref="V433:W433"/>
    <mergeCell ref="V434:W434"/>
    <mergeCell ref="V435:W435"/>
    <mergeCell ref="V436:W436"/>
    <mergeCell ref="V437:W437"/>
    <mergeCell ref="V427:W427"/>
    <mergeCell ref="V428:W428"/>
    <mergeCell ref="V429:W429"/>
    <mergeCell ref="V430:W430"/>
    <mergeCell ref="V431:W431"/>
    <mergeCell ref="V454:W454"/>
    <mergeCell ref="U505:W505"/>
    <mergeCell ref="V509:W509"/>
    <mergeCell ref="S571:T571"/>
    <mergeCell ref="U571:W571"/>
    <mergeCell ref="S573:T573"/>
    <mergeCell ref="U573:W573"/>
    <mergeCell ref="V468:W468"/>
    <mergeCell ref="V469:W469"/>
    <mergeCell ref="V489:W489"/>
    <mergeCell ref="S490:T490"/>
    <mergeCell ref="U490:W490"/>
    <mergeCell ref="V493:W493"/>
    <mergeCell ref="S494:T494"/>
    <mergeCell ref="U494:W494"/>
    <mergeCell ref="V486:W486"/>
    <mergeCell ref="V487:W487"/>
    <mergeCell ref="V488:W488"/>
    <mergeCell ref="V478:W478"/>
    <mergeCell ref="V482:W482"/>
    <mergeCell ref="V512:W512"/>
    <mergeCell ref="S582:W582"/>
    <mergeCell ref="V595:W595"/>
    <mergeCell ref="V596:W596"/>
    <mergeCell ref="V597:W597"/>
    <mergeCell ref="V598:W598"/>
    <mergeCell ref="V599:W599"/>
    <mergeCell ref="V600:W600"/>
    <mergeCell ref="V601:W601"/>
    <mergeCell ref="V602:W602"/>
    <mergeCell ref="V522:W522"/>
    <mergeCell ref="V513:W513"/>
    <mergeCell ref="V514:W514"/>
    <mergeCell ref="V515:W515"/>
    <mergeCell ref="V516:W516"/>
    <mergeCell ref="V517:W517"/>
    <mergeCell ref="V518:W518"/>
    <mergeCell ref="S519:W519"/>
    <mergeCell ref="S520:W520"/>
    <mergeCell ref="V537:W537"/>
    <mergeCell ref="V541:W541"/>
    <mergeCell ref="V542:W542"/>
    <mergeCell ref="V543:W543"/>
    <mergeCell ref="V531:W531"/>
    <mergeCell ref="V532:W532"/>
    <mergeCell ref="V557:W557"/>
    <mergeCell ref="V558:W558"/>
    <mergeCell ref="V559:W559"/>
    <mergeCell ref="V560:W560"/>
    <mergeCell ref="V561:W561"/>
    <mergeCell ref="V568:W568"/>
    <mergeCell ref="V569:W569"/>
    <mergeCell ref="V570:W570"/>
    <mergeCell ref="U617:W617"/>
    <mergeCell ref="S622:T622"/>
    <mergeCell ref="U622:W622"/>
    <mergeCell ref="V629:W629"/>
    <mergeCell ref="V630:W630"/>
    <mergeCell ref="S631:T631"/>
    <mergeCell ref="U631:W631"/>
    <mergeCell ref="V634:W634"/>
    <mergeCell ref="S635:T635"/>
    <mergeCell ref="U635:W635"/>
    <mergeCell ref="S637:T637"/>
    <mergeCell ref="U637:W637"/>
    <mergeCell ref="V654:W654"/>
    <mergeCell ref="V656:W656"/>
    <mergeCell ref="V657:W657"/>
    <mergeCell ref="V658:W658"/>
    <mergeCell ref="V659:W659"/>
    <mergeCell ref="V648:W648"/>
    <mergeCell ref="V649:W649"/>
    <mergeCell ref="V650:W650"/>
    <mergeCell ref="V644:W644"/>
    <mergeCell ref="S645:T645"/>
    <mergeCell ref="U645:W645"/>
    <mergeCell ref="S651:W651"/>
    <mergeCell ref="S652:W652"/>
    <mergeCell ref="V680:W680"/>
    <mergeCell ref="V681:W681"/>
    <mergeCell ref="V682:W682"/>
    <mergeCell ref="V780:W780"/>
    <mergeCell ref="V781:W781"/>
    <mergeCell ref="S782:T782"/>
    <mergeCell ref="U782:W782"/>
    <mergeCell ref="S786:T786"/>
    <mergeCell ref="U786:W786"/>
    <mergeCell ref="S788:T788"/>
    <mergeCell ref="U788:W788"/>
    <mergeCell ref="V796:W796"/>
    <mergeCell ref="V797:W797"/>
    <mergeCell ref="V798:W798"/>
    <mergeCell ref="S799:T799"/>
    <mergeCell ref="U799:W799"/>
    <mergeCell ref="V683:W683"/>
    <mergeCell ref="V684:W684"/>
    <mergeCell ref="V685:W685"/>
    <mergeCell ref="V710:W710"/>
    <mergeCell ref="V711:W711"/>
    <mergeCell ref="V712:W712"/>
    <mergeCell ref="V713:W713"/>
    <mergeCell ref="V714:W714"/>
    <mergeCell ref="V715:W715"/>
    <mergeCell ref="V704:W704"/>
    <mergeCell ref="V705:W705"/>
    <mergeCell ref="V706:W706"/>
    <mergeCell ref="V707:W707"/>
    <mergeCell ref="V708:W708"/>
    <mergeCell ref="V709:W709"/>
    <mergeCell ref="V698:W698"/>
    <mergeCell ref="V802:W802"/>
    <mergeCell ref="V803:W803"/>
    <mergeCell ref="V804:W804"/>
    <mergeCell ref="V806:W806"/>
    <mergeCell ref="V785:W785"/>
    <mergeCell ref="V805:W805"/>
    <mergeCell ref="V795:W795"/>
    <mergeCell ref="V836:W836"/>
    <mergeCell ref="S870:T870"/>
    <mergeCell ref="U870:W870"/>
    <mergeCell ref="S872:T872"/>
    <mergeCell ref="U872:W872"/>
    <mergeCell ref="B879:W879"/>
    <mergeCell ref="S880:W880"/>
    <mergeCell ref="S881:W881"/>
    <mergeCell ref="V890:W890"/>
    <mergeCell ref="S891:T891"/>
    <mergeCell ref="U891:W891"/>
    <mergeCell ref="V867:W867"/>
    <mergeCell ref="V868:W868"/>
    <mergeCell ref="V869:W869"/>
    <mergeCell ref="V861:W861"/>
    <mergeCell ref="V862:W862"/>
    <mergeCell ref="V863:W863"/>
    <mergeCell ref="V864:W864"/>
    <mergeCell ref="V865:W865"/>
    <mergeCell ref="V866:W866"/>
    <mergeCell ref="V855:W855"/>
    <mergeCell ref="V856:W856"/>
    <mergeCell ref="V857:W857"/>
    <mergeCell ref="V858:W858"/>
    <mergeCell ref="V859:W859"/>
    <mergeCell ref="V932:W932"/>
    <mergeCell ref="V933:W933"/>
    <mergeCell ref="V934:W934"/>
    <mergeCell ref="S951:W951"/>
    <mergeCell ref="S952:W952"/>
    <mergeCell ref="S966:T966"/>
    <mergeCell ref="U966:W966"/>
    <mergeCell ref="S968:T968"/>
    <mergeCell ref="U968:W968"/>
    <mergeCell ref="B975:W975"/>
    <mergeCell ref="S976:W976"/>
    <mergeCell ref="V945:W945"/>
    <mergeCell ref="V946:W946"/>
    <mergeCell ref="V947:W947"/>
    <mergeCell ref="V948:W948"/>
    <mergeCell ref="V949:W949"/>
    <mergeCell ref="V939:W939"/>
    <mergeCell ref="V940:W940"/>
    <mergeCell ref="V941:W941"/>
    <mergeCell ref="V942:W942"/>
    <mergeCell ref="V943:W943"/>
    <mergeCell ref="V944:W944"/>
    <mergeCell ref="V935:W935"/>
    <mergeCell ref="V936:W936"/>
    <mergeCell ref="V937:W937"/>
    <mergeCell ref="V938:W938"/>
    <mergeCell ref="V963:W963"/>
    <mergeCell ref="V964:W964"/>
    <mergeCell ref="V965:W965"/>
    <mergeCell ref="V957:W957"/>
    <mergeCell ref="V958:W958"/>
    <mergeCell ref="V959:W959"/>
    <mergeCell ref="S1031:T1031"/>
    <mergeCell ref="U1031:W1031"/>
    <mergeCell ref="S1035:T1035"/>
    <mergeCell ref="U1035:W1035"/>
    <mergeCell ref="S1040:T1040"/>
    <mergeCell ref="U1040:W1040"/>
    <mergeCell ref="S1045:T1045"/>
    <mergeCell ref="U1045:W1045"/>
    <mergeCell ref="V1034:W1034"/>
    <mergeCell ref="V1038:W1038"/>
    <mergeCell ref="V1027:W1027"/>
    <mergeCell ref="V1028:W1028"/>
    <mergeCell ref="V1029:W1029"/>
    <mergeCell ref="V1030:W1030"/>
    <mergeCell ref="V1021:W1021"/>
    <mergeCell ref="V1022:W1022"/>
    <mergeCell ref="V1023:W1023"/>
    <mergeCell ref="V1024:W1024"/>
    <mergeCell ref="V1025:W1025"/>
    <mergeCell ref="V1026:W1026"/>
    <mergeCell ref="V1039:W1039"/>
    <mergeCell ref="V1043:W1043"/>
    <mergeCell ref="V1044:W1044"/>
    <mergeCell ref="V1168:W1168"/>
    <mergeCell ref="V1169:W1169"/>
    <mergeCell ref="V1170:W1170"/>
    <mergeCell ref="V1171:W1171"/>
    <mergeCell ref="V1172:W1172"/>
    <mergeCell ref="V1173:W1173"/>
    <mergeCell ref="V1174:W1174"/>
    <mergeCell ref="V1175:W1175"/>
    <mergeCell ref="S1176:T1176"/>
    <mergeCell ref="U1176:W1176"/>
    <mergeCell ref="S1180:T1180"/>
    <mergeCell ref="U1180:W1180"/>
    <mergeCell ref="V1306:W1306"/>
    <mergeCell ref="V1307:W1307"/>
    <mergeCell ref="S1308:T1308"/>
    <mergeCell ref="U1308:W1308"/>
    <mergeCell ref="V1311:W1311"/>
    <mergeCell ref="V1201:W1201"/>
    <mergeCell ref="V1189:W1189"/>
    <mergeCell ref="V1190:W1190"/>
    <mergeCell ref="V1191:W1191"/>
    <mergeCell ref="V1179:W1179"/>
    <mergeCell ref="V1184:W1184"/>
    <mergeCell ref="V1185:W1185"/>
    <mergeCell ref="V1183:W1183"/>
    <mergeCell ref="S1186:T1186"/>
    <mergeCell ref="U1186:W1186"/>
    <mergeCell ref="V1192:W1192"/>
    <mergeCell ref="S1193:T1193"/>
    <mergeCell ref="U1193:W1193"/>
    <mergeCell ref="V1196:W1196"/>
    <mergeCell ref="V1197:W1197"/>
    <mergeCell ref="V1312:W1312"/>
    <mergeCell ref="V1313:W1313"/>
    <mergeCell ref="S1314:T1314"/>
    <mergeCell ref="U1314:W1314"/>
    <mergeCell ref="V1317:W1317"/>
    <mergeCell ref="S1318:T1318"/>
    <mergeCell ref="U1318:W1318"/>
    <mergeCell ref="S1322:T1322"/>
    <mergeCell ref="U1322:W1322"/>
    <mergeCell ref="V1325:W1325"/>
    <mergeCell ref="S1328:T1328"/>
    <mergeCell ref="U1328:W1328"/>
    <mergeCell ref="V1358:W1358"/>
    <mergeCell ref="V1359:W1359"/>
    <mergeCell ref="S1366:W1366"/>
    <mergeCell ref="S1367:W1367"/>
    <mergeCell ref="S1377:T1377"/>
    <mergeCell ref="U1377:W1377"/>
    <mergeCell ref="V1355:W1355"/>
    <mergeCell ref="V1357:W1357"/>
    <mergeCell ref="V1373:W1373"/>
    <mergeCell ref="V1374:W1374"/>
    <mergeCell ref="V1375:W1375"/>
    <mergeCell ref="V1376:W1376"/>
    <mergeCell ref="V1369:W1369"/>
    <mergeCell ref="V1370:W1370"/>
    <mergeCell ref="V1371:W1371"/>
    <mergeCell ref="V1372:W1372"/>
    <mergeCell ref="V1362:W1362"/>
    <mergeCell ref="V1363:W1363"/>
    <mergeCell ref="V1364:W1364"/>
    <mergeCell ref="V1365:W1365"/>
    <mergeCell ref="S1408:T1408"/>
    <mergeCell ref="U1408:W1408"/>
    <mergeCell ref="S1414:T1414"/>
    <mergeCell ref="U1414:W1414"/>
    <mergeCell ref="S1412:T1412"/>
    <mergeCell ref="U1412:W1412"/>
    <mergeCell ref="S1379:T1379"/>
    <mergeCell ref="U1379:W1379"/>
    <mergeCell ref="B1386:W1386"/>
    <mergeCell ref="S1387:W1387"/>
    <mergeCell ref="S1388:W1388"/>
    <mergeCell ref="V1392:W1392"/>
    <mergeCell ref="V1397:W1397"/>
    <mergeCell ref="S1398:T1398"/>
    <mergeCell ref="U1398:W1398"/>
    <mergeCell ref="V1401:W1401"/>
    <mergeCell ref="S1402:T1402"/>
    <mergeCell ref="V1442:W1442"/>
    <mergeCell ref="V1443:W1443"/>
    <mergeCell ref="V1444:W1444"/>
    <mergeCell ref="V1445:W1445"/>
    <mergeCell ref="V1446:W1446"/>
    <mergeCell ref="V1447:W1447"/>
    <mergeCell ref="V1490:W1490"/>
    <mergeCell ref="S1491:T1491"/>
    <mergeCell ref="U1491:W1491"/>
    <mergeCell ref="S1493:T1493"/>
    <mergeCell ref="U1493:W1493"/>
    <mergeCell ref="V1500:W1500"/>
    <mergeCell ref="V1501:W1501"/>
    <mergeCell ref="V1502:W1502"/>
    <mergeCell ref="V1504:W1504"/>
    <mergeCell ref="V1505:W1505"/>
    <mergeCell ref="V1506:W1506"/>
    <mergeCell ref="V1485:W1485"/>
    <mergeCell ref="V1486:W1486"/>
    <mergeCell ref="S1487:T1487"/>
    <mergeCell ref="U1487:W1487"/>
    <mergeCell ref="V1454:W1454"/>
    <mergeCell ref="V1459:W1459"/>
    <mergeCell ref="V1448:W1448"/>
    <mergeCell ref="V1449:W1449"/>
    <mergeCell ref="V1450:W1450"/>
    <mergeCell ref="V1451:W1451"/>
    <mergeCell ref="V1452:W1452"/>
    <mergeCell ref="V1453:W1453"/>
    <mergeCell ref="S1457:W1457"/>
    <mergeCell ref="S1470:W1470"/>
    <mergeCell ref="B1469:W1469"/>
    <mergeCell ref="V1556:W1556"/>
    <mergeCell ref="V1557:W1557"/>
    <mergeCell ref="V1558:W1558"/>
    <mergeCell ref="V1559:W1559"/>
    <mergeCell ref="V1560:W1560"/>
    <mergeCell ref="V1561:W1561"/>
    <mergeCell ref="V1562:W1562"/>
    <mergeCell ref="V1563:W1563"/>
    <mergeCell ref="V1564:W1564"/>
    <mergeCell ref="S1597:W1597"/>
    <mergeCell ref="S1598:W1598"/>
    <mergeCell ref="S1604:T1604"/>
    <mergeCell ref="U1604:W1604"/>
    <mergeCell ref="S1606:T1606"/>
    <mergeCell ref="U1606:W1606"/>
    <mergeCell ref="V1577:W1577"/>
    <mergeCell ref="V1578:W1578"/>
    <mergeCell ref="V1579:W1579"/>
    <mergeCell ref="V1580:W1580"/>
    <mergeCell ref="V1581:W1581"/>
    <mergeCell ref="V1582:W1582"/>
    <mergeCell ref="V1571:W1571"/>
    <mergeCell ref="V1572:W1572"/>
    <mergeCell ref="V1573:W1573"/>
    <mergeCell ref="V1574:W1574"/>
    <mergeCell ref="V1575:W1575"/>
    <mergeCell ref="V1576:W1576"/>
    <mergeCell ref="V1565:W1565"/>
    <mergeCell ref="V1566:W1566"/>
    <mergeCell ref="V1567:W1567"/>
    <mergeCell ref="V1568:W1568"/>
    <mergeCell ref="V1569:W1569"/>
    <mergeCell ref="S1658:T1658"/>
    <mergeCell ref="U1658:W1658"/>
    <mergeCell ref="B1665:W1665"/>
    <mergeCell ref="S1666:W1666"/>
    <mergeCell ref="S1667:W1667"/>
    <mergeCell ref="V1671:W1671"/>
    <mergeCell ref="V1676:W1676"/>
    <mergeCell ref="V1677:W1677"/>
    <mergeCell ref="S1678:T1678"/>
    <mergeCell ref="U1678:W1678"/>
    <mergeCell ref="V1681:W1681"/>
    <mergeCell ref="S1683:T1683"/>
    <mergeCell ref="U1683:W1683"/>
    <mergeCell ref="V1686:W1686"/>
    <mergeCell ref="S1687:T1687"/>
    <mergeCell ref="U1687:W1687"/>
    <mergeCell ref="V1690:W1690"/>
    <mergeCell ref="V1698:W1698"/>
    <mergeCell ref="S1699:T1699"/>
    <mergeCell ref="U1699:W1699"/>
    <mergeCell ref="S1711:T1711"/>
    <mergeCell ref="U1711:W1711"/>
    <mergeCell ref="B1718:W1718"/>
    <mergeCell ref="S1719:W1719"/>
    <mergeCell ref="S1720:W1720"/>
    <mergeCell ref="V1724:W1724"/>
    <mergeCell ref="V1729:W1729"/>
    <mergeCell ref="V1730:W1730"/>
    <mergeCell ref="S1731:T1731"/>
    <mergeCell ref="U1731:W1731"/>
    <mergeCell ref="V1734:W1734"/>
    <mergeCell ref="V1735:W1735"/>
    <mergeCell ref="V1736:W1736"/>
    <mergeCell ref="V1694:W1694"/>
    <mergeCell ref="S1695:T1695"/>
    <mergeCell ref="U1695:W1695"/>
    <mergeCell ref="V1708:W1708"/>
    <mergeCell ref="S1709:T1709"/>
    <mergeCell ref="U1709:W1709"/>
    <mergeCell ref="S1701:T1701"/>
    <mergeCell ref="U1701:W1701"/>
    <mergeCell ref="V1815:W1815"/>
    <mergeCell ref="V1816:W1816"/>
    <mergeCell ref="S1819:T1819"/>
    <mergeCell ref="U1819:W1819"/>
    <mergeCell ref="S1821:T1821"/>
    <mergeCell ref="U1821:W1821"/>
    <mergeCell ref="V1828:W1828"/>
    <mergeCell ref="S1829:T1829"/>
    <mergeCell ref="U1829:W1829"/>
    <mergeCell ref="V1853:W1853"/>
    <mergeCell ref="V1854:W1854"/>
    <mergeCell ref="V1855:W1855"/>
    <mergeCell ref="V1856:W1856"/>
    <mergeCell ref="S1857:T1857"/>
    <mergeCell ref="U1857:W1857"/>
    <mergeCell ref="V1947:W1947"/>
    <mergeCell ref="S1951:T1951"/>
    <mergeCell ref="U1951:W1951"/>
    <mergeCell ref="S1914:W1914"/>
    <mergeCell ref="B1892:W1892"/>
    <mergeCell ref="S1893:W1893"/>
    <mergeCell ref="S1894:W1894"/>
    <mergeCell ref="V1898:W1898"/>
    <mergeCell ref="V1903:W1903"/>
    <mergeCell ref="S1904:T1904"/>
    <mergeCell ref="U1904:W1904"/>
    <mergeCell ref="S1906:T1906"/>
    <mergeCell ref="U1906:W1906"/>
    <mergeCell ref="B1913:W1913"/>
    <mergeCell ref="S1915:W1915"/>
    <mergeCell ref="V1919:W1919"/>
    <mergeCell ref="V1948:W1948"/>
    <mergeCell ref="S1959:W1959"/>
    <mergeCell ref="S1960:W1960"/>
    <mergeCell ref="V1964:W1964"/>
    <mergeCell ref="V1969:W1969"/>
    <mergeCell ref="S1970:T1970"/>
    <mergeCell ref="U1970:W1970"/>
    <mergeCell ref="S1972:T1972"/>
    <mergeCell ref="U1972:W1972"/>
    <mergeCell ref="B1979:W1979"/>
    <mergeCell ref="S1981:W1981"/>
    <mergeCell ref="V1985:W1985"/>
    <mergeCell ref="V1990:W1990"/>
    <mergeCell ref="V1991:W1991"/>
    <mergeCell ref="V1992:W1992"/>
    <mergeCell ref="S1993:T1993"/>
    <mergeCell ref="U1993:W1993"/>
    <mergeCell ref="V1996:W1996"/>
    <mergeCell ref="S1980:W1980"/>
    <mergeCell ref="S1997:T1997"/>
    <mergeCell ref="U1997:W1997"/>
    <mergeCell ref="S1999:T1999"/>
    <mergeCell ref="U1999:W1999"/>
    <mergeCell ref="V2006:W2006"/>
    <mergeCell ref="S2007:T2007"/>
    <mergeCell ref="U2007:W2007"/>
    <mergeCell ref="S2009:T2009"/>
    <mergeCell ref="U2009:W2009"/>
    <mergeCell ref="B2016:W2016"/>
    <mergeCell ref="S2017:W2017"/>
    <mergeCell ref="S2018:W2018"/>
    <mergeCell ref="V2022:W2022"/>
    <mergeCell ref="V2027:W2027"/>
    <mergeCell ref="S2028:T2028"/>
    <mergeCell ref="S2057:W2057"/>
    <mergeCell ref="S2058:W2058"/>
    <mergeCell ref="S2032:T2032"/>
    <mergeCell ref="U2028:W2028"/>
    <mergeCell ref="V2031:W2031"/>
    <mergeCell ref="S2085:T2085"/>
    <mergeCell ref="U2085:W2085"/>
    <mergeCell ref="S2093:T2093"/>
    <mergeCell ref="U2093:W2093"/>
    <mergeCell ref="S2095:T2095"/>
    <mergeCell ref="U2095:W2095"/>
    <mergeCell ref="B2102:W2102"/>
    <mergeCell ref="S2103:W2103"/>
    <mergeCell ref="S2104:W2104"/>
    <mergeCell ref="V2108:W2108"/>
    <mergeCell ref="V2113:W2113"/>
    <mergeCell ref="V2092:W2092"/>
    <mergeCell ref="V2114:W2114"/>
    <mergeCell ref="V2118:W2118"/>
    <mergeCell ref="V2119:W2119"/>
    <mergeCell ref="V2120:W2120"/>
    <mergeCell ref="V2121:W2121"/>
    <mergeCell ref="U2142:W2142"/>
    <mergeCell ref="S2144:T2144"/>
    <mergeCell ref="U2144:W2144"/>
    <mergeCell ref="B2151:W2151"/>
    <mergeCell ref="S2152:W2152"/>
    <mergeCell ref="S2153:W2153"/>
    <mergeCell ref="V2157:W2157"/>
    <mergeCell ref="V2162:W2162"/>
    <mergeCell ref="V2163:W2163"/>
    <mergeCell ref="V2164:W2164"/>
    <mergeCell ref="V2165:W2165"/>
    <mergeCell ref="V2166:W2166"/>
    <mergeCell ref="V2141:W2141"/>
    <mergeCell ref="V2128:W2128"/>
    <mergeCell ref="S2115:T2115"/>
    <mergeCell ref="U2115:W2115"/>
    <mergeCell ref="V2122:W2122"/>
    <mergeCell ref="V2123:W2123"/>
    <mergeCell ref="V2124:W2124"/>
    <mergeCell ref="V2125:W2125"/>
    <mergeCell ref="V2126:W2126"/>
    <mergeCell ref="V2127:W2127"/>
    <mergeCell ref="V2129:W2129"/>
    <mergeCell ref="V2130:W2130"/>
    <mergeCell ref="V2131:W2131"/>
    <mergeCell ref="S2132:T2132"/>
    <mergeCell ref="U2132:W2132"/>
    <mergeCell ref="S2134:T2134"/>
    <mergeCell ref="U2134:W2134"/>
    <mergeCell ref="S2142:T2142"/>
    <mergeCell ref="S2195:T2195"/>
    <mergeCell ref="U2195:W2195"/>
    <mergeCell ref="S2202:T2202"/>
    <mergeCell ref="U2202:W2202"/>
    <mergeCell ref="U2271:W2271"/>
    <mergeCell ref="S2273:T2273"/>
    <mergeCell ref="U2273:W2273"/>
    <mergeCell ref="B2280:W2280"/>
    <mergeCell ref="S2281:W2281"/>
    <mergeCell ref="S2282:W2282"/>
    <mergeCell ref="V2291:W2291"/>
    <mergeCell ref="V2292:W2292"/>
    <mergeCell ref="V2295:W2295"/>
    <mergeCell ref="S2296:T2296"/>
    <mergeCell ref="U2296:W2296"/>
    <mergeCell ref="V2210:W2210"/>
    <mergeCell ref="S2211:T2211"/>
    <mergeCell ref="U2211:W2211"/>
    <mergeCell ref="V2214:W2214"/>
    <mergeCell ref="V2215:W2215"/>
    <mergeCell ref="S2216:T2216"/>
    <mergeCell ref="U2216:W2216"/>
    <mergeCell ref="S2218:W2218"/>
    <mergeCell ref="S2219:W2219"/>
    <mergeCell ref="V2238:W2238"/>
    <mergeCell ref="S2239:T2239"/>
    <mergeCell ref="U2239:W2239"/>
    <mergeCell ref="V2246:W2246"/>
    <mergeCell ref="V2236:W2236"/>
    <mergeCell ref="V2198:W2198"/>
    <mergeCell ref="V2199:W2199"/>
    <mergeCell ref="V2237:W2237"/>
    <mergeCell ref="V2300:W2300"/>
    <mergeCell ref="V2301:W2301"/>
    <mergeCell ref="V2302:W2302"/>
    <mergeCell ref="V2305:W2305"/>
    <mergeCell ref="V2306:W2306"/>
    <mergeCell ref="V2307:W2307"/>
    <mergeCell ref="S2271:T2271"/>
    <mergeCell ref="V2286:W2286"/>
    <mergeCell ref="V2303:W2303"/>
    <mergeCell ref="V2304:W2304"/>
    <mergeCell ref="V2293:W2293"/>
    <mergeCell ref="V2294:W2294"/>
    <mergeCell ref="V2299:W2299"/>
    <mergeCell ref="S2321:W2321"/>
    <mergeCell ref="S2322:W2322"/>
    <mergeCell ref="V2326:W2326"/>
    <mergeCell ref="V2331:W2331"/>
    <mergeCell ref="V2308:W2308"/>
    <mergeCell ref="V2309:W2309"/>
    <mergeCell ref="V2310:W2310"/>
    <mergeCell ref="S2311:T2311"/>
    <mergeCell ref="U2311:W2311"/>
    <mergeCell ref="S2313:T2313"/>
    <mergeCell ref="U2313:W2313"/>
    <mergeCell ref="B2320:W2320"/>
    <mergeCell ref="V2378:W2378"/>
    <mergeCell ref="V2379:W2379"/>
    <mergeCell ref="V2380:W2380"/>
    <mergeCell ref="V2381:W2381"/>
    <mergeCell ref="V2382:W2382"/>
    <mergeCell ref="V2383:W2383"/>
    <mergeCell ref="V2384:W2384"/>
    <mergeCell ref="V2385:W2385"/>
    <mergeCell ref="V2386:W2386"/>
    <mergeCell ref="V2387:W2387"/>
    <mergeCell ref="V2388:W2388"/>
    <mergeCell ref="V2376:W2376"/>
    <mergeCell ref="V2377:W2377"/>
    <mergeCell ref="S2446:T2446"/>
    <mergeCell ref="U2446:W2446"/>
    <mergeCell ref="B2453:W2453"/>
    <mergeCell ref="S2454:W2454"/>
    <mergeCell ref="V2412:W2412"/>
    <mergeCell ref="V2413:W2413"/>
    <mergeCell ref="V2417:W2417"/>
    <mergeCell ref="V2405:W2405"/>
    <mergeCell ref="V2409:W2409"/>
    <mergeCell ref="V2410:W2410"/>
    <mergeCell ref="V2411:W2411"/>
    <mergeCell ref="V2400:W2400"/>
    <mergeCell ref="V2404:W2404"/>
    <mergeCell ref="V2397:W2397"/>
    <mergeCell ref="V2398:W2398"/>
    <mergeCell ref="V2399:W2399"/>
    <mergeCell ref="V2401:W2401"/>
    <mergeCell ref="V2402:W2402"/>
    <mergeCell ref="V2403:W2403"/>
    <mergeCell ref="S2455:W2455"/>
    <mergeCell ref="V2459:W2459"/>
    <mergeCell ref="S2465:T2465"/>
    <mergeCell ref="U2465:W2465"/>
    <mergeCell ref="V2434:W2434"/>
    <mergeCell ref="V2484:W2484"/>
    <mergeCell ref="V2485:W2485"/>
    <mergeCell ref="V2487:W2487"/>
    <mergeCell ref="V2488:W2488"/>
    <mergeCell ref="V2489:W2489"/>
    <mergeCell ref="V2494:W2494"/>
    <mergeCell ref="V2495:W2495"/>
    <mergeCell ref="V2496:W2496"/>
    <mergeCell ref="B2547:W2547"/>
    <mergeCell ref="S2548:W2548"/>
    <mergeCell ref="S2549:W2549"/>
    <mergeCell ref="S2559:T2559"/>
    <mergeCell ref="U2559:W2559"/>
    <mergeCell ref="V2481:W2481"/>
    <mergeCell ref="V2486:W2486"/>
    <mergeCell ref="V2464:W2464"/>
    <mergeCell ref="V2468:W2468"/>
    <mergeCell ref="S2469:T2469"/>
    <mergeCell ref="U2469:W2469"/>
    <mergeCell ref="V2472:W2472"/>
    <mergeCell ref="V2473:W2473"/>
    <mergeCell ref="V2474:W2474"/>
    <mergeCell ref="V2475:W2475"/>
    <mergeCell ref="V2476:W2476"/>
    <mergeCell ref="V2477:W2477"/>
    <mergeCell ref="V2478:W2478"/>
    <mergeCell ref="V2479:W2479"/>
    <mergeCell ref="S2571:T2571"/>
    <mergeCell ref="U2571:W2571"/>
    <mergeCell ref="S2573:T2573"/>
    <mergeCell ref="U2573:W2573"/>
    <mergeCell ref="B2580:W2580"/>
    <mergeCell ref="S2581:W2581"/>
    <mergeCell ref="S2582:W2582"/>
    <mergeCell ref="V2591:W2591"/>
    <mergeCell ref="V2592:W2592"/>
    <mergeCell ref="V2593:W2593"/>
    <mergeCell ref="V2594:W2594"/>
    <mergeCell ref="V2595:W2595"/>
    <mergeCell ref="V2625:W2625"/>
    <mergeCell ref="V2626:W2626"/>
    <mergeCell ref="V2627:W2627"/>
    <mergeCell ref="V2628:W2628"/>
    <mergeCell ref="V2629:W2629"/>
    <mergeCell ref="V2607:W2607"/>
    <mergeCell ref="V2586:W2586"/>
    <mergeCell ref="V2604:W2604"/>
    <mergeCell ref="V2605:W2605"/>
    <mergeCell ref="V2606:W2606"/>
    <mergeCell ref="V2608:W2608"/>
    <mergeCell ref="V2617:W2617"/>
    <mergeCell ref="V2618:W2618"/>
    <mergeCell ref="V2619:W2619"/>
    <mergeCell ref="S2620:T2620"/>
    <mergeCell ref="U2620:W2620"/>
    <mergeCell ref="V2611:W2611"/>
    <mergeCell ref="V2612:W2612"/>
    <mergeCell ref="V2613:W2613"/>
    <mergeCell ref="V2614:W2614"/>
    <mergeCell ref="V2635:W2635"/>
    <mergeCell ref="V2641:W2641"/>
    <mergeCell ref="V2642:W2642"/>
    <mergeCell ref="S2668:T2668"/>
    <mergeCell ref="U2668:W2668"/>
    <mergeCell ref="S2821:T2821"/>
    <mergeCell ref="U2821:W2821"/>
    <mergeCell ref="B2828:W2828"/>
    <mergeCell ref="V2734:W2734"/>
    <mergeCell ref="V2735:W2735"/>
    <mergeCell ref="V2736:W2736"/>
    <mergeCell ref="V2737:W2737"/>
    <mergeCell ref="V2739:W2739"/>
    <mergeCell ref="S2740:T2740"/>
    <mergeCell ref="U2740:W2740"/>
    <mergeCell ref="S2748:W2748"/>
    <mergeCell ref="S2749:W2749"/>
    <mergeCell ref="S2757:T2757"/>
    <mergeCell ref="U2757:W2757"/>
    <mergeCell ref="S2764:T2764"/>
    <mergeCell ref="U2764:W2764"/>
    <mergeCell ref="V2767:W2767"/>
    <mergeCell ref="V2768:W2768"/>
    <mergeCell ref="B2675:W2675"/>
    <mergeCell ref="S2676:W2676"/>
    <mergeCell ref="S2677:W2677"/>
    <mergeCell ref="V2697:W2697"/>
    <mergeCell ref="V2702:W2702"/>
    <mergeCell ref="V2690:W2690"/>
    <mergeCell ref="V2694:W2694"/>
    <mergeCell ref="V2695:W2695"/>
    <mergeCell ref="V2696:W2696"/>
    <mergeCell ref="V2779:W2779"/>
    <mergeCell ref="S2780:T2780"/>
    <mergeCell ref="U2780:W2780"/>
    <mergeCell ref="S2782:T2782"/>
    <mergeCell ref="U2782:W2782"/>
    <mergeCell ref="B2789:W2789"/>
    <mergeCell ref="S2790:W2790"/>
    <mergeCell ref="S2791:W2791"/>
    <mergeCell ref="V2795:W2795"/>
    <mergeCell ref="V2814:W2814"/>
    <mergeCell ref="V2815:W2815"/>
    <mergeCell ref="V2644:W2644"/>
    <mergeCell ref="V2645:W2645"/>
    <mergeCell ref="V2646:W2646"/>
    <mergeCell ref="S2647:T2647"/>
    <mergeCell ref="U2647:W2647"/>
    <mergeCell ref="S2652:W2652"/>
    <mergeCell ref="S2653:W2653"/>
    <mergeCell ref="V2662:W2662"/>
    <mergeCell ref="V2663:W2663"/>
    <mergeCell ref="V2686:W2686"/>
    <mergeCell ref="V2716:W2716"/>
    <mergeCell ref="V2717:W2717"/>
    <mergeCell ref="V2718:W2718"/>
    <mergeCell ref="V2691:W2691"/>
    <mergeCell ref="V2692:W2692"/>
    <mergeCell ref="V2693:W2693"/>
    <mergeCell ref="V2698:W2698"/>
    <mergeCell ref="V2699:W2699"/>
    <mergeCell ref="V2700:W2700"/>
    <mergeCell ref="V2701:W2701"/>
    <mergeCell ref="V2703:W2703"/>
  </mergeCells>
  <printOptions gridLinesSet="0"/>
  <pageMargins left="0" right="0" top="0" bottom="0" header="0" footer="0"/>
  <pageSetup paperSize="9" scale="0" fitToWidth="0" fitToHeight="0" orientation="portrait" horizontalDpi="1" verticalDpi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7</vt:i4>
      </vt:variant>
    </vt:vector>
  </HeadingPairs>
  <TitlesOfParts>
    <vt:vector size="7" baseType="lpstr">
      <vt:lpstr>Analýza střediska</vt:lpstr>
      <vt:lpstr>Analýza rozpočet</vt:lpstr>
      <vt:lpstr>Rozpočet</vt:lpstr>
      <vt:lpstr>Rozpočet-oficial</vt:lpstr>
      <vt:lpstr>Zdroj</vt:lpstr>
      <vt:lpstr>Střediska</vt:lpstr>
      <vt:lpstr>POHODA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Zacpal Jiri</dc:creator>
  <cp:lastModifiedBy>Zacpal Jiri</cp:lastModifiedBy>
  <dcterms:created xsi:type="dcterms:W3CDTF">2024-02-15T12:56:30Z</dcterms:created>
  <dcterms:modified xsi:type="dcterms:W3CDTF">2024-03-28T11:55:10Z</dcterms:modified>
</cp:coreProperties>
</file>